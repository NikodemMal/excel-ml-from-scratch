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" sheetId="1" r:id="rId4"/>
  </sheets>
  <definedNames>
    <definedName localSheetId="0" name="ExternalData_1">iris!#REF!</definedName>
  </definedNames>
  <calcPr/>
  <extLst>
    <ext uri="GoogleSheetsCustomDataVersion2">
      <go:sheetsCustomData xmlns:go="http://customooxmlschemas.google.com/" r:id="rId5" roundtripDataChecksum="QLjgM7KwSjmnC1FGA0SMZ0UgeStZPOXUuvE1nS5OaD8="/>
    </ext>
  </extLst>
</workbook>
</file>

<file path=xl/sharedStrings.xml><?xml version="1.0" encoding="utf-8"?>
<sst xmlns="http://schemas.openxmlformats.org/spreadsheetml/2006/main" count="175" uniqueCount="25">
  <si>
    <t>Gatunek kosaćca</t>
  </si>
  <si>
    <t>x1</t>
  </si>
  <si>
    <t>x2</t>
  </si>
  <si>
    <t>x3</t>
  </si>
  <si>
    <t>x4</t>
  </si>
  <si>
    <t>y</t>
  </si>
  <si>
    <t>Predykcja liczbowa</t>
  </si>
  <si>
    <t>Klasyfikacja gatunkowa</t>
  </si>
  <si>
    <t>Różnica</t>
  </si>
  <si>
    <t>Wariancje wewnątrzgtrupowe</t>
  </si>
  <si>
    <t>Iris-setosa</t>
  </si>
  <si>
    <t>Iris-versicolor</t>
  </si>
  <si>
    <t>Iris-virginica</t>
  </si>
  <si>
    <t>b</t>
  </si>
  <si>
    <t>w1</t>
  </si>
  <si>
    <t>w2</t>
  </si>
  <si>
    <t>w3</t>
  </si>
  <si>
    <t>w4</t>
  </si>
  <si>
    <t>średnia</t>
  </si>
  <si>
    <t>liczba próbek</t>
  </si>
  <si>
    <t>odcięcie</t>
  </si>
  <si>
    <t xml:space="preserve">Różnica= </t>
  </si>
  <si>
    <t>Wariancja międzygrupowa</t>
  </si>
  <si>
    <t>Wariancja wewnątrzgrupowa</t>
  </si>
  <si>
    <t>Stosunek między/wewnątrz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</si>
</sst>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6" width="8.71"/>
    <col customWidth="1" min="7" max="7" width="19.29"/>
    <col customWidth="1" min="8" max="8" width="23.43"/>
    <col customWidth="1" min="9" max="10" width="8.71"/>
    <col customWidth="1" min="11" max="11" width="27.71"/>
    <col customWidth="1" min="12" max="12" width="14.43"/>
    <col customWidth="1" min="13" max="13" width="11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0.0</v>
      </c>
      <c r="L1" s="2" t="s">
        <v>10</v>
      </c>
    </row>
    <row r="2">
      <c r="A2" s="3" t="s">
        <v>10</v>
      </c>
      <c r="B2" s="3">
        <v>5.1</v>
      </c>
      <c r="C2" s="3">
        <v>3.5</v>
      </c>
      <c r="D2" s="3">
        <v>1.4</v>
      </c>
      <c r="E2" s="3">
        <v>0.2</v>
      </c>
      <c r="F2" s="4">
        <f t="shared" ref="F2:F151" si="1">IF(A2=L$1,K$1,IF(A2=$L$2,K$2,K$3))</f>
        <v>0</v>
      </c>
      <c r="G2" s="4">
        <f t="shared" ref="G2:G151" si="2">M$6*B2+M$7*C2+M$8*D2+M$9*E2+M$5</f>
        <v>-0.2503406424</v>
      </c>
      <c r="H2" s="4" t="str">
        <f t="shared" ref="H2:H151" si="3">IF(G2&lt;M$12, L$1, IF(G2&lt;M$13, L$2, L$3))</f>
        <v>Iris-setosa</v>
      </c>
      <c r="I2" s="4">
        <f t="shared" ref="I2:I151" si="4">IF(A2=H2,0,1)</f>
        <v>0</v>
      </c>
      <c r="J2" s="4">
        <f t="shared" ref="J2:J151" si="5">IF(F2=K$1, (G2-K$12)^2, IF(F2=K$2, (G2-K$13)^2, (G2-K$14)^2))</f>
        <v>0.001211354279</v>
      </c>
      <c r="K2" s="2">
        <v>1.0</v>
      </c>
      <c r="L2" s="2" t="s">
        <v>11</v>
      </c>
    </row>
    <row r="3">
      <c r="A3" s="3" t="s">
        <v>10</v>
      </c>
      <c r="B3" s="3">
        <v>4.9</v>
      </c>
      <c r="C3" s="3">
        <v>3.0</v>
      </c>
      <c r="D3" s="3">
        <v>1.4</v>
      </c>
      <c r="E3" s="3">
        <v>0.2</v>
      </c>
      <c r="F3" s="4">
        <f t="shared" si="1"/>
        <v>0</v>
      </c>
      <c r="G3" s="4">
        <f t="shared" si="2"/>
        <v>-0.1807979517</v>
      </c>
      <c r="H3" s="4" t="str">
        <f t="shared" si="3"/>
        <v>Iris-setosa</v>
      </c>
      <c r="I3" s="4">
        <f t="shared" si="4"/>
        <v>0</v>
      </c>
      <c r="J3" s="4">
        <f t="shared" si="5"/>
        <v>0.001206740837</v>
      </c>
      <c r="K3" s="2">
        <v>2.0</v>
      </c>
      <c r="L3" s="2" t="s">
        <v>12</v>
      </c>
    </row>
    <row r="4">
      <c r="A4" s="3" t="s">
        <v>10</v>
      </c>
      <c r="B4" s="3">
        <v>4.7</v>
      </c>
      <c r="C4" s="3">
        <v>3.2</v>
      </c>
      <c r="D4" s="3">
        <v>1.3</v>
      </c>
      <c r="E4" s="3">
        <v>0.2</v>
      </c>
      <c r="F4" s="4">
        <f t="shared" si="1"/>
        <v>0</v>
      </c>
      <c r="G4" s="4">
        <f t="shared" si="2"/>
        <v>-0.2078066331</v>
      </c>
      <c r="H4" s="4" t="str">
        <f t="shared" si="3"/>
        <v>Iris-setosa</v>
      </c>
      <c r="I4" s="4">
        <f t="shared" si="4"/>
        <v>0</v>
      </c>
      <c r="J4" s="4">
        <f t="shared" si="5"/>
        <v>0.00005974507898</v>
      </c>
    </row>
    <row r="5">
      <c r="A5" s="3" t="s">
        <v>10</v>
      </c>
      <c r="B5" s="3">
        <v>4.6</v>
      </c>
      <c r="C5" s="3">
        <v>3.1</v>
      </c>
      <c r="D5" s="3">
        <v>1.5</v>
      </c>
      <c r="E5" s="3">
        <v>0.2</v>
      </c>
      <c r="F5" s="4">
        <f t="shared" si="1"/>
        <v>0</v>
      </c>
      <c r="G5" s="4">
        <f t="shared" si="2"/>
        <v>-0.1578476025</v>
      </c>
      <c r="H5" s="4" t="str">
        <f t="shared" si="3"/>
        <v>Iris-setosa</v>
      </c>
      <c r="I5" s="4">
        <f t="shared" si="4"/>
        <v>0</v>
      </c>
      <c r="J5" s="4">
        <f t="shared" si="5"/>
        <v>0.003327965882</v>
      </c>
      <c r="K5" s="2" t="s">
        <v>13</v>
      </c>
      <c r="L5" s="2">
        <v>5.0</v>
      </c>
      <c r="M5" s="2">
        <v>0.192083994</v>
      </c>
      <c r="N5" s="4">
        <v>0.19208399482814442</v>
      </c>
    </row>
    <row r="6">
      <c r="A6" s="3" t="s">
        <v>10</v>
      </c>
      <c r="B6" s="3">
        <v>5.0</v>
      </c>
      <c r="C6" s="3">
        <v>3.6</v>
      </c>
      <c r="D6" s="3">
        <v>1.4</v>
      </c>
      <c r="E6" s="3">
        <v>0.2</v>
      </c>
      <c r="F6" s="4">
        <f t="shared" si="1"/>
        <v>0</v>
      </c>
      <c r="G6" s="4">
        <f t="shared" si="2"/>
        <v>-0.2557436652</v>
      </c>
      <c r="H6" s="4" t="str">
        <f t="shared" si="3"/>
        <v>Iris-setosa</v>
      </c>
      <c r="I6" s="4">
        <f t="shared" si="4"/>
        <v>0</v>
      </c>
      <c r="J6" s="4">
        <f t="shared" si="5"/>
        <v>0.001616646112</v>
      </c>
      <c r="K6" s="2" t="s">
        <v>14</v>
      </c>
      <c r="L6" s="2">
        <v>4.0</v>
      </c>
      <c r="M6" s="2">
        <v>-0.060753681</v>
      </c>
      <c r="N6" s="4">
        <v>-0.10974146329308734</v>
      </c>
    </row>
    <row r="7">
      <c r="A7" s="3" t="s">
        <v>10</v>
      </c>
      <c r="B7" s="3">
        <v>5.4</v>
      </c>
      <c r="C7" s="3">
        <v>3.9</v>
      </c>
      <c r="D7" s="3">
        <v>1.7</v>
      </c>
      <c r="E7" s="3">
        <v>0.4</v>
      </c>
      <c r="F7" s="4">
        <f t="shared" si="1"/>
        <v>0</v>
      </c>
      <c r="G7" s="4">
        <f t="shared" si="2"/>
        <v>-0.2235464859</v>
      </c>
      <c r="H7" s="4" t="str">
        <f t="shared" si="3"/>
        <v>Iris-setosa</v>
      </c>
      <c r="I7" s="4">
        <f t="shared" si="4"/>
        <v>0</v>
      </c>
      <c r="J7" s="4">
        <f t="shared" si="5"/>
        <v>0.00006416584657</v>
      </c>
      <c r="K7" s="2" t="s">
        <v>15</v>
      </c>
      <c r="L7" s="2">
        <v>3.0</v>
      </c>
      <c r="M7" s="2">
        <v>-0.114783909</v>
      </c>
      <c r="N7" s="4">
        <v>-0.04424044671765221</v>
      </c>
    </row>
    <row r="8">
      <c r="A8" s="3" t="s">
        <v>10</v>
      </c>
      <c r="B8" s="3">
        <v>4.6</v>
      </c>
      <c r="C8" s="3">
        <v>3.4</v>
      </c>
      <c r="D8" s="3">
        <v>1.4</v>
      </c>
      <c r="E8" s="3">
        <v>0.3</v>
      </c>
      <c r="F8" s="4">
        <f t="shared" si="1"/>
        <v>0</v>
      </c>
      <c r="G8" s="4">
        <f t="shared" si="2"/>
        <v>-0.1873224525</v>
      </c>
      <c r="H8" s="4" t="str">
        <f t="shared" si="3"/>
        <v>Iris-setosa</v>
      </c>
      <c r="I8" s="4">
        <f t="shared" si="4"/>
        <v>0</v>
      </c>
      <c r="J8" s="4">
        <f t="shared" si="5"/>
        <v>0.0007960114399</v>
      </c>
      <c r="K8" s="2" t="s">
        <v>16</v>
      </c>
      <c r="L8" s="2">
        <v>2.0</v>
      </c>
      <c r="M8" s="2">
        <v>0.162026358</v>
      </c>
      <c r="N8" s="4">
        <v>0.22700138217190363</v>
      </c>
    </row>
    <row r="9">
      <c r="A9" s="3" t="s">
        <v>10</v>
      </c>
      <c r="B9" s="3">
        <v>5.0</v>
      </c>
      <c r="C9" s="3">
        <v>3.4</v>
      </c>
      <c r="D9" s="3">
        <v>1.5</v>
      </c>
      <c r="E9" s="3">
        <v>0.2</v>
      </c>
      <c r="F9" s="4">
        <f t="shared" si="1"/>
        <v>0</v>
      </c>
      <c r="G9" s="4">
        <f t="shared" si="2"/>
        <v>-0.2165842476</v>
      </c>
      <c r="H9" s="4" t="str">
        <f t="shared" si="3"/>
        <v>Iris-setosa</v>
      </c>
      <c r="I9" s="4">
        <f t="shared" si="4"/>
        <v>0</v>
      </c>
      <c r="J9" s="4">
        <f t="shared" si="5"/>
        <v>0.000001098556381</v>
      </c>
      <c r="K9" s="2" t="s">
        <v>17</v>
      </c>
      <c r="L9" s="2">
        <v>1.0</v>
      </c>
      <c r="M9" s="2">
        <v>0.211629585</v>
      </c>
      <c r="N9" s="4">
        <v>0.6098941197163877</v>
      </c>
    </row>
    <row r="10">
      <c r="A10" s="3" t="s">
        <v>10</v>
      </c>
      <c r="B10" s="3">
        <v>4.4</v>
      </c>
      <c r="C10" s="3">
        <v>2.9</v>
      </c>
      <c r="D10" s="3">
        <v>1.4</v>
      </c>
      <c r="E10" s="3">
        <v>0.2</v>
      </c>
      <c r="F10" s="4">
        <f t="shared" si="1"/>
        <v>0</v>
      </c>
      <c r="G10" s="4">
        <f t="shared" si="2"/>
        <v>-0.1389427203</v>
      </c>
      <c r="H10" s="4" t="str">
        <f t="shared" si="3"/>
        <v>Iris-setosa</v>
      </c>
      <c r="I10" s="4">
        <f t="shared" si="4"/>
        <v>0</v>
      </c>
      <c r="J10" s="4">
        <f t="shared" si="5"/>
        <v>0.00586654998</v>
      </c>
    </row>
    <row r="11">
      <c r="A11" s="3" t="s">
        <v>10</v>
      </c>
      <c r="B11" s="3">
        <v>4.9</v>
      </c>
      <c r="C11" s="3">
        <v>3.1</v>
      </c>
      <c r="D11" s="3">
        <v>1.5</v>
      </c>
      <c r="E11" s="3">
        <v>0.1</v>
      </c>
      <c r="F11" s="4">
        <f t="shared" si="1"/>
        <v>0</v>
      </c>
      <c r="G11" s="4">
        <f t="shared" si="2"/>
        <v>-0.1972366653</v>
      </c>
      <c r="H11" s="4" t="str">
        <f t="shared" si="3"/>
        <v>Iris-setosa</v>
      </c>
      <c r="I11" s="4">
        <f t="shared" si="4"/>
        <v>0</v>
      </c>
      <c r="J11" s="4">
        <f t="shared" si="5"/>
        <v>0.0003348703057</v>
      </c>
      <c r="K11" s="2" t="s">
        <v>18</v>
      </c>
      <c r="L11" s="2" t="s">
        <v>19</v>
      </c>
      <c r="M11" s="2" t="s">
        <v>20</v>
      </c>
    </row>
    <row r="12">
      <c r="A12" s="3" t="s">
        <v>10</v>
      </c>
      <c r="B12" s="3">
        <v>5.4</v>
      </c>
      <c r="C12" s="3">
        <v>3.7</v>
      </c>
      <c r="D12" s="3">
        <v>1.5</v>
      </c>
      <c r="E12" s="3">
        <v>0.2</v>
      </c>
      <c r="F12" s="4">
        <f t="shared" si="1"/>
        <v>0</v>
      </c>
      <c r="G12" s="4">
        <f t="shared" si="2"/>
        <v>-0.2753208927</v>
      </c>
      <c r="H12" s="4" t="str">
        <f t="shared" si="3"/>
        <v>Iris-setosa</v>
      </c>
      <c r="I12" s="4">
        <f t="shared" si="4"/>
        <v>0</v>
      </c>
      <c r="J12" s="4">
        <f t="shared" si="5"/>
        <v>0.003574218186</v>
      </c>
      <c r="K12" s="2">
        <f t="shared" ref="K12:K14" si="6">AVERAGEIFS(G$2:G$151,F$2:F$151,K1)</f>
        <v>-0.2155361272</v>
      </c>
      <c r="L12" s="4">
        <f t="shared" ref="L12:L14" si="7">COUNTIFS(F$2:F$151,K1)</f>
        <v>50</v>
      </c>
      <c r="M12" s="4">
        <f t="shared" ref="M12:M13" si="8">(K12*L12+K13*L13)/(L12+L13)</f>
        <v>0.1344078516</v>
      </c>
    </row>
    <row r="13">
      <c r="A13" s="3" t="s">
        <v>10</v>
      </c>
      <c r="B13" s="3">
        <v>4.8</v>
      </c>
      <c r="C13" s="3">
        <v>3.4</v>
      </c>
      <c r="D13" s="3">
        <v>1.6</v>
      </c>
      <c r="E13" s="3">
        <v>0.2</v>
      </c>
      <c r="F13" s="4">
        <f t="shared" si="1"/>
        <v>0</v>
      </c>
      <c r="G13" s="4">
        <f t="shared" si="2"/>
        <v>-0.1882308756</v>
      </c>
      <c r="H13" s="4" t="str">
        <f t="shared" si="3"/>
        <v>Iris-setosa</v>
      </c>
      <c r="I13" s="4">
        <f t="shared" si="4"/>
        <v>0</v>
      </c>
      <c r="J13" s="4">
        <f t="shared" si="5"/>
        <v>0.0007455767647</v>
      </c>
      <c r="K13" s="2">
        <f t="shared" si="6"/>
        <v>0.4843518304</v>
      </c>
      <c r="L13" s="4">
        <f t="shared" si="7"/>
        <v>50</v>
      </c>
      <c r="M13" s="4">
        <f t="shared" si="8"/>
        <v>0.6315775537</v>
      </c>
    </row>
    <row r="14">
      <c r="A14" s="3" t="s">
        <v>10</v>
      </c>
      <c r="B14" s="3">
        <v>4.8</v>
      </c>
      <c r="C14" s="3">
        <v>3.0</v>
      </c>
      <c r="D14" s="3">
        <v>1.4</v>
      </c>
      <c r="E14" s="3">
        <v>0.1</v>
      </c>
      <c r="F14" s="4">
        <f t="shared" si="1"/>
        <v>0</v>
      </c>
      <c r="G14" s="4">
        <f t="shared" si="2"/>
        <v>-0.1958855421</v>
      </c>
      <c r="H14" s="4" t="str">
        <f t="shared" si="3"/>
        <v>Iris-setosa</v>
      </c>
      <c r="I14" s="4">
        <f t="shared" si="4"/>
        <v>0</v>
      </c>
      <c r="J14" s="4">
        <f t="shared" si="5"/>
        <v>0.0003861454946</v>
      </c>
      <c r="K14" s="2">
        <f t="shared" si="6"/>
        <v>0.778803277</v>
      </c>
      <c r="L14" s="4">
        <f t="shared" si="7"/>
        <v>50</v>
      </c>
    </row>
    <row r="15">
      <c r="A15" s="3" t="s">
        <v>10</v>
      </c>
      <c r="B15" s="3">
        <v>4.3</v>
      </c>
      <c r="C15" s="3">
        <v>3.0</v>
      </c>
      <c r="D15" s="3">
        <v>1.1</v>
      </c>
      <c r="E15" s="3">
        <v>0.1</v>
      </c>
      <c r="F15" s="4">
        <f t="shared" si="1"/>
        <v>0</v>
      </c>
      <c r="G15" s="4">
        <f t="shared" si="2"/>
        <v>-0.214116609</v>
      </c>
      <c r="H15" s="4" t="str">
        <f t="shared" si="3"/>
        <v>Iris-setosa</v>
      </c>
      <c r="I15" s="4">
        <f t="shared" si="4"/>
        <v>0</v>
      </c>
      <c r="J15" s="4">
        <f t="shared" si="5"/>
        <v>0.000002015031909</v>
      </c>
    </row>
    <row r="16">
      <c r="A16" s="3" t="s">
        <v>10</v>
      </c>
      <c r="B16" s="3">
        <v>5.8</v>
      </c>
      <c r="C16" s="3">
        <v>4.0</v>
      </c>
      <c r="D16" s="3">
        <v>1.2</v>
      </c>
      <c r="E16" s="3">
        <v>0.2</v>
      </c>
      <c r="F16" s="4">
        <f t="shared" si="1"/>
        <v>0</v>
      </c>
      <c r="G16" s="4">
        <f t="shared" si="2"/>
        <v>-0.3826654452</v>
      </c>
      <c r="H16" s="4" t="str">
        <f t="shared" si="3"/>
        <v>Iris-setosa</v>
      </c>
      <c r="I16" s="4">
        <f t="shared" si="4"/>
        <v>0</v>
      </c>
      <c r="J16" s="4">
        <f t="shared" si="5"/>
        <v>0.02793220894</v>
      </c>
      <c r="K16" s="2" t="s">
        <v>21</v>
      </c>
      <c r="M16" s="4">
        <f>SUM(I2:I151)</f>
        <v>2</v>
      </c>
    </row>
    <row r="17">
      <c r="A17" s="3" t="s">
        <v>10</v>
      </c>
      <c r="B17" s="3">
        <v>5.7</v>
      </c>
      <c r="C17" s="3">
        <v>4.4</v>
      </c>
      <c r="D17" s="3">
        <v>1.5</v>
      </c>
      <c r="E17" s="3">
        <v>0.4</v>
      </c>
      <c r="F17" s="4">
        <f t="shared" si="1"/>
        <v>0</v>
      </c>
      <c r="G17" s="4">
        <f t="shared" si="2"/>
        <v>-0.3315698163</v>
      </c>
      <c r="H17" s="4" t="str">
        <f t="shared" si="3"/>
        <v>Iris-setosa</v>
      </c>
      <c r="I17" s="4">
        <f t="shared" si="4"/>
        <v>0</v>
      </c>
      <c r="J17" s="4">
        <f t="shared" si="5"/>
        <v>0.01346381701</v>
      </c>
    </row>
    <row r="18">
      <c r="A18" s="3" t="s">
        <v>10</v>
      </c>
      <c r="B18" s="3">
        <v>5.4</v>
      </c>
      <c r="C18" s="3">
        <v>3.9</v>
      </c>
      <c r="D18" s="3">
        <v>1.3</v>
      </c>
      <c r="E18" s="3">
        <v>0.4</v>
      </c>
      <c r="F18" s="4">
        <f t="shared" si="1"/>
        <v>0</v>
      </c>
      <c r="G18" s="4">
        <f t="shared" si="2"/>
        <v>-0.2883570291</v>
      </c>
      <c r="H18" s="4" t="str">
        <f t="shared" si="3"/>
        <v>Iris-setosa</v>
      </c>
      <c r="I18" s="4">
        <f t="shared" si="4"/>
        <v>0</v>
      </c>
      <c r="J18" s="4">
        <f t="shared" si="5"/>
        <v>0.005302883754</v>
      </c>
      <c r="K18" s="2" t="s">
        <v>22</v>
      </c>
      <c r="L18" s="2">
        <f>(K12-AVERAGE(K12:K14))^2+(K13-AVERAGE(K12:K14))^2+ (K14-AVERAGE(K12:K14))^2</f>
        <v>0.5217518861</v>
      </c>
      <c r="M18" s="2"/>
    </row>
    <row r="19">
      <c r="A19" s="3" t="s">
        <v>10</v>
      </c>
      <c r="B19" s="3">
        <v>5.1</v>
      </c>
      <c r="C19" s="3">
        <v>3.5</v>
      </c>
      <c r="D19" s="3">
        <v>1.4</v>
      </c>
      <c r="E19" s="3">
        <v>0.3</v>
      </c>
      <c r="F19" s="4">
        <f t="shared" si="1"/>
        <v>0</v>
      </c>
      <c r="G19" s="4">
        <f t="shared" si="2"/>
        <v>-0.2291776839</v>
      </c>
      <c r="H19" s="4" t="str">
        <f t="shared" si="3"/>
        <v>Iris-setosa</v>
      </c>
      <c r="I19" s="4">
        <f t="shared" si="4"/>
        <v>0</v>
      </c>
      <c r="J19" s="4">
        <f t="shared" si="5"/>
        <v>0.0001860920693</v>
      </c>
      <c r="K19" s="2" t="s">
        <v>23</v>
      </c>
      <c r="L19" s="4">
        <f>SUM(J2:J152)</f>
        <v>0.8083672664</v>
      </c>
    </row>
    <row r="20">
      <c r="A20" s="3" t="s">
        <v>10</v>
      </c>
      <c r="B20" s="3">
        <v>5.7</v>
      </c>
      <c r="C20" s="3">
        <v>3.8</v>
      </c>
      <c r="D20" s="3">
        <v>1.7</v>
      </c>
      <c r="E20" s="3">
        <v>0.3</v>
      </c>
      <c r="F20" s="4">
        <f t="shared" si="1"/>
        <v>0</v>
      </c>
      <c r="G20" s="4">
        <f t="shared" si="2"/>
        <v>-0.2514571578</v>
      </c>
      <c r="H20" s="4" t="str">
        <f t="shared" si="3"/>
        <v>Iris-setosa</v>
      </c>
      <c r="I20" s="4">
        <f t="shared" si="4"/>
        <v>0</v>
      </c>
      <c r="J20" s="4">
        <f t="shared" si="5"/>
        <v>0.00129032044</v>
      </c>
      <c r="K20" s="2" t="s">
        <v>24</v>
      </c>
      <c r="L20" s="4">
        <f>L18/L19</f>
        <v>0.645439156</v>
      </c>
    </row>
    <row r="21" ht="15.75" customHeight="1">
      <c r="A21" s="3" t="s">
        <v>10</v>
      </c>
      <c r="B21" s="3">
        <v>5.1</v>
      </c>
      <c r="C21" s="3">
        <v>3.8</v>
      </c>
      <c r="D21" s="3">
        <v>1.5</v>
      </c>
      <c r="E21" s="3">
        <v>0.3</v>
      </c>
      <c r="F21" s="4">
        <f t="shared" si="1"/>
        <v>0</v>
      </c>
      <c r="G21" s="4">
        <f t="shared" si="2"/>
        <v>-0.2474102208</v>
      </c>
      <c r="H21" s="4" t="str">
        <f t="shared" si="3"/>
        <v>Iris-setosa</v>
      </c>
      <c r="I21" s="4">
        <f t="shared" si="4"/>
        <v>0</v>
      </c>
      <c r="J21" s="4">
        <f t="shared" si="5"/>
        <v>0.001015957843</v>
      </c>
    </row>
    <row r="22" ht="15.75" customHeight="1">
      <c r="A22" s="3" t="s">
        <v>10</v>
      </c>
      <c r="B22" s="3">
        <v>5.4</v>
      </c>
      <c r="C22" s="3">
        <v>3.4</v>
      </c>
      <c r="D22" s="3">
        <v>1.7</v>
      </c>
      <c r="E22" s="3">
        <v>0.2</v>
      </c>
      <c r="F22" s="4">
        <f t="shared" si="1"/>
        <v>0</v>
      </c>
      <c r="G22" s="4">
        <f t="shared" si="2"/>
        <v>-0.2084804484</v>
      </c>
      <c r="H22" s="4" t="str">
        <f t="shared" si="3"/>
        <v>Iris-setosa</v>
      </c>
      <c r="I22" s="4">
        <f t="shared" si="4"/>
        <v>0</v>
      </c>
      <c r="J22" s="4">
        <f t="shared" si="5"/>
        <v>0.00004978260327</v>
      </c>
    </row>
    <row r="23" ht="15.75" customHeight="1">
      <c r="A23" s="3" t="s">
        <v>10</v>
      </c>
      <c r="B23" s="3">
        <v>5.1</v>
      </c>
      <c r="C23" s="3">
        <v>3.7</v>
      </c>
      <c r="D23" s="3">
        <v>1.5</v>
      </c>
      <c r="E23" s="3">
        <v>0.4</v>
      </c>
      <c r="F23" s="4">
        <f t="shared" si="1"/>
        <v>0</v>
      </c>
      <c r="G23" s="4">
        <f t="shared" si="2"/>
        <v>-0.2147688714</v>
      </c>
      <c r="H23" s="4" t="str">
        <f t="shared" si="3"/>
        <v>Iris-setosa</v>
      </c>
      <c r="I23" s="4">
        <f t="shared" si="4"/>
        <v>0</v>
      </c>
      <c r="J23" s="4">
        <f t="shared" si="5"/>
        <v>0.0000005886814565</v>
      </c>
    </row>
    <row r="24" ht="15.75" customHeight="1">
      <c r="A24" s="3" t="s">
        <v>10</v>
      </c>
      <c r="B24" s="3">
        <v>4.6</v>
      </c>
      <c r="C24" s="3">
        <v>3.6</v>
      </c>
      <c r="D24" s="3">
        <v>1.0</v>
      </c>
      <c r="E24" s="3">
        <v>0.2</v>
      </c>
      <c r="F24" s="4">
        <f t="shared" si="1"/>
        <v>0</v>
      </c>
      <c r="G24" s="4">
        <f t="shared" si="2"/>
        <v>-0.296252736</v>
      </c>
      <c r="H24" s="4" t="str">
        <f t="shared" si="3"/>
        <v>Iris-setosa</v>
      </c>
      <c r="I24" s="4">
        <f t="shared" si="4"/>
        <v>0</v>
      </c>
      <c r="J24" s="4">
        <f t="shared" si="5"/>
        <v>0.006515170937</v>
      </c>
    </row>
    <row r="25" ht="15.75" customHeight="1">
      <c r="A25" s="3" t="s">
        <v>10</v>
      </c>
      <c r="B25" s="3">
        <v>5.1</v>
      </c>
      <c r="C25" s="3">
        <v>3.3</v>
      </c>
      <c r="D25" s="3">
        <v>1.7</v>
      </c>
      <c r="E25" s="3">
        <v>0.5</v>
      </c>
      <c r="F25" s="4">
        <f t="shared" si="1"/>
        <v>0</v>
      </c>
      <c r="G25" s="4">
        <f t="shared" si="2"/>
        <v>-0.1152870777</v>
      </c>
      <c r="H25" s="4" t="str">
        <f t="shared" si="3"/>
        <v>Iris-setosa</v>
      </c>
      <c r="I25" s="4">
        <f t="shared" si="4"/>
        <v>0</v>
      </c>
      <c r="J25" s="4">
        <f t="shared" si="5"/>
        <v>0.01004987192</v>
      </c>
    </row>
    <row r="26" ht="15.75" customHeight="1">
      <c r="A26" s="3" t="s">
        <v>10</v>
      </c>
      <c r="B26" s="3">
        <v>4.8</v>
      </c>
      <c r="C26" s="3">
        <v>3.4</v>
      </c>
      <c r="D26" s="3">
        <v>1.9</v>
      </c>
      <c r="E26" s="3">
        <v>0.2</v>
      </c>
      <c r="F26" s="4">
        <f t="shared" si="1"/>
        <v>0</v>
      </c>
      <c r="G26" s="4">
        <f t="shared" si="2"/>
        <v>-0.1396229682</v>
      </c>
      <c r="H26" s="4" t="str">
        <f t="shared" si="3"/>
        <v>Iris-setosa</v>
      </c>
      <c r="I26" s="4">
        <f t="shared" si="4"/>
        <v>0</v>
      </c>
      <c r="J26" s="4">
        <f t="shared" si="5"/>
        <v>0.005762807709</v>
      </c>
    </row>
    <row r="27" ht="15.75" customHeight="1">
      <c r="A27" s="3" t="s">
        <v>10</v>
      </c>
      <c r="B27" s="3">
        <v>5.0</v>
      </c>
      <c r="C27" s="3">
        <v>3.0</v>
      </c>
      <c r="D27" s="3">
        <v>1.6</v>
      </c>
      <c r="E27" s="3">
        <v>0.2</v>
      </c>
      <c r="F27" s="4">
        <f t="shared" si="1"/>
        <v>0</v>
      </c>
      <c r="G27" s="4">
        <f t="shared" si="2"/>
        <v>-0.1544680482</v>
      </c>
      <c r="H27" s="4" t="str">
        <f t="shared" si="3"/>
        <v>Iris-setosa</v>
      </c>
      <c r="I27" s="4">
        <f t="shared" si="4"/>
        <v>0</v>
      </c>
      <c r="J27" s="4">
        <f t="shared" si="5"/>
        <v>0.003729310272</v>
      </c>
    </row>
    <row r="28" ht="15.75" customHeight="1">
      <c r="A28" s="3" t="s">
        <v>10</v>
      </c>
      <c r="B28" s="3">
        <v>5.0</v>
      </c>
      <c r="C28" s="3">
        <v>3.4</v>
      </c>
      <c r="D28" s="3">
        <v>1.6</v>
      </c>
      <c r="E28" s="3">
        <v>0.4</v>
      </c>
      <c r="F28" s="4">
        <f t="shared" si="1"/>
        <v>0</v>
      </c>
      <c r="G28" s="4">
        <f t="shared" si="2"/>
        <v>-0.1580556948</v>
      </c>
      <c r="H28" s="4" t="str">
        <f t="shared" si="3"/>
        <v>Iris-setosa</v>
      </c>
      <c r="I28" s="4">
        <f t="shared" si="4"/>
        <v>0</v>
      </c>
      <c r="J28" s="4">
        <f t="shared" si="5"/>
        <v>0.003304000108</v>
      </c>
    </row>
    <row r="29" ht="15.75" customHeight="1">
      <c r="A29" s="3" t="s">
        <v>10</v>
      </c>
      <c r="B29" s="3">
        <v>5.2</v>
      </c>
      <c r="C29" s="3">
        <v>3.5</v>
      </c>
      <c r="D29" s="3">
        <v>1.5</v>
      </c>
      <c r="E29" s="3">
        <v>0.2</v>
      </c>
      <c r="F29" s="4">
        <f t="shared" si="1"/>
        <v>0</v>
      </c>
      <c r="G29" s="4">
        <f t="shared" si="2"/>
        <v>-0.2402133747</v>
      </c>
      <c r="H29" s="4" t="str">
        <f t="shared" si="3"/>
        <v>Iris-setosa</v>
      </c>
      <c r="I29" s="4">
        <f t="shared" si="4"/>
        <v>0</v>
      </c>
      <c r="J29" s="4">
        <f t="shared" si="5"/>
        <v>0.0006089665444</v>
      </c>
    </row>
    <row r="30" ht="15.75" customHeight="1">
      <c r="A30" s="3" t="s">
        <v>10</v>
      </c>
      <c r="B30" s="3">
        <v>5.2</v>
      </c>
      <c r="C30" s="3">
        <v>3.4</v>
      </c>
      <c r="D30" s="3">
        <v>1.4</v>
      </c>
      <c r="E30" s="3">
        <v>0.2</v>
      </c>
      <c r="F30" s="4">
        <f t="shared" si="1"/>
        <v>0</v>
      </c>
      <c r="G30" s="4">
        <f t="shared" si="2"/>
        <v>-0.2449376196</v>
      </c>
      <c r="H30" s="4" t="str">
        <f t="shared" si="3"/>
        <v>Iris-setosa</v>
      </c>
      <c r="I30" s="4">
        <f t="shared" si="4"/>
        <v>0</v>
      </c>
      <c r="J30" s="4">
        <f t="shared" si="5"/>
        <v>0.0008644477556</v>
      </c>
    </row>
    <row r="31" ht="15.75" customHeight="1">
      <c r="A31" s="3" t="s">
        <v>10</v>
      </c>
      <c r="B31" s="3">
        <v>4.7</v>
      </c>
      <c r="C31" s="3">
        <v>3.2</v>
      </c>
      <c r="D31" s="3">
        <v>1.6</v>
      </c>
      <c r="E31" s="3">
        <v>0.2</v>
      </c>
      <c r="F31" s="4">
        <f t="shared" si="1"/>
        <v>0</v>
      </c>
      <c r="G31" s="4">
        <f t="shared" si="2"/>
        <v>-0.1591987257</v>
      </c>
      <c r="H31" s="4" t="str">
        <f t="shared" si="3"/>
        <v>Iris-setosa</v>
      </c>
      <c r="I31" s="4">
        <f t="shared" si="4"/>
        <v>0</v>
      </c>
      <c r="J31" s="4">
        <f t="shared" si="5"/>
        <v>0.003173902807</v>
      </c>
    </row>
    <row r="32" ht="15.75" customHeight="1">
      <c r="A32" s="3" t="s">
        <v>10</v>
      </c>
      <c r="B32" s="3">
        <v>4.8</v>
      </c>
      <c r="C32" s="3">
        <v>3.1</v>
      </c>
      <c r="D32" s="3">
        <v>1.6</v>
      </c>
      <c r="E32" s="3">
        <v>0.2</v>
      </c>
      <c r="F32" s="4">
        <f t="shared" si="1"/>
        <v>0</v>
      </c>
      <c r="G32" s="4">
        <f t="shared" si="2"/>
        <v>-0.1537957029</v>
      </c>
      <c r="H32" s="4" t="str">
        <f t="shared" si="3"/>
        <v>Iris-setosa</v>
      </c>
      <c r="I32" s="4">
        <f t="shared" si="4"/>
        <v>0</v>
      </c>
      <c r="J32" s="4">
        <f t="shared" si="5"/>
        <v>0.003811879992</v>
      </c>
    </row>
    <row r="33" ht="15.75" customHeight="1">
      <c r="A33" s="3" t="s">
        <v>10</v>
      </c>
      <c r="B33" s="3">
        <v>5.4</v>
      </c>
      <c r="C33" s="3">
        <v>3.4</v>
      </c>
      <c r="D33" s="3">
        <v>1.5</v>
      </c>
      <c r="E33" s="3">
        <v>0.4</v>
      </c>
      <c r="F33" s="4">
        <f t="shared" si="1"/>
        <v>0</v>
      </c>
      <c r="G33" s="4">
        <f t="shared" si="2"/>
        <v>-0.198559803</v>
      </c>
      <c r="H33" s="4" t="str">
        <f t="shared" si="3"/>
        <v>Iris-setosa</v>
      </c>
      <c r="I33" s="4">
        <f t="shared" si="4"/>
        <v>0</v>
      </c>
      <c r="J33" s="4">
        <f t="shared" si="5"/>
        <v>0.0002881955832</v>
      </c>
    </row>
    <row r="34" ht="15.75" customHeight="1">
      <c r="A34" s="3" t="s">
        <v>10</v>
      </c>
      <c r="B34" s="3">
        <v>5.2</v>
      </c>
      <c r="C34" s="3">
        <v>4.1</v>
      </c>
      <c r="D34" s="3">
        <v>1.5</v>
      </c>
      <c r="E34" s="3">
        <v>0.1</v>
      </c>
      <c r="F34" s="4">
        <f t="shared" si="1"/>
        <v>0</v>
      </c>
      <c r="G34" s="4">
        <f t="shared" si="2"/>
        <v>-0.3302466786</v>
      </c>
      <c r="H34" s="4" t="str">
        <f t="shared" si="3"/>
        <v>Iris-setosa</v>
      </c>
      <c r="I34" s="4">
        <f t="shared" si="4"/>
        <v>0</v>
      </c>
      <c r="J34" s="4">
        <f t="shared" si="5"/>
        <v>0.0131585106</v>
      </c>
    </row>
    <row r="35" ht="15.75" customHeight="1">
      <c r="A35" s="3" t="s">
        <v>10</v>
      </c>
      <c r="B35" s="3">
        <v>5.5</v>
      </c>
      <c r="C35" s="3">
        <v>4.2</v>
      </c>
      <c r="D35" s="3">
        <v>1.4</v>
      </c>
      <c r="E35" s="3">
        <v>0.2</v>
      </c>
      <c r="F35" s="4">
        <f t="shared" si="1"/>
        <v>0</v>
      </c>
      <c r="G35" s="4">
        <f t="shared" si="2"/>
        <v>-0.3549908511</v>
      </c>
      <c r="H35" s="4" t="str">
        <f t="shared" si="3"/>
        <v>Iris-setosa</v>
      </c>
      <c r="I35" s="4">
        <f t="shared" si="4"/>
        <v>0</v>
      </c>
      <c r="J35" s="4">
        <f t="shared" si="5"/>
        <v>0.01944762002</v>
      </c>
    </row>
    <row r="36" ht="15.75" customHeight="1">
      <c r="A36" s="3" t="s">
        <v>10</v>
      </c>
      <c r="B36" s="3">
        <v>4.9</v>
      </c>
      <c r="C36" s="3">
        <v>3.1</v>
      </c>
      <c r="D36" s="3">
        <v>1.5</v>
      </c>
      <c r="E36" s="3">
        <v>0.1</v>
      </c>
      <c r="F36" s="4">
        <f t="shared" si="1"/>
        <v>0</v>
      </c>
      <c r="G36" s="4">
        <f t="shared" si="2"/>
        <v>-0.1972366653</v>
      </c>
      <c r="H36" s="4" t="str">
        <f t="shared" si="3"/>
        <v>Iris-setosa</v>
      </c>
      <c r="I36" s="4">
        <f t="shared" si="4"/>
        <v>0</v>
      </c>
      <c r="J36" s="4">
        <f t="shared" si="5"/>
        <v>0.0003348703057</v>
      </c>
    </row>
    <row r="37" ht="15.75" customHeight="1">
      <c r="A37" s="3" t="s">
        <v>10</v>
      </c>
      <c r="B37" s="3">
        <v>5.0</v>
      </c>
      <c r="C37" s="3">
        <v>3.2</v>
      </c>
      <c r="D37" s="3">
        <v>1.2</v>
      </c>
      <c r="E37" s="3">
        <v>0.2</v>
      </c>
      <c r="F37" s="4">
        <f t="shared" si="1"/>
        <v>0</v>
      </c>
      <c r="G37" s="4">
        <f t="shared" si="2"/>
        <v>-0.2422353732</v>
      </c>
      <c r="H37" s="4" t="str">
        <f t="shared" si="3"/>
        <v>Iris-setosa</v>
      </c>
      <c r="I37" s="4">
        <f t="shared" si="4"/>
        <v>0</v>
      </c>
      <c r="J37" s="4">
        <f t="shared" si="5"/>
        <v>0.0007128497372</v>
      </c>
    </row>
    <row r="38" ht="15.75" customHeight="1">
      <c r="A38" s="3" t="s">
        <v>10</v>
      </c>
      <c r="B38" s="3">
        <v>5.5</v>
      </c>
      <c r="C38" s="3">
        <v>3.5</v>
      </c>
      <c r="D38" s="3">
        <v>1.3</v>
      </c>
      <c r="E38" s="3">
        <v>0.2</v>
      </c>
      <c r="F38" s="4">
        <f t="shared" si="1"/>
        <v>0</v>
      </c>
      <c r="G38" s="4">
        <f t="shared" si="2"/>
        <v>-0.2908447506</v>
      </c>
      <c r="H38" s="4" t="str">
        <f t="shared" si="3"/>
        <v>Iris-setosa</v>
      </c>
      <c r="I38" s="4">
        <f t="shared" si="4"/>
        <v>0</v>
      </c>
      <c r="J38" s="4">
        <f t="shared" si="5"/>
        <v>0.005671388759</v>
      </c>
    </row>
    <row r="39" ht="15.75" customHeight="1">
      <c r="A39" s="3" t="s">
        <v>10</v>
      </c>
      <c r="B39" s="3">
        <v>4.9</v>
      </c>
      <c r="C39" s="3">
        <v>3.1</v>
      </c>
      <c r="D39" s="3">
        <v>1.5</v>
      </c>
      <c r="E39" s="3">
        <v>0.1</v>
      </c>
      <c r="F39" s="4">
        <f t="shared" si="1"/>
        <v>0</v>
      </c>
      <c r="G39" s="4">
        <f t="shared" si="2"/>
        <v>-0.1972366653</v>
      </c>
      <c r="H39" s="4" t="str">
        <f t="shared" si="3"/>
        <v>Iris-setosa</v>
      </c>
      <c r="I39" s="4">
        <f t="shared" si="4"/>
        <v>0</v>
      </c>
      <c r="J39" s="4">
        <f t="shared" si="5"/>
        <v>0.0003348703057</v>
      </c>
    </row>
    <row r="40" ht="15.75" customHeight="1">
      <c r="A40" s="3" t="s">
        <v>10</v>
      </c>
      <c r="B40" s="3">
        <v>4.4</v>
      </c>
      <c r="C40" s="3">
        <v>3.0</v>
      </c>
      <c r="D40" s="3">
        <v>1.3</v>
      </c>
      <c r="E40" s="3">
        <v>0.2</v>
      </c>
      <c r="F40" s="4">
        <f t="shared" si="1"/>
        <v>0</v>
      </c>
      <c r="G40" s="4">
        <f t="shared" si="2"/>
        <v>-0.166623747</v>
      </c>
      <c r="H40" s="4" t="str">
        <f t="shared" si="3"/>
        <v>Iris-setosa</v>
      </c>
      <c r="I40" s="4">
        <f t="shared" si="4"/>
        <v>0</v>
      </c>
      <c r="J40" s="4">
        <f t="shared" si="5"/>
        <v>0.002392420936</v>
      </c>
    </row>
    <row r="41" ht="15.75" customHeight="1">
      <c r="A41" s="3" t="s">
        <v>10</v>
      </c>
      <c r="B41" s="3">
        <v>5.1</v>
      </c>
      <c r="C41" s="3">
        <v>3.4</v>
      </c>
      <c r="D41" s="3">
        <v>1.5</v>
      </c>
      <c r="E41" s="3">
        <v>0.2</v>
      </c>
      <c r="F41" s="4">
        <f t="shared" si="1"/>
        <v>0</v>
      </c>
      <c r="G41" s="4">
        <f t="shared" si="2"/>
        <v>-0.2226596157</v>
      </c>
      <c r="H41" s="4" t="str">
        <f t="shared" si="3"/>
        <v>Iris-setosa</v>
      </c>
      <c r="I41" s="4">
        <f t="shared" si="4"/>
        <v>0</v>
      </c>
      <c r="J41" s="4">
        <f t="shared" si="5"/>
        <v>0.00005074408847</v>
      </c>
    </row>
    <row r="42" ht="15.75" customHeight="1">
      <c r="A42" s="3" t="s">
        <v>10</v>
      </c>
      <c r="B42" s="3">
        <v>5.0</v>
      </c>
      <c r="C42" s="3">
        <v>3.5</v>
      </c>
      <c r="D42" s="3">
        <v>1.3</v>
      </c>
      <c r="E42" s="3">
        <v>0.3</v>
      </c>
      <c r="F42" s="4">
        <f t="shared" si="1"/>
        <v>0</v>
      </c>
      <c r="G42" s="4">
        <f t="shared" si="2"/>
        <v>-0.2393049516</v>
      </c>
      <c r="H42" s="4" t="str">
        <f t="shared" si="3"/>
        <v>Iris-setosa</v>
      </c>
      <c r="I42" s="4">
        <f t="shared" si="4"/>
        <v>0</v>
      </c>
      <c r="J42" s="4">
        <f t="shared" si="5"/>
        <v>0.0005649570135</v>
      </c>
    </row>
    <row r="43" ht="15.75" customHeight="1">
      <c r="A43" s="3" t="s">
        <v>10</v>
      </c>
      <c r="B43" s="3">
        <v>4.5</v>
      </c>
      <c r="C43" s="3">
        <v>2.3</v>
      </c>
      <c r="D43" s="3">
        <v>1.3</v>
      </c>
      <c r="E43" s="3">
        <v>0.3</v>
      </c>
      <c r="F43" s="4">
        <f t="shared" si="1"/>
        <v>0</v>
      </c>
      <c r="G43" s="4">
        <f t="shared" si="2"/>
        <v>-0.0711874203</v>
      </c>
      <c r="H43" s="4" t="str">
        <f t="shared" si="3"/>
        <v>Iris-setosa</v>
      </c>
      <c r="I43" s="4">
        <f t="shared" si="4"/>
        <v>0</v>
      </c>
      <c r="J43" s="4">
        <f t="shared" si="5"/>
        <v>0.02083654918</v>
      </c>
    </row>
    <row r="44" ht="15.75" customHeight="1">
      <c r="A44" s="3" t="s">
        <v>10</v>
      </c>
      <c r="B44" s="3">
        <v>4.4</v>
      </c>
      <c r="C44" s="3">
        <v>3.2</v>
      </c>
      <c r="D44" s="3">
        <v>1.3</v>
      </c>
      <c r="E44" s="3">
        <v>0.2</v>
      </c>
      <c r="F44" s="4">
        <f t="shared" si="1"/>
        <v>0</v>
      </c>
      <c r="G44" s="4">
        <f t="shared" si="2"/>
        <v>-0.1895805288</v>
      </c>
      <c r="H44" s="4" t="str">
        <f t="shared" si="3"/>
        <v>Iris-setosa</v>
      </c>
      <c r="I44" s="4">
        <f t="shared" si="4"/>
        <v>0</v>
      </c>
      <c r="J44" s="4">
        <f t="shared" si="5"/>
        <v>0.0006736930881</v>
      </c>
    </row>
    <row r="45" ht="15.75" customHeight="1">
      <c r="A45" s="3" t="s">
        <v>10</v>
      </c>
      <c r="B45" s="3">
        <v>5.0</v>
      </c>
      <c r="C45" s="3">
        <v>3.5</v>
      </c>
      <c r="D45" s="3">
        <v>1.6</v>
      </c>
      <c r="E45" s="3">
        <v>0.6</v>
      </c>
      <c r="F45" s="4">
        <f t="shared" si="1"/>
        <v>0</v>
      </c>
      <c r="G45" s="4">
        <f t="shared" si="2"/>
        <v>-0.1272081687</v>
      </c>
      <c r="H45" s="4" t="str">
        <f t="shared" si="3"/>
        <v>Iris-setosa</v>
      </c>
      <c r="I45" s="4">
        <f t="shared" si="4"/>
        <v>0</v>
      </c>
      <c r="J45" s="4">
        <f t="shared" si="5"/>
        <v>0.007801828252</v>
      </c>
    </row>
    <row r="46" ht="15.75" customHeight="1">
      <c r="A46" s="3" t="s">
        <v>10</v>
      </c>
      <c r="B46" s="3">
        <v>5.1</v>
      </c>
      <c r="C46" s="3">
        <v>3.8</v>
      </c>
      <c r="D46" s="3">
        <v>1.9</v>
      </c>
      <c r="E46" s="3">
        <v>0.4</v>
      </c>
      <c r="F46" s="4">
        <f t="shared" si="1"/>
        <v>0</v>
      </c>
      <c r="G46" s="4">
        <f t="shared" si="2"/>
        <v>-0.1614367191</v>
      </c>
      <c r="H46" s="4" t="str">
        <f t="shared" si="3"/>
        <v>Iris-setosa</v>
      </c>
      <c r="I46" s="4">
        <f t="shared" si="4"/>
        <v>0</v>
      </c>
      <c r="J46" s="4">
        <f t="shared" si="5"/>
        <v>0.002926745956</v>
      </c>
    </row>
    <row r="47" ht="15.75" customHeight="1">
      <c r="A47" s="3" t="s">
        <v>10</v>
      </c>
      <c r="B47" s="3">
        <v>4.8</v>
      </c>
      <c r="C47" s="3">
        <v>3.0</v>
      </c>
      <c r="D47" s="3">
        <v>1.4</v>
      </c>
      <c r="E47" s="3">
        <v>0.3</v>
      </c>
      <c r="F47" s="4">
        <f t="shared" si="1"/>
        <v>0</v>
      </c>
      <c r="G47" s="4">
        <f t="shared" si="2"/>
        <v>-0.1535596251</v>
      </c>
      <c r="H47" s="4" t="str">
        <f t="shared" si="3"/>
        <v>Iris-setosa</v>
      </c>
      <c r="I47" s="4">
        <f t="shared" si="4"/>
        <v>0</v>
      </c>
      <c r="J47" s="4">
        <f t="shared" si="5"/>
        <v>0.003841086812</v>
      </c>
    </row>
    <row r="48" ht="15.75" customHeight="1">
      <c r="A48" s="3" t="s">
        <v>10</v>
      </c>
      <c r="B48" s="3">
        <v>5.1</v>
      </c>
      <c r="C48" s="3">
        <v>3.8</v>
      </c>
      <c r="D48" s="3">
        <v>1.6</v>
      </c>
      <c r="E48" s="3">
        <v>0.2</v>
      </c>
      <c r="F48" s="4">
        <f t="shared" si="1"/>
        <v>0</v>
      </c>
      <c r="G48" s="4">
        <f t="shared" si="2"/>
        <v>-0.2523705435</v>
      </c>
      <c r="H48" s="4" t="str">
        <f t="shared" si="3"/>
        <v>Iris-setosa</v>
      </c>
      <c r="I48" s="4">
        <f t="shared" si="4"/>
        <v>0</v>
      </c>
      <c r="J48" s="4">
        <f t="shared" si="5"/>
        <v>0.001356774224</v>
      </c>
    </row>
    <row r="49" ht="15.75" customHeight="1">
      <c r="A49" s="3" t="s">
        <v>10</v>
      </c>
      <c r="B49" s="3">
        <v>4.6</v>
      </c>
      <c r="C49" s="3">
        <v>3.2</v>
      </c>
      <c r="D49" s="3">
        <v>1.4</v>
      </c>
      <c r="E49" s="3">
        <v>0.2</v>
      </c>
      <c r="F49" s="4">
        <f t="shared" si="1"/>
        <v>0</v>
      </c>
      <c r="G49" s="4">
        <f t="shared" si="2"/>
        <v>-0.1855286292</v>
      </c>
      <c r="H49" s="4" t="str">
        <f t="shared" si="3"/>
        <v>Iris-setosa</v>
      </c>
      <c r="I49" s="4">
        <f t="shared" si="4"/>
        <v>0</v>
      </c>
      <c r="J49" s="4">
        <f t="shared" si="5"/>
        <v>0.000900449936</v>
      </c>
    </row>
    <row r="50" ht="15.75" customHeight="1">
      <c r="A50" s="3" t="s">
        <v>10</v>
      </c>
      <c r="B50" s="3">
        <v>5.3</v>
      </c>
      <c r="C50" s="3">
        <v>3.7</v>
      </c>
      <c r="D50" s="3">
        <v>1.5</v>
      </c>
      <c r="E50" s="3">
        <v>0.2</v>
      </c>
      <c r="F50" s="4">
        <f t="shared" si="1"/>
        <v>0</v>
      </c>
      <c r="G50" s="4">
        <f t="shared" si="2"/>
        <v>-0.2692455246</v>
      </c>
      <c r="H50" s="4" t="str">
        <f t="shared" si="3"/>
        <v>Iris-setosa</v>
      </c>
      <c r="I50" s="4">
        <f t="shared" si="4"/>
        <v>0</v>
      </c>
      <c r="J50" s="4">
        <f t="shared" si="5"/>
        <v>0.00288469937</v>
      </c>
    </row>
    <row r="51" ht="15.75" customHeight="1">
      <c r="A51" s="3" t="s">
        <v>10</v>
      </c>
      <c r="B51" s="3">
        <v>5.0</v>
      </c>
      <c r="C51" s="3">
        <v>3.3</v>
      </c>
      <c r="D51" s="3">
        <v>1.4</v>
      </c>
      <c r="E51" s="3">
        <v>0.2</v>
      </c>
      <c r="F51" s="4">
        <f t="shared" si="1"/>
        <v>0</v>
      </c>
      <c r="G51" s="4">
        <f t="shared" si="2"/>
        <v>-0.2213084925</v>
      </c>
      <c r="H51" s="4" t="str">
        <f t="shared" si="3"/>
        <v>Iris-setosa</v>
      </c>
      <c r="I51" s="4">
        <f t="shared" si="4"/>
        <v>0</v>
      </c>
      <c r="J51" s="4">
        <f t="shared" si="5"/>
        <v>0.0000333202012</v>
      </c>
    </row>
    <row r="52" ht="15.75" customHeight="1">
      <c r="A52" s="3" t="s">
        <v>11</v>
      </c>
      <c r="B52" s="3">
        <v>7.0</v>
      </c>
      <c r="C52" s="3">
        <v>3.2</v>
      </c>
      <c r="D52" s="3">
        <v>4.7</v>
      </c>
      <c r="E52" s="3">
        <v>1.4</v>
      </c>
      <c r="F52" s="4">
        <f t="shared" si="1"/>
        <v>1</v>
      </c>
      <c r="G52" s="4">
        <f t="shared" si="2"/>
        <v>0.4573050198</v>
      </c>
      <c r="H52" s="4" t="str">
        <f t="shared" si="3"/>
        <v>Iris-versicolor</v>
      </c>
      <c r="I52" s="4">
        <f t="shared" si="4"/>
        <v>0</v>
      </c>
      <c r="J52" s="4">
        <f t="shared" si="5"/>
        <v>0.000731529966</v>
      </c>
    </row>
    <row r="53" ht="15.75" customHeight="1">
      <c r="A53" s="3" t="s">
        <v>11</v>
      </c>
      <c r="B53" s="3">
        <v>6.4</v>
      </c>
      <c r="C53" s="3">
        <v>3.2</v>
      </c>
      <c r="D53" s="3">
        <v>4.5</v>
      </c>
      <c r="E53" s="3">
        <v>1.5</v>
      </c>
      <c r="F53" s="4">
        <f t="shared" si="1"/>
        <v>1</v>
      </c>
      <c r="G53" s="4">
        <f t="shared" si="2"/>
        <v>0.4825149153</v>
      </c>
      <c r="H53" s="4" t="str">
        <f t="shared" si="3"/>
        <v>Iris-versicolor</v>
      </c>
      <c r="I53" s="4">
        <f t="shared" si="4"/>
        <v>0</v>
      </c>
      <c r="J53" s="4">
        <f t="shared" si="5"/>
        <v>0.000003374257246</v>
      </c>
    </row>
    <row r="54" ht="15.75" customHeight="1">
      <c r="A54" s="3" t="s">
        <v>11</v>
      </c>
      <c r="B54" s="3">
        <v>6.9</v>
      </c>
      <c r="C54" s="3">
        <v>3.1</v>
      </c>
      <c r="D54" s="3">
        <v>4.9</v>
      </c>
      <c r="E54" s="3">
        <v>1.5</v>
      </c>
      <c r="F54" s="4">
        <f t="shared" si="1"/>
        <v>1</v>
      </c>
      <c r="G54" s="4">
        <f t="shared" si="2"/>
        <v>0.5284270089</v>
      </c>
      <c r="H54" s="4" t="str">
        <f t="shared" si="3"/>
        <v>Iris-versicolor</v>
      </c>
      <c r="I54" s="4">
        <f t="shared" si="4"/>
        <v>0</v>
      </c>
      <c r="J54" s="4">
        <f t="shared" si="5"/>
        <v>0.001942621356</v>
      </c>
    </row>
    <row r="55" ht="15.75" customHeight="1">
      <c r="A55" s="3" t="s">
        <v>11</v>
      </c>
      <c r="B55" s="3">
        <v>5.5</v>
      </c>
      <c r="C55" s="3">
        <v>2.3</v>
      </c>
      <c r="D55" s="3">
        <v>4.0</v>
      </c>
      <c r="E55" s="3">
        <v>1.3</v>
      </c>
      <c r="F55" s="4">
        <f t="shared" si="1"/>
        <v>1</v>
      </c>
      <c r="G55" s="4">
        <f t="shared" si="2"/>
        <v>0.5171596503</v>
      </c>
      <c r="H55" s="4" t="str">
        <f t="shared" si="3"/>
        <v>Iris-versicolor</v>
      </c>
      <c r="I55" s="4">
        <f t="shared" si="4"/>
        <v>0</v>
      </c>
      <c r="J55" s="4">
        <f t="shared" si="5"/>
        <v>0.001076353044</v>
      </c>
    </row>
    <row r="56" ht="15.75" customHeight="1">
      <c r="A56" s="3" t="s">
        <v>11</v>
      </c>
      <c r="B56" s="3">
        <v>6.5</v>
      </c>
      <c r="C56" s="3">
        <v>2.8</v>
      </c>
      <c r="D56" s="3">
        <v>4.6</v>
      </c>
      <c r="E56" s="3">
        <v>1.5</v>
      </c>
      <c r="F56" s="4">
        <f t="shared" si="1"/>
        <v>1</v>
      </c>
      <c r="G56" s="4">
        <f t="shared" si="2"/>
        <v>0.5385557466</v>
      </c>
      <c r="H56" s="4" t="str">
        <f t="shared" si="3"/>
        <v>Iris-versicolor</v>
      </c>
      <c r="I56" s="4">
        <f t="shared" si="4"/>
        <v>0</v>
      </c>
      <c r="J56" s="4">
        <f t="shared" si="5"/>
        <v>0.002938064527</v>
      </c>
    </row>
    <row r="57" ht="15.75" customHeight="1">
      <c r="A57" s="3" t="s">
        <v>11</v>
      </c>
      <c r="B57" s="3">
        <v>5.7</v>
      </c>
      <c r="C57" s="3">
        <v>2.8</v>
      </c>
      <c r="D57" s="3">
        <v>4.5</v>
      </c>
      <c r="E57" s="3">
        <v>1.3</v>
      </c>
      <c r="F57" s="4">
        <f t="shared" si="1"/>
        <v>1</v>
      </c>
      <c r="G57" s="4">
        <f t="shared" si="2"/>
        <v>0.5286301386</v>
      </c>
      <c r="H57" s="4" t="str">
        <f t="shared" si="3"/>
        <v>Iris-versicolor</v>
      </c>
      <c r="I57" s="4">
        <f t="shared" si="4"/>
        <v>0</v>
      </c>
      <c r="J57" s="4">
        <f t="shared" si="5"/>
        <v>0.001960568573</v>
      </c>
    </row>
    <row r="58" ht="15.75" customHeight="1">
      <c r="A58" s="3" t="s">
        <v>11</v>
      </c>
      <c r="B58" s="3">
        <v>6.3</v>
      </c>
      <c r="C58" s="3">
        <v>3.3</v>
      </c>
      <c r="D58" s="3">
        <v>4.7</v>
      </c>
      <c r="E58" s="3">
        <v>1.6</v>
      </c>
      <c r="F58" s="4">
        <f t="shared" si="1"/>
        <v>1</v>
      </c>
      <c r="G58" s="4">
        <f t="shared" si="2"/>
        <v>0.5306801226</v>
      </c>
      <c r="H58" s="4" t="str">
        <f t="shared" si="3"/>
        <v>Iris-versicolor</v>
      </c>
      <c r="I58" s="4">
        <f t="shared" si="4"/>
        <v>0</v>
      </c>
      <c r="J58" s="4">
        <f t="shared" si="5"/>
        <v>0.002146310654</v>
      </c>
    </row>
    <row r="59" ht="15.75" customHeight="1">
      <c r="A59" s="3" t="s">
        <v>11</v>
      </c>
      <c r="B59" s="3">
        <v>4.9</v>
      </c>
      <c r="C59" s="3">
        <v>2.4</v>
      </c>
      <c r="D59" s="3">
        <v>3.3</v>
      </c>
      <c r="E59" s="3">
        <v>1.0</v>
      </c>
      <c r="F59" s="4">
        <f t="shared" si="1"/>
        <v>1</v>
      </c>
      <c r="G59" s="4">
        <f t="shared" si="2"/>
        <v>0.3652261419</v>
      </c>
      <c r="H59" s="4" t="str">
        <f t="shared" si="3"/>
        <v>Iris-versicolor</v>
      </c>
      <c r="I59" s="4">
        <f t="shared" si="4"/>
        <v>0</v>
      </c>
      <c r="J59" s="4">
        <f t="shared" si="5"/>
        <v>0.01419092967</v>
      </c>
    </row>
    <row r="60" ht="15.75" customHeight="1">
      <c r="A60" s="3" t="s">
        <v>11</v>
      </c>
      <c r="B60" s="3">
        <v>6.6</v>
      </c>
      <c r="C60" s="3">
        <v>2.9</v>
      </c>
      <c r="D60" s="3">
        <v>4.6</v>
      </c>
      <c r="E60" s="3">
        <v>1.3</v>
      </c>
      <c r="F60" s="4">
        <f t="shared" si="1"/>
        <v>1</v>
      </c>
      <c r="G60" s="4">
        <f t="shared" si="2"/>
        <v>0.4786760706</v>
      </c>
      <c r="H60" s="4" t="str">
        <f t="shared" si="3"/>
        <v>Iris-versicolor</v>
      </c>
      <c r="I60" s="4">
        <f t="shared" si="4"/>
        <v>0</v>
      </c>
      <c r="J60" s="4">
        <f t="shared" si="5"/>
        <v>0.00003221424981</v>
      </c>
    </row>
    <row r="61" ht="15.75" customHeight="1">
      <c r="A61" s="3" t="s">
        <v>11</v>
      </c>
      <c r="B61" s="3">
        <v>5.2</v>
      </c>
      <c r="C61" s="3">
        <v>2.7</v>
      </c>
      <c r="D61" s="3">
        <v>3.9</v>
      </c>
      <c r="E61" s="3">
        <v>1.4</v>
      </c>
      <c r="F61" s="4">
        <f t="shared" si="1"/>
        <v>1</v>
      </c>
      <c r="G61" s="4">
        <f t="shared" si="2"/>
        <v>0.4944325137</v>
      </c>
      <c r="H61" s="4" t="str">
        <f t="shared" si="3"/>
        <v>Iris-versicolor</v>
      </c>
      <c r="I61" s="4">
        <f t="shared" si="4"/>
        <v>0</v>
      </c>
      <c r="J61" s="4">
        <f t="shared" si="5"/>
        <v>0.0001016201749</v>
      </c>
    </row>
    <row r="62" ht="15.75" customHeight="1">
      <c r="A62" s="3" t="s">
        <v>11</v>
      </c>
      <c r="B62" s="3">
        <v>5.0</v>
      </c>
      <c r="C62" s="3">
        <v>2.0</v>
      </c>
      <c r="D62" s="3">
        <v>3.5</v>
      </c>
      <c r="E62" s="3">
        <v>1.0</v>
      </c>
      <c r="F62" s="4">
        <f t="shared" si="1"/>
        <v>1</v>
      </c>
      <c r="G62" s="4">
        <f t="shared" si="2"/>
        <v>0.437469609</v>
      </c>
      <c r="H62" s="4" t="str">
        <f t="shared" si="3"/>
        <v>Iris-versicolor</v>
      </c>
      <c r="I62" s="4">
        <f t="shared" si="4"/>
        <v>0</v>
      </c>
      <c r="J62" s="4">
        <f t="shared" si="5"/>
        <v>0.002197942688</v>
      </c>
    </row>
    <row r="63" ht="15.75" customHeight="1">
      <c r="A63" s="3" t="s">
        <v>11</v>
      </c>
      <c r="B63" s="3">
        <v>5.9</v>
      </c>
      <c r="C63" s="3">
        <v>3.0</v>
      </c>
      <c r="D63" s="3">
        <v>4.2</v>
      </c>
      <c r="E63" s="3">
        <v>1.5</v>
      </c>
      <c r="F63" s="4">
        <f t="shared" si="1"/>
        <v>1</v>
      </c>
      <c r="G63" s="4">
        <f t="shared" si="2"/>
        <v>0.4872406302</v>
      </c>
      <c r="H63" s="4" t="str">
        <f t="shared" si="3"/>
        <v>Iris-versicolor</v>
      </c>
      <c r="I63" s="4">
        <f t="shared" si="4"/>
        <v>0</v>
      </c>
      <c r="J63" s="4">
        <f t="shared" si="5"/>
        <v>0.00000834516403</v>
      </c>
    </row>
    <row r="64" ht="15.75" customHeight="1">
      <c r="A64" s="3" t="s">
        <v>11</v>
      </c>
      <c r="B64" s="3">
        <v>6.0</v>
      </c>
      <c r="C64" s="3">
        <v>2.2</v>
      </c>
      <c r="D64" s="3">
        <v>4.0</v>
      </c>
      <c r="E64" s="3">
        <v>1.0</v>
      </c>
      <c r="F64" s="4">
        <f t="shared" si="1"/>
        <v>1</v>
      </c>
      <c r="G64" s="4">
        <f t="shared" si="2"/>
        <v>0.4347723252</v>
      </c>
      <c r="H64" s="4" t="str">
        <f t="shared" si="3"/>
        <v>Iris-versicolor</v>
      </c>
      <c r="I64" s="4">
        <f t="shared" si="4"/>
        <v>0</v>
      </c>
      <c r="J64" s="4">
        <f t="shared" si="5"/>
        <v>0.00245812734</v>
      </c>
    </row>
    <row r="65" ht="15.75" customHeight="1">
      <c r="A65" s="3" t="s">
        <v>11</v>
      </c>
      <c r="B65" s="3">
        <v>6.1</v>
      </c>
      <c r="C65" s="3">
        <v>2.9</v>
      </c>
      <c r="D65" s="3">
        <v>4.7</v>
      </c>
      <c r="E65" s="3">
        <v>1.4</v>
      </c>
      <c r="F65" s="4">
        <f t="shared" si="1"/>
        <v>1</v>
      </c>
      <c r="G65" s="4">
        <f t="shared" si="2"/>
        <v>0.5464185054</v>
      </c>
      <c r="H65" s="4" t="str">
        <f t="shared" si="3"/>
        <v>Iris-versicolor</v>
      </c>
      <c r="I65" s="4">
        <f t="shared" si="4"/>
        <v>0</v>
      </c>
      <c r="J65" s="4">
        <f t="shared" si="5"/>
        <v>0.00385227214</v>
      </c>
    </row>
    <row r="66" ht="15.75" customHeight="1">
      <c r="A66" s="3" t="s">
        <v>11</v>
      </c>
      <c r="B66" s="3">
        <v>5.6</v>
      </c>
      <c r="C66" s="3">
        <v>2.9</v>
      </c>
      <c r="D66" s="3">
        <v>3.6</v>
      </c>
      <c r="E66" s="3">
        <v>1.3</v>
      </c>
      <c r="F66" s="4">
        <f t="shared" si="1"/>
        <v>1</v>
      </c>
      <c r="G66" s="4">
        <f t="shared" si="2"/>
        <v>0.3774033936</v>
      </c>
      <c r="H66" s="4" t="str">
        <f t="shared" si="3"/>
        <v>Iris-versicolor</v>
      </c>
      <c r="I66" s="4">
        <f t="shared" si="4"/>
        <v>0</v>
      </c>
      <c r="J66" s="4">
        <f t="shared" si="5"/>
        <v>0.01143796814</v>
      </c>
    </row>
    <row r="67" ht="15.75" customHeight="1">
      <c r="A67" s="3" t="s">
        <v>11</v>
      </c>
      <c r="B67" s="3">
        <v>6.7</v>
      </c>
      <c r="C67" s="3">
        <v>3.1</v>
      </c>
      <c r="D67" s="3">
        <v>4.4</v>
      </c>
      <c r="E67" s="3">
        <v>1.4</v>
      </c>
      <c r="F67" s="4">
        <f t="shared" si="1"/>
        <v>1</v>
      </c>
      <c r="G67" s="4">
        <f t="shared" si="2"/>
        <v>0.4384016076</v>
      </c>
      <c r="H67" s="4" t="str">
        <f t="shared" si="3"/>
        <v>Iris-versicolor</v>
      </c>
      <c r="I67" s="4">
        <f t="shared" si="4"/>
        <v>0</v>
      </c>
      <c r="J67" s="4">
        <f t="shared" si="5"/>
        <v>0.002111422979</v>
      </c>
    </row>
    <row r="68" ht="15.75" customHeight="1">
      <c r="A68" s="3" t="s">
        <v>11</v>
      </c>
      <c r="B68" s="3">
        <v>5.6</v>
      </c>
      <c r="C68" s="3">
        <v>3.0</v>
      </c>
      <c r="D68" s="3">
        <v>4.5</v>
      </c>
      <c r="E68" s="3">
        <v>1.5</v>
      </c>
      <c r="F68" s="4">
        <f t="shared" si="1"/>
        <v>1</v>
      </c>
      <c r="G68" s="4">
        <f t="shared" si="2"/>
        <v>0.5540746419</v>
      </c>
      <c r="H68" s="4" t="str">
        <f t="shared" si="3"/>
        <v>Iris-versicolor</v>
      </c>
      <c r="I68" s="4">
        <f t="shared" si="4"/>
        <v>0</v>
      </c>
      <c r="J68" s="4">
        <f t="shared" si="5"/>
        <v>0.004861270437</v>
      </c>
    </row>
    <row r="69" ht="15.75" customHeight="1">
      <c r="A69" s="3" t="s">
        <v>11</v>
      </c>
      <c r="B69" s="3">
        <v>5.8</v>
      </c>
      <c r="C69" s="3">
        <v>2.7</v>
      </c>
      <c r="D69" s="3">
        <v>4.1</v>
      </c>
      <c r="E69" s="3">
        <v>1.0</v>
      </c>
      <c r="F69" s="4">
        <f t="shared" si="1"/>
        <v>1</v>
      </c>
      <c r="G69" s="4">
        <f t="shared" si="2"/>
        <v>0.4057337427</v>
      </c>
      <c r="H69" s="4" t="str">
        <f t="shared" si="3"/>
        <v>Iris-versicolor</v>
      </c>
      <c r="I69" s="4">
        <f t="shared" si="4"/>
        <v>0</v>
      </c>
      <c r="J69" s="4">
        <f t="shared" si="5"/>
        <v>0.006180803721</v>
      </c>
    </row>
    <row r="70" ht="15.75" customHeight="1">
      <c r="A70" s="3" t="s">
        <v>11</v>
      </c>
      <c r="B70" s="3">
        <v>6.2</v>
      </c>
      <c r="C70" s="3">
        <v>2.2</v>
      </c>
      <c r="D70" s="3">
        <v>4.5</v>
      </c>
      <c r="E70" s="3">
        <v>1.5</v>
      </c>
      <c r="F70" s="4">
        <f t="shared" si="1"/>
        <v>1</v>
      </c>
      <c r="G70" s="4">
        <f t="shared" si="2"/>
        <v>0.6094495605</v>
      </c>
      <c r="H70" s="4" t="str">
        <f t="shared" si="3"/>
        <v>Iris-versicolor</v>
      </c>
      <c r="I70" s="4">
        <f t="shared" si="4"/>
        <v>0</v>
      </c>
      <c r="J70" s="4">
        <f t="shared" si="5"/>
        <v>0.01564944207</v>
      </c>
    </row>
    <row r="71" ht="15.75" customHeight="1">
      <c r="A71" s="3" t="s">
        <v>11</v>
      </c>
      <c r="B71" s="3">
        <v>5.6</v>
      </c>
      <c r="C71" s="3">
        <v>2.5</v>
      </c>
      <c r="D71" s="3">
        <v>3.9</v>
      </c>
      <c r="E71" s="3">
        <v>1.1</v>
      </c>
      <c r="F71" s="4">
        <f t="shared" si="1"/>
        <v>1</v>
      </c>
      <c r="G71" s="4">
        <f t="shared" si="2"/>
        <v>0.4295989476</v>
      </c>
      <c r="H71" s="4" t="str">
        <f t="shared" si="3"/>
        <v>Iris-versicolor</v>
      </c>
      <c r="I71" s="4">
        <f t="shared" si="4"/>
        <v>0</v>
      </c>
      <c r="J71" s="4">
        <f t="shared" si="5"/>
        <v>0.00299787818</v>
      </c>
    </row>
    <row r="72" ht="15.75" customHeight="1">
      <c r="A72" s="3" t="s">
        <v>11</v>
      </c>
      <c r="B72" s="3">
        <v>5.9</v>
      </c>
      <c r="C72" s="3">
        <v>3.2</v>
      </c>
      <c r="D72" s="3">
        <v>4.8</v>
      </c>
      <c r="E72" s="3">
        <v>1.8</v>
      </c>
      <c r="F72" s="4">
        <f t="shared" si="1"/>
        <v>1</v>
      </c>
      <c r="G72" s="4">
        <f t="shared" si="2"/>
        <v>0.6249885387</v>
      </c>
      <c r="H72" s="4" t="str">
        <f t="shared" si="3"/>
        <v>Iris-versicolor</v>
      </c>
      <c r="I72" s="4">
        <f t="shared" si="4"/>
        <v>0</v>
      </c>
      <c r="J72" s="4">
        <f t="shared" si="5"/>
        <v>0.01977868371</v>
      </c>
    </row>
    <row r="73" ht="15.75" customHeight="1">
      <c r="A73" s="3" t="s">
        <v>11</v>
      </c>
      <c r="B73" s="3">
        <v>6.1</v>
      </c>
      <c r="C73" s="3">
        <v>2.8</v>
      </c>
      <c r="D73" s="3">
        <v>4.0</v>
      </c>
      <c r="E73" s="3">
        <v>1.3</v>
      </c>
      <c r="F73" s="4">
        <f t="shared" si="1"/>
        <v>1</v>
      </c>
      <c r="G73" s="4">
        <f t="shared" si="2"/>
        <v>0.4233154872</v>
      </c>
      <c r="H73" s="4" t="str">
        <f t="shared" si="3"/>
        <v>Iris-versicolor</v>
      </c>
      <c r="I73" s="4">
        <f t="shared" si="4"/>
        <v>0</v>
      </c>
      <c r="J73" s="4">
        <f t="shared" si="5"/>
        <v>0.003725435197</v>
      </c>
    </row>
    <row r="74" ht="15.75" customHeight="1">
      <c r="A74" s="3" t="s">
        <v>11</v>
      </c>
      <c r="B74" s="3">
        <v>6.3</v>
      </c>
      <c r="C74" s="3">
        <v>2.5</v>
      </c>
      <c r="D74" s="3">
        <v>4.9</v>
      </c>
      <c r="E74" s="3">
        <v>1.5</v>
      </c>
      <c r="F74" s="4">
        <f t="shared" si="1"/>
        <v>1</v>
      </c>
      <c r="G74" s="4">
        <f t="shared" si="2"/>
        <v>0.6337495629</v>
      </c>
      <c r="H74" s="4" t="str">
        <f t="shared" si="3"/>
        <v>Iris-virginica</v>
      </c>
      <c r="I74" s="4">
        <f t="shared" si="4"/>
        <v>1</v>
      </c>
      <c r="J74" s="4">
        <f t="shared" si="5"/>
        <v>0.02231968246</v>
      </c>
    </row>
    <row r="75" ht="15.75" customHeight="1">
      <c r="A75" s="3" t="s">
        <v>11</v>
      </c>
      <c r="B75" s="3">
        <v>6.1</v>
      </c>
      <c r="C75" s="3">
        <v>2.8</v>
      </c>
      <c r="D75" s="3">
        <v>4.7</v>
      </c>
      <c r="E75" s="3">
        <v>1.2</v>
      </c>
      <c r="F75" s="4">
        <f t="shared" si="1"/>
        <v>1</v>
      </c>
      <c r="G75" s="4">
        <f t="shared" si="2"/>
        <v>0.5155709793</v>
      </c>
      <c r="H75" s="4" t="str">
        <f t="shared" si="3"/>
        <v>Iris-versicolor</v>
      </c>
      <c r="I75" s="4">
        <f t="shared" si="4"/>
        <v>0</v>
      </c>
      <c r="J75" s="4">
        <f t="shared" si="5"/>
        <v>0.0009746352553</v>
      </c>
    </row>
    <row r="76" ht="15.75" customHeight="1">
      <c r="A76" s="3" t="s">
        <v>11</v>
      </c>
      <c r="B76" s="3">
        <v>6.4</v>
      </c>
      <c r="C76" s="3">
        <v>2.9</v>
      </c>
      <c r="D76" s="3">
        <v>4.3</v>
      </c>
      <c r="E76" s="3">
        <v>1.3</v>
      </c>
      <c r="F76" s="4">
        <f t="shared" si="1"/>
        <v>1</v>
      </c>
      <c r="G76" s="4">
        <f t="shared" si="2"/>
        <v>0.4422188994</v>
      </c>
      <c r="H76" s="4" t="str">
        <f t="shared" si="3"/>
        <v>Iris-versicolor</v>
      </c>
      <c r="I76" s="4">
        <f t="shared" si="4"/>
        <v>0</v>
      </c>
      <c r="J76" s="4">
        <f t="shared" si="5"/>
        <v>0.001775183878</v>
      </c>
    </row>
    <row r="77" ht="15.75" customHeight="1">
      <c r="A77" s="3" t="s">
        <v>11</v>
      </c>
      <c r="B77" s="3">
        <v>6.6</v>
      </c>
      <c r="C77" s="3">
        <v>3.0</v>
      </c>
      <c r="D77" s="3">
        <v>4.4</v>
      </c>
      <c r="E77" s="3">
        <v>1.4</v>
      </c>
      <c r="F77" s="4">
        <f t="shared" si="1"/>
        <v>1</v>
      </c>
      <c r="G77" s="4">
        <f t="shared" si="2"/>
        <v>0.4559553666</v>
      </c>
      <c r="H77" s="4" t="str">
        <f t="shared" si="3"/>
        <v>Iris-versicolor</v>
      </c>
      <c r="I77" s="4">
        <f t="shared" si="4"/>
        <v>0</v>
      </c>
      <c r="J77" s="4">
        <f t="shared" si="5"/>
        <v>0.0008063591588</v>
      </c>
    </row>
    <row r="78" ht="15.75" customHeight="1">
      <c r="A78" s="3" t="s">
        <v>11</v>
      </c>
      <c r="B78" s="3">
        <v>6.8</v>
      </c>
      <c r="C78" s="3">
        <v>2.8</v>
      </c>
      <c r="D78" s="3">
        <v>4.8</v>
      </c>
      <c r="E78" s="3">
        <v>1.4</v>
      </c>
      <c r="F78" s="4">
        <f t="shared" si="1"/>
        <v>1</v>
      </c>
      <c r="G78" s="4">
        <f t="shared" si="2"/>
        <v>0.5315719554</v>
      </c>
      <c r="H78" s="4" t="str">
        <f t="shared" si="3"/>
        <v>Iris-versicolor</v>
      </c>
      <c r="I78" s="4">
        <f t="shared" si="4"/>
        <v>0</v>
      </c>
      <c r="J78" s="4">
        <f t="shared" si="5"/>
        <v>0.002229740201</v>
      </c>
    </row>
    <row r="79" ht="15.75" customHeight="1">
      <c r="A79" s="3" t="s">
        <v>11</v>
      </c>
      <c r="B79" s="3">
        <v>6.7</v>
      </c>
      <c r="C79" s="3">
        <v>3.0</v>
      </c>
      <c r="D79" s="3">
        <v>5.0</v>
      </c>
      <c r="E79" s="3">
        <v>1.7</v>
      </c>
      <c r="F79" s="4">
        <f t="shared" si="1"/>
        <v>1</v>
      </c>
      <c r="G79" s="4">
        <f t="shared" si="2"/>
        <v>0.6105846888</v>
      </c>
      <c r="H79" s="4" t="str">
        <f t="shared" si="3"/>
        <v>Iris-versicolor</v>
      </c>
      <c r="I79" s="4">
        <f t="shared" si="4"/>
        <v>0</v>
      </c>
      <c r="J79" s="4">
        <f t="shared" si="5"/>
        <v>0.01593473453</v>
      </c>
    </row>
    <row r="80" ht="15.75" customHeight="1">
      <c r="A80" s="3" t="s">
        <v>11</v>
      </c>
      <c r="B80" s="3">
        <v>6.0</v>
      </c>
      <c r="C80" s="3">
        <v>2.9</v>
      </c>
      <c r="D80" s="3">
        <v>4.5</v>
      </c>
      <c r="E80" s="3">
        <v>1.5</v>
      </c>
      <c r="F80" s="4">
        <f t="shared" si="1"/>
        <v>1</v>
      </c>
      <c r="G80" s="4">
        <f t="shared" si="2"/>
        <v>0.5412515604</v>
      </c>
      <c r="H80" s="4" t="str">
        <f t="shared" si="3"/>
        <v>Iris-versicolor</v>
      </c>
      <c r="I80" s="4">
        <f t="shared" si="4"/>
        <v>0</v>
      </c>
      <c r="J80" s="4">
        <f t="shared" si="5"/>
        <v>0.003237579269</v>
      </c>
    </row>
    <row r="81" ht="15.75" customHeight="1">
      <c r="A81" s="3" t="s">
        <v>11</v>
      </c>
      <c r="B81" s="3">
        <v>5.7</v>
      </c>
      <c r="C81" s="3">
        <v>2.6</v>
      </c>
      <c r="D81" s="3">
        <v>3.5</v>
      </c>
      <c r="E81" s="3">
        <v>1.0</v>
      </c>
      <c r="F81" s="4">
        <f t="shared" si="1"/>
        <v>1</v>
      </c>
      <c r="G81" s="4">
        <f t="shared" si="2"/>
        <v>0.3260716869</v>
      </c>
      <c r="H81" s="4" t="str">
        <f t="shared" si="3"/>
        <v>Iris-versicolor</v>
      </c>
      <c r="I81" s="4">
        <f t="shared" si="4"/>
        <v>0</v>
      </c>
      <c r="J81" s="4">
        <f t="shared" si="5"/>
        <v>0.02505260384</v>
      </c>
    </row>
    <row r="82" ht="15.75" customHeight="1">
      <c r="A82" s="3" t="s">
        <v>11</v>
      </c>
      <c r="B82" s="3">
        <v>5.5</v>
      </c>
      <c r="C82" s="3">
        <v>2.4</v>
      </c>
      <c r="D82" s="3">
        <v>3.8</v>
      </c>
      <c r="E82" s="3">
        <v>1.1</v>
      </c>
      <c r="F82" s="4">
        <f t="shared" si="1"/>
        <v>1</v>
      </c>
      <c r="G82" s="4">
        <f t="shared" si="2"/>
        <v>0.4309500708</v>
      </c>
      <c r="H82" s="4" t="str">
        <f t="shared" si="3"/>
        <v>Iris-versicolor</v>
      </c>
      <c r="I82" s="4">
        <f t="shared" si="4"/>
        <v>0</v>
      </c>
      <c r="J82" s="4">
        <f t="shared" si="5"/>
        <v>0.002851747933</v>
      </c>
    </row>
    <row r="83" ht="15.75" customHeight="1">
      <c r="A83" s="3" t="s">
        <v>11</v>
      </c>
      <c r="B83" s="3">
        <v>5.5</v>
      </c>
      <c r="C83" s="3">
        <v>2.4</v>
      </c>
      <c r="D83" s="3">
        <v>3.7</v>
      </c>
      <c r="E83" s="3">
        <v>1.0</v>
      </c>
      <c r="F83" s="4">
        <f t="shared" si="1"/>
        <v>1</v>
      </c>
      <c r="G83" s="4">
        <f t="shared" si="2"/>
        <v>0.3935844765</v>
      </c>
      <c r="H83" s="4" t="str">
        <f t="shared" si="3"/>
        <v>Iris-versicolor</v>
      </c>
      <c r="I83" s="4">
        <f t="shared" si="4"/>
        <v>0</v>
      </c>
      <c r="J83" s="4">
        <f t="shared" si="5"/>
        <v>0.008238712542</v>
      </c>
    </row>
    <row r="84" ht="15.75" customHeight="1">
      <c r="A84" s="3" t="s">
        <v>11</v>
      </c>
      <c r="B84" s="3">
        <v>5.8</v>
      </c>
      <c r="C84" s="3">
        <v>2.7</v>
      </c>
      <c r="D84" s="3">
        <v>3.9</v>
      </c>
      <c r="E84" s="3">
        <v>1.2</v>
      </c>
      <c r="F84" s="4">
        <f t="shared" si="1"/>
        <v>1</v>
      </c>
      <c r="G84" s="4">
        <f t="shared" si="2"/>
        <v>0.4156543881</v>
      </c>
      <c r="H84" s="4" t="str">
        <f t="shared" si="3"/>
        <v>Iris-versicolor</v>
      </c>
      <c r="I84" s="4">
        <f t="shared" si="4"/>
        <v>0</v>
      </c>
      <c r="J84" s="4">
        <f t="shared" si="5"/>
        <v>0.004719338585</v>
      </c>
    </row>
    <row r="85" ht="15.75" customHeight="1">
      <c r="A85" s="3" t="s">
        <v>11</v>
      </c>
      <c r="B85" s="3">
        <v>6.0</v>
      </c>
      <c r="C85" s="3">
        <v>2.7</v>
      </c>
      <c r="D85" s="3">
        <v>5.1</v>
      </c>
      <c r="E85" s="3">
        <v>1.6</v>
      </c>
      <c r="F85" s="4">
        <f t="shared" si="1"/>
        <v>1</v>
      </c>
      <c r="G85" s="4">
        <f t="shared" si="2"/>
        <v>0.6825871155</v>
      </c>
      <c r="H85" s="4" t="str">
        <f t="shared" si="3"/>
        <v>Iris-virginica</v>
      </c>
      <c r="I85" s="4">
        <f t="shared" si="4"/>
        <v>1</v>
      </c>
      <c r="J85" s="4">
        <f t="shared" si="5"/>
        <v>0.03929722824</v>
      </c>
    </row>
    <row r="86" ht="15.75" customHeight="1">
      <c r="A86" s="3" t="s">
        <v>11</v>
      </c>
      <c r="B86" s="3">
        <v>5.4</v>
      </c>
      <c r="C86" s="3">
        <v>3.0</v>
      </c>
      <c r="D86" s="3">
        <v>4.5</v>
      </c>
      <c r="E86" s="3">
        <v>1.5</v>
      </c>
      <c r="F86" s="4">
        <f t="shared" si="1"/>
        <v>1</v>
      </c>
      <c r="G86" s="4">
        <f t="shared" si="2"/>
        <v>0.5662253781</v>
      </c>
      <c r="H86" s="4" t="str">
        <f t="shared" si="3"/>
        <v>Iris-versicolor</v>
      </c>
      <c r="I86" s="4">
        <f t="shared" si="4"/>
        <v>0</v>
      </c>
      <c r="J86" s="4">
        <f t="shared" si="5"/>
        <v>0.006703277806</v>
      </c>
    </row>
    <row r="87" ht="15.75" customHeight="1">
      <c r="A87" s="3" t="s">
        <v>11</v>
      </c>
      <c r="B87" s="3">
        <v>6.0</v>
      </c>
      <c r="C87" s="3">
        <v>3.4</v>
      </c>
      <c r="D87" s="3">
        <v>4.5</v>
      </c>
      <c r="E87" s="3">
        <v>1.6</v>
      </c>
      <c r="F87" s="4">
        <f t="shared" si="1"/>
        <v>1</v>
      </c>
      <c r="G87" s="4">
        <f t="shared" si="2"/>
        <v>0.5050225644</v>
      </c>
      <c r="H87" s="4" t="str">
        <f t="shared" si="3"/>
        <v>Iris-versicolor</v>
      </c>
      <c r="I87" s="4">
        <f t="shared" si="4"/>
        <v>0</v>
      </c>
      <c r="J87" s="4">
        <f t="shared" si="5"/>
        <v>0.0004272792423</v>
      </c>
    </row>
    <row r="88" ht="15.75" customHeight="1">
      <c r="A88" s="3" t="s">
        <v>11</v>
      </c>
      <c r="B88" s="3">
        <v>6.7</v>
      </c>
      <c r="C88" s="3">
        <v>3.1</v>
      </c>
      <c r="D88" s="3">
        <v>4.7</v>
      </c>
      <c r="E88" s="3">
        <v>1.5</v>
      </c>
      <c r="F88" s="4">
        <f t="shared" si="1"/>
        <v>1</v>
      </c>
      <c r="G88" s="4">
        <f t="shared" si="2"/>
        <v>0.5081724735</v>
      </c>
      <c r="H88" s="4" t="str">
        <f t="shared" si="3"/>
        <v>Iris-versicolor</v>
      </c>
      <c r="I88" s="4">
        <f t="shared" si="4"/>
        <v>0</v>
      </c>
      <c r="J88" s="4">
        <f t="shared" si="5"/>
        <v>0.0005674230356</v>
      </c>
    </row>
    <row r="89" ht="15.75" customHeight="1">
      <c r="A89" s="3" t="s">
        <v>11</v>
      </c>
      <c r="B89" s="3">
        <v>6.3</v>
      </c>
      <c r="C89" s="3">
        <v>2.3</v>
      </c>
      <c r="D89" s="3">
        <v>4.4</v>
      </c>
      <c r="E89" s="3">
        <v>1.3</v>
      </c>
      <c r="F89" s="4">
        <f t="shared" si="1"/>
        <v>1</v>
      </c>
      <c r="G89" s="4">
        <f t="shared" si="2"/>
        <v>0.5333672487</v>
      </c>
      <c r="H89" s="4" t="str">
        <f t="shared" si="3"/>
        <v>Iris-versicolor</v>
      </c>
      <c r="I89" s="4">
        <f t="shared" si="4"/>
        <v>0</v>
      </c>
      <c r="J89" s="4">
        <f t="shared" si="5"/>
        <v>0.002402511227</v>
      </c>
    </row>
    <row r="90" ht="15.75" customHeight="1">
      <c r="A90" s="3" t="s">
        <v>11</v>
      </c>
      <c r="B90" s="3">
        <v>5.6</v>
      </c>
      <c r="C90" s="3">
        <v>3.0</v>
      </c>
      <c r="D90" s="3">
        <v>4.1</v>
      </c>
      <c r="E90" s="3">
        <v>1.3</v>
      </c>
      <c r="F90" s="4">
        <f t="shared" si="1"/>
        <v>1</v>
      </c>
      <c r="G90" s="4">
        <f t="shared" si="2"/>
        <v>0.4469381817</v>
      </c>
      <c r="H90" s="4" t="str">
        <f t="shared" si="3"/>
        <v>Iris-versicolor</v>
      </c>
      <c r="I90" s="4">
        <f t="shared" si="4"/>
        <v>0</v>
      </c>
      <c r="J90" s="4">
        <f t="shared" si="5"/>
        <v>0.001399781112</v>
      </c>
    </row>
    <row r="91" ht="15.75" customHeight="1">
      <c r="A91" s="3" t="s">
        <v>11</v>
      </c>
      <c r="B91" s="3">
        <v>5.5</v>
      </c>
      <c r="C91" s="3">
        <v>2.5</v>
      </c>
      <c r="D91" s="3">
        <v>4.0</v>
      </c>
      <c r="E91" s="3">
        <v>1.3</v>
      </c>
      <c r="F91" s="4">
        <f t="shared" si="1"/>
        <v>1</v>
      </c>
      <c r="G91" s="4">
        <f t="shared" si="2"/>
        <v>0.4942028685</v>
      </c>
      <c r="H91" s="4" t="str">
        <f t="shared" si="3"/>
        <v>Iris-versicolor</v>
      </c>
      <c r="I91" s="4">
        <f t="shared" si="4"/>
        <v>0</v>
      </c>
      <c r="J91" s="4">
        <f t="shared" si="5"/>
        <v>0.00009704295078</v>
      </c>
    </row>
    <row r="92" ht="15.75" customHeight="1">
      <c r="A92" s="3" t="s">
        <v>11</v>
      </c>
      <c r="B92" s="3">
        <v>5.5</v>
      </c>
      <c r="C92" s="3">
        <v>2.6</v>
      </c>
      <c r="D92" s="3">
        <v>4.4</v>
      </c>
      <c r="E92" s="3">
        <v>1.2</v>
      </c>
      <c r="F92" s="4">
        <f t="shared" si="1"/>
        <v>1</v>
      </c>
      <c r="G92" s="4">
        <f t="shared" si="2"/>
        <v>0.5263720623</v>
      </c>
      <c r="H92" s="4" t="str">
        <f t="shared" si="3"/>
        <v>Iris-versicolor</v>
      </c>
      <c r="I92" s="4">
        <f t="shared" si="4"/>
        <v>0</v>
      </c>
      <c r="J92" s="4">
        <f t="shared" si="5"/>
        <v>0.001765699885</v>
      </c>
    </row>
    <row r="93" ht="15.75" customHeight="1">
      <c r="A93" s="3" t="s">
        <v>11</v>
      </c>
      <c r="B93" s="3">
        <v>6.1</v>
      </c>
      <c r="C93" s="3">
        <v>3.0</v>
      </c>
      <c r="D93" s="3">
        <v>4.6</v>
      </c>
      <c r="E93" s="3">
        <v>1.4</v>
      </c>
      <c r="F93" s="4">
        <f t="shared" si="1"/>
        <v>1</v>
      </c>
      <c r="G93" s="4">
        <f t="shared" si="2"/>
        <v>0.5187374787</v>
      </c>
      <c r="H93" s="4" t="str">
        <f t="shared" si="3"/>
        <v>Iris-versicolor</v>
      </c>
      <c r="I93" s="4">
        <f t="shared" si="4"/>
        <v>0</v>
      </c>
      <c r="J93" s="4">
        <f t="shared" si="5"/>
        <v>0.001182372806</v>
      </c>
    </row>
    <row r="94" ht="15.75" customHeight="1">
      <c r="A94" s="3" t="s">
        <v>11</v>
      </c>
      <c r="B94" s="3">
        <v>5.8</v>
      </c>
      <c r="C94" s="3">
        <v>2.6</v>
      </c>
      <c r="D94" s="3">
        <v>4.0</v>
      </c>
      <c r="E94" s="3">
        <v>1.2</v>
      </c>
      <c r="F94" s="4">
        <f t="shared" si="1"/>
        <v>1</v>
      </c>
      <c r="G94" s="4">
        <f t="shared" si="2"/>
        <v>0.4433354148</v>
      </c>
      <c r="H94" s="4" t="str">
        <f t="shared" si="3"/>
        <v>Iris-versicolor</v>
      </c>
      <c r="I94" s="4">
        <f t="shared" si="4"/>
        <v>0</v>
      </c>
      <c r="J94" s="4">
        <f t="shared" si="5"/>
        <v>0.001682346352</v>
      </c>
    </row>
    <row r="95" ht="15.75" customHeight="1">
      <c r="A95" s="3" t="s">
        <v>11</v>
      </c>
      <c r="B95" s="3">
        <v>5.0</v>
      </c>
      <c r="C95" s="3">
        <v>2.3</v>
      </c>
      <c r="D95" s="3">
        <v>3.3</v>
      </c>
      <c r="E95" s="3">
        <v>1.0</v>
      </c>
      <c r="F95" s="4">
        <f t="shared" si="1"/>
        <v>1</v>
      </c>
      <c r="G95" s="4">
        <f t="shared" si="2"/>
        <v>0.3706291647</v>
      </c>
      <c r="H95" s="4" t="str">
        <f t="shared" si="3"/>
        <v>Iris-versicolor</v>
      </c>
      <c r="I95" s="4">
        <f t="shared" si="4"/>
        <v>0</v>
      </c>
      <c r="J95" s="4">
        <f t="shared" si="5"/>
        <v>0.0129328447</v>
      </c>
    </row>
    <row r="96" ht="15.75" customHeight="1">
      <c r="A96" s="3" t="s">
        <v>11</v>
      </c>
      <c r="B96" s="3">
        <v>5.6</v>
      </c>
      <c r="C96" s="3">
        <v>2.7</v>
      </c>
      <c r="D96" s="3">
        <v>4.2</v>
      </c>
      <c r="E96" s="3">
        <v>1.3</v>
      </c>
      <c r="F96" s="4">
        <f t="shared" si="1"/>
        <v>1</v>
      </c>
      <c r="G96" s="4">
        <f t="shared" si="2"/>
        <v>0.4975759902</v>
      </c>
      <c r="H96" s="4" t="str">
        <f t="shared" si="3"/>
        <v>Iris-versicolor</v>
      </c>
      <c r="I96" s="4">
        <f t="shared" si="4"/>
        <v>0</v>
      </c>
      <c r="J96" s="4">
        <f t="shared" si="5"/>
        <v>0.0001748784013</v>
      </c>
    </row>
    <row r="97" ht="15.75" customHeight="1">
      <c r="A97" s="3" t="s">
        <v>11</v>
      </c>
      <c r="B97" s="3">
        <v>5.7</v>
      </c>
      <c r="C97" s="3">
        <v>3.0</v>
      </c>
      <c r="D97" s="3">
        <v>4.2</v>
      </c>
      <c r="E97" s="3">
        <v>1.2</v>
      </c>
      <c r="F97" s="4">
        <f t="shared" si="1"/>
        <v>1</v>
      </c>
      <c r="G97" s="4">
        <f t="shared" si="2"/>
        <v>0.4359024909</v>
      </c>
      <c r="H97" s="4" t="str">
        <f t="shared" si="3"/>
        <v>Iris-versicolor</v>
      </c>
      <c r="I97" s="4">
        <f t="shared" si="4"/>
        <v>0</v>
      </c>
      <c r="J97" s="4">
        <f t="shared" si="5"/>
        <v>0.002347338502</v>
      </c>
    </row>
    <row r="98" ht="15.75" customHeight="1">
      <c r="A98" s="3" t="s">
        <v>11</v>
      </c>
      <c r="B98" s="3">
        <v>5.7</v>
      </c>
      <c r="C98" s="3">
        <v>2.9</v>
      </c>
      <c r="D98" s="3">
        <v>4.2</v>
      </c>
      <c r="E98" s="3">
        <v>1.3</v>
      </c>
      <c r="F98" s="4">
        <f t="shared" si="1"/>
        <v>1</v>
      </c>
      <c r="G98" s="4">
        <f t="shared" si="2"/>
        <v>0.4685438403</v>
      </c>
      <c r="H98" s="4" t="str">
        <f t="shared" si="3"/>
        <v>Iris-versicolor</v>
      </c>
      <c r="I98" s="4">
        <f t="shared" si="4"/>
        <v>0</v>
      </c>
      <c r="J98" s="4">
        <f t="shared" si="5"/>
        <v>0.0002498925524</v>
      </c>
    </row>
    <row r="99" ht="15.75" customHeight="1">
      <c r="A99" s="3" t="s">
        <v>11</v>
      </c>
      <c r="B99" s="3">
        <v>6.2</v>
      </c>
      <c r="C99" s="3">
        <v>2.9</v>
      </c>
      <c r="D99" s="3">
        <v>4.3</v>
      </c>
      <c r="E99" s="3">
        <v>1.3</v>
      </c>
      <c r="F99" s="4">
        <f t="shared" si="1"/>
        <v>1</v>
      </c>
      <c r="G99" s="4">
        <f t="shared" si="2"/>
        <v>0.4543696356</v>
      </c>
      <c r="H99" s="4" t="str">
        <f t="shared" si="3"/>
        <v>Iris-versicolor</v>
      </c>
      <c r="I99" s="4">
        <f t="shared" si="4"/>
        <v>0</v>
      </c>
      <c r="J99" s="4">
        <f t="shared" si="5"/>
        <v>0.0008989320077</v>
      </c>
    </row>
    <row r="100" ht="15.75" customHeight="1">
      <c r="A100" s="3" t="s">
        <v>11</v>
      </c>
      <c r="B100" s="3">
        <v>5.1</v>
      </c>
      <c r="C100" s="3">
        <v>2.5</v>
      </c>
      <c r="D100" s="3">
        <v>3.0</v>
      </c>
      <c r="E100" s="3">
        <v>1.1</v>
      </c>
      <c r="F100" s="4">
        <f t="shared" si="1"/>
        <v>1</v>
      </c>
      <c r="G100" s="4">
        <f t="shared" si="2"/>
        <v>0.3141520659</v>
      </c>
      <c r="H100" s="4" t="str">
        <f t="shared" si="3"/>
        <v>Iris-versicolor</v>
      </c>
      <c r="I100" s="4">
        <f t="shared" si="4"/>
        <v>0</v>
      </c>
      <c r="J100" s="4">
        <f t="shared" si="5"/>
        <v>0.02896795985</v>
      </c>
    </row>
    <row r="101" ht="15.75" customHeight="1">
      <c r="A101" s="3" t="s">
        <v>11</v>
      </c>
      <c r="B101" s="3">
        <v>5.7</v>
      </c>
      <c r="C101" s="3">
        <v>2.8</v>
      </c>
      <c r="D101" s="3">
        <v>4.1</v>
      </c>
      <c r="E101" s="3">
        <v>1.3</v>
      </c>
      <c r="F101" s="4">
        <f t="shared" si="1"/>
        <v>1</v>
      </c>
      <c r="G101" s="4">
        <f t="shared" si="2"/>
        <v>0.4638195954</v>
      </c>
      <c r="H101" s="4" t="str">
        <f t="shared" si="3"/>
        <v>Iris-versicolor</v>
      </c>
      <c r="I101" s="4">
        <f t="shared" si="4"/>
        <v>0</v>
      </c>
      <c r="J101" s="4">
        <f t="shared" si="5"/>
        <v>0.0004215726759</v>
      </c>
    </row>
    <row r="102" ht="15.75" customHeight="1">
      <c r="A102" s="3" t="s">
        <v>12</v>
      </c>
      <c r="B102" s="3">
        <v>6.3</v>
      </c>
      <c r="C102" s="3">
        <v>3.3</v>
      </c>
      <c r="D102" s="3">
        <v>6.0</v>
      </c>
      <c r="E102" s="3">
        <v>2.5</v>
      </c>
      <c r="F102" s="4">
        <f t="shared" si="1"/>
        <v>2</v>
      </c>
      <c r="G102" s="4">
        <f t="shared" si="2"/>
        <v>0.9317810145</v>
      </c>
      <c r="H102" s="4" t="str">
        <f t="shared" si="3"/>
        <v>Iris-virginica</v>
      </c>
      <c r="I102" s="4">
        <f t="shared" si="4"/>
        <v>0</v>
      </c>
      <c r="J102" s="4">
        <f t="shared" si="5"/>
        <v>0.02340218816</v>
      </c>
    </row>
    <row r="103" ht="15.75" customHeight="1">
      <c r="A103" s="3" t="s">
        <v>12</v>
      </c>
      <c r="B103" s="3">
        <v>5.8</v>
      </c>
      <c r="C103" s="3">
        <v>2.7</v>
      </c>
      <c r="D103" s="3">
        <v>5.1</v>
      </c>
      <c r="E103" s="3">
        <v>1.9</v>
      </c>
      <c r="F103" s="4">
        <f t="shared" si="1"/>
        <v>2</v>
      </c>
      <c r="G103" s="4">
        <f t="shared" si="2"/>
        <v>0.7582267272</v>
      </c>
      <c r="H103" s="4" t="str">
        <f t="shared" si="3"/>
        <v>Iris-virginica</v>
      </c>
      <c r="I103" s="4">
        <f t="shared" si="4"/>
        <v>0</v>
      </c>
      <c r="J103" s="4">
        <f t="shared" si="5"/>
        <v>0.000423394403</v>
      </c>
    </row>
    <row r="104" ht="15.75" customHeight="1">
      <c r="A104" s="3" t="s">
        <v>12</v>
      </c>
      <c r="B104" s="3">
        <v>7.1</v>
      </c>
      <c r="C104" s="3">
        <v>3.0</v>
      </c>
      <c r="D104" s="3">
        <v>5.9</v>
      </c>
      <c r="E104" s="3">
        <v>2.1</v>
      </c>
      <c r="F104" s="4">
        <f t="shared" si="1"/>
        <v>2</v>
      </c>
      <c r="G104" s="4">
        <f t="shared" si="2"/>
        <v>0.8167587726</v>
      </c>
      <c r="H104" s="4" t="str">
        <f t="shared" si="3"/>
        <v>Iris-virginica</v>
      </c>
      <c r="I104" s="4">
        <f t="shared" si="4"/>
        <v>0</v>
      </c>
      <c r="J104" s="4">
        <f t="shared" si="5"/>
        <v>0.001440619644</v>
      </c>
    </row>
    <row r="105" ht="15.75" customHeight="1">
      <c r="A105" s="3" t="s">
        <v>12</v>
      </c>
      <c r="B105" s="3">
        <v>6.3</v>
      </c>
      <c r="C105" s="3">
        <v>2.9</v>
      </c>
      <c r="D105" s="3">
        <v>5.6</v>
      </c>
      <c r="E105" s="3">
        <v>1.8</v>
      </c>
      <c r="F105" s="4">
        <f t="shared" si="1"/>
        <v>2</v>
      </c>
      <c r="G105" s="4">
        <f t="shared" si="2"/>
        <v>0.7647433254</v>
      </c>
      <c r="H105" s="4" t="str">
        <f t="shared" si="3"/>
        <v>Iris-virginica</v>
      </c>
      <c r="I105" s="4">
        <f t="shared" si="4"/>
        <v>0</v>
      </c>
      <c r="J105" s="4">
        <f t="shared" si="5"/>
        <v>0.0001976822399</v>
      </c>
    </row>
    <row r="106" ht="15.75" customHeight="1">
      <c r="A106" s="3" t="s">
        <v>12</v>
      </c>
      <c r="B106" s="3">
        <v>6.5</v>
      </c>
      <c r="C106" s="3">
        <v>3.0</v>
      </c>
      <c r="D106" s="3">
        <v>5.8</v>
      </c>
      <c r="E106" s="3">
        <v>2.2</v>
      </c>
      <c r="F106" s="4">
        <f t="shared" si="1"/>
        <v>2</v>
      </c>
      <c r="G106" s="4">
        <f t="shared" si="2"/>
        <v>0.8581713039</v>
      </c>
      <c r="H106" s="4" t="str">
        <f t="shared" si="3"/>
        <v>Iris-virginica</v>
      </c>
      <c r="I106" s="4">
        <f t="shared" si="4"/>
        <v>0</v>
      </c>
      <c r="J106" s="4">
        <f t="shared" si="5"/>
        <v>0.006299283689</v>
      </c>
    </row>
    <row r="107" ht="15.75" customHeight="1">
      <c r="A107" s="3" t="s">
        <v>12</v>
      </c>
      <c r="B107" s="3">
        <v>7.6</v>
      </c>
      <c r="C107" s="3">
        <v>3.0</v>
      </c>
      <c r="D107" s="3">
        <v>6.6</v>
      </c>
      <c r="E107" s="3">
        <v>2.1</v>
      </c>
      <c r="F107" s="4">
        <f t="shared" si="1"/>
        <v>2</v>
      </c>
      <c r="G107" s="4">
        <f t="shared" si="2"/>
        <v>0.8998003827</v>
      </c>
      <c r="H107" s="4" t="str">
        <f t="shared" si="3"/>
        <v>Iris-virginica</v>
      </c>
      <c r="I107" s="4">
        <f t="shared" si="4"/>
        <v>0</v>
      </c>
      <c r="J107" s="4">
        <f t="shared" si="5"/>
        <v>0.01464029958</v>
      </c>
    </row>
    <row r="108" ht="15.75" customHeight="1">
      <c r="A108" s="3" t="s">
        <v>12</v>
      </c>
      <c r="B108" s="3">
        <v>4.9</v>
      </c>
      <c r="C108" s="3">
        <v>2.5</v>
      </c>
      <c r="D108" s="3">
        <v>4.5</v>
      </c>
      <c r="E108" s="3">
        <v>1.7</v>
      </c>
      <c r="F108" s="4">
        <f t="shared" si="1"/>
        <v>2</v>
      </c>
      <c r="G108" s="4">
        <f t="shared" si="2"/>
        <v>0.6963200901</v>
      </c>
      <c r="H108" s="4" t="str">
        <f t="shared" si="3"/>
        <v>Iris-virginica</v>
      </c>
      <c r="I108" s="4">
        <f t="shared" si="4"/>
        <v>0</v>
      </c>
      <c r="J108" s="4">
        <f t="shared" si="5"/>
        <v>0.006803476126</v>
      </c>
    </row>
    <row r="109" ht="15.75" customHeight="1">
      <c r="A109" s="3" t="s">
        <v>12</v>
      </c>
      <c r="B109" s="3">
        <v>7.3</v>
      </c>
      <c r="C109" s="3">
        <v>2.9</v>
      </c>
      <c r="D109" s="3">
        <v>6.3</v>
      </c>
      <c r="E109" s="3">
        <v>1.8</v>
      </c>
      <c r="F109" s="4">
        <f t="shared" si="1"/>
        <v>2</v>
      </c>
      <c r="G109" s="4">
        <f t="shared" si="2"/>
        <v>0.817408095</v>
      </c>
      <c r="H109" s="4" t="str">
        <f t="shared" si="3"/>
        <v>Iris-virginica</v>
      </c>
      <c r="I109" s="4">
        <f t="shared" si="4"/>
        <v>0</v>
      </c>
      <c r="J109" s="4">
        <f t="shared" si="5"/>
        <v>0.00149033197</v>
      </c>
    </row>
    <row r="110" ht="15.75" customHeight="1">
      <c r="A110" s="3" t="s">
        <v>12</v>
      </c>
      <c r="B110" s="3">
        <v>6.7</v>
      </c>
      <c r="C110" s="3">
        <v>2.5</v>
      </c>
      <c r="D110" s="3">
        <v>5.8</v>
      </c>
      <c r="E110" s="3">
        <v>1.8</v>
      </c>
      <c r="F110" s="4">
        <f t="shared" si="1"/>
        <v>2</v>
      </c>
      <c r="G110" s="4">
        <f t="shared" si="2"/>
        <v>0.8187606882</v>
      </c>
      <c r="H110" s="4" t="str">
        <f t="shared" si="3"/>
        <v>Iris-virginica</v>
      </c>
      <c r="I110" s="4">
        <f t="shared" si="4"/>
        <v>0</v>
      </c>
      <c r="J110" s="4">
        <f t="shared" si="5"/>
        <v>0.001596594707</v>
      </c>
    </row>
    <row r="111" ht="15.75" customHeight="1">
      <c r="A111" s="3" t="s">
        <v>12</v>
      </c>
      <c r="B111" s="3">
        <v>7.2</v>
      </c>
      <c r="C111" s="3">
        <v>3.6</v>
      </c>
      <c r="D111" s="3">
        <v>6.1</v>
      </c>
      <c r="E111" s="3">
        <v>2.5</v>
      </c>
      <c r="F111" s="4">
        <f t="shared" si="1"/>
        <v>2</v>
      </c>
      <c r="G111" s="4">
        <f t="shared" si="2"/>
        <v>0.8588701647</v>
      </c>
      <c r="H111" s="4" t="str">
        <f t="shared" si="3"/>
        <v>Iris-virginica</v>
      </c>
      <c r="I111" s="4">
        <f t="shared" si="4"/>
        <v>0</v>
      </c>
      <c r="J111" s="4">
        <f t="shared" si="5"/>
        <v>0.006410706501</v>
      </c>
    </row>
    <row r="112" ht="15.75" customHeight="1">
      <c r="A112" s="3" t="s">
        <v>12</v>
      </c>
      <c r="B112" s="3">
        <v>6.5</v>
      </c>
      <c r="C112" s="3">
        <v>3.2</v>
      </c>
      <c r="D112" s="3">
        <v>5.1</v>
      </c>
      <c r="E112" s="3">
        <v>2.0</v>
      </c>
      <c r="F112" s="4">
        <f t="shared" si="1"/>
        <v>2</v>
      </c>
      <c r="G112" s="4">
        <f t="shared" si="2"/>
        <v>0.6794701545</v>
      </c>
      <c r="H112" s="4" t="str">
        <f t="shared" si="3"/>
        <v>Iris-virginica</v>
      </c>
      <c r="I112" s="4">
        <f t="shared" si="4"/>
        <v>0</v>
      </c>
      <c r="J112" s="4">
        <f t="shared" si="5"/>
        <v>0.009867069232</v>
      </c>
    </row>
    <row r="113" ht="15.75" customHeight="1">
      <c r="A113" s="3" t="s">
        <v>12</v>
      </c>
      <c r="B113" s="3">
        <v>6.4</v>
      </c>
      <c r="C113" s="3">
        <v>2.7</v>
      </c>
      <c r="D113" s="3">
        <v>5.3</v>
      </c>
      <c r="E113" s="3">
        <v>1.9</v>
      </c>
      <c r="F113" s="4">
        <f t="shared" si="1"/>
        <v>2</v>
      </c>
      <c r="G113" s="4">
        <f t="shared" si="2"/>
        <v>0.7541797902</v>
      </c>
      <c r="H113" s="4" t="str">
        <f t="shared" si="3"/>
        <v>Iris-virginica</v>
      </c>
      <c r="I113" s="4">
        <f t="shared" si="4"/>
        <v>0</v>
      </c>
      <c r="J113" s="4">
        <f t="shared" si="5"/>
        <v>0.0006063161038</v>
      </c>
    </row>
    <row r="114" ht="15.75" customHeight="1">
      <c r="A114" s="3" t="s">
        <v>12</v>
      </c>
      <c r="B114" s="3">
        <v>6.8</v>
      </c>
      <c r="C114" s="3">
        <v>3.0</v>
      </c>
      <c r="D114" s="3">
        <v>5.5</v>
      </c>
      <c r="E114" s="3">
        <v>2.1</v>
      </c>
      <c r="F114" s="4">
        <f t="shared" si="1"/>
        <v>2</v>
      </c>
      <c r="G114" s="4">
        <f t="shared" si="2"/>
        <v>0.7701743337</v>
      </c>
      <c r="H114" s="4" t="str">
        <f t="shared" si="3"/>
        <v>Iris-virginica</v>
      </c>
      <c r="I114" s="4">
        <f t="shared" si="4"/>
        <v>0</v>
      </c>
      <c r="J114" s="4">
        <f t="shared" si="5"/>
        <v>0.00007445866303</v>
      </c>
    </row>
    <row r="115" ht="15.75" customHeight="1">
      <c r="A115" s="3" t="s">
        <v>12</v>
      </c>
      <c r="B115" s="3">
        <v>5.7</v>
      </c>
      <c r="C115" s="3">
        <v>2.5</v>
      </c>
      <c r="D115" s="3">
        <v>5.0</v>
      </c>
      <c r="E115" s="3">
        <v>2.0</v>
      </c>
      <c r="F115" s="4">
        <f t="shared" si="1"/>
        <v>2</v>
      </c>
      <c r="G115" s="4">
        <f t="shared" si="2"/>
        <v>0.7922191998</v>
      </c>
      <c r="H115" s="4" t="str">
        <f t="shared" si="3"/>
        <v>Iris-virginica</v>
      </c>
      <c r="I115" s="4">
        <f t="shared" si="4"/>
        <v>0</v>
      </c>
      <c r="J115" s="4">
        <f t="shared" si="5"/>
        <v>0.0001799869837</v>
      </c>
    </row>
    <row r="116" ht="15.75" customHeight="1">
      <c r="A116" s="3" t="s">
        <v>12</v>
      </c>
      <c r="B116" s="3">
        <v>5.8</v>
      </c>
      <c r="C116" s="3">
        <v>2.8</v>
      </c>
      <c r="D116" s="3">
        <v>5.1</v>
      </c>
      <c r="E116" s="3">
        <v>2.4</v>
      </c>
      <c r="F116" s="4">
        <f t="shared" si="1"/>
        <v>2</v>
      </c>
      <c r="G116" s="4">
        <f t="shared" si="2"/>
        <v>0.8525631288</v>
      </c>
      <c r="H116" s="4" t="str">
        <f t="shared" si="3"/>
        <v>Iris-virginica</v>
      </c>
      <c r="I116" s="4">
        <f t="shared" si="4"/>
        <v>0</v>
      </c>
      <c r="J116" s="4">
        <f t="shared" si="5"/>
        <v>0.005440515733</v>
      </c>
    </row>
    <row r="117" ht="15.75" customHeight="1">
      <c r="A117" s="3" t="s">
        <v>12</v>
      </c>
      <c r="B117" s="3">
        <v>6.4</v>
      </c>
      <c r="C117" s="3">
        <v>3.2</v>
      </c>
      <c r="D117" s="3">
        <v>5.3</v>
      </c>
      <c r="E117" s="3">
        <v>2.3</v>
      </c>
      <c r="F117" s="4">
        <f t="shared" si="1"/>
        <v>2</v>
      </c>
      <c r="G117" s="4">
        <f t="shared" si="2"/>
        <v>0.7814396697</v>
      </c>
      <c r="H117" s="4" t="str">
        <f t="shared" si="3"/>
        <v>Iris-virginica</v>
      </c>
      <c r="I117" s="4">
        <f t="shared" si="4"/>
        <v>0</v>
      </c>
      <c r="J117" s="4">
        <f t="shared" si="5"/>
        <v>0.0000069505663</v>
      </c>
    </row>
    <row r="118" ht="15.75" customHeight="1">
      <c r="A118" s="3" t="s">
        <v>12</v>
      </c>
      <c r="B118" s="3">
        <v>6.5</v>
      </c>
      <c r="C118" s="3">
        <v>3.0</v>
      </c>
      <c r="D118" s="3">
        <v>5.5</v>
      </c>
      <c r="E118" s="3">
        <v>1.8</v>
      </c>
      <c r="F118" s="4">
        <f t="shared" si="1"/>
        <v>2</v>
      </c>
      <c r="G118" s="4">
        <f t="shared" si="2"/>
        <v>0.7249115625</v>
      </c>
      <c r="H118" s="4" t="str">
        <f t="shared" si="3"/>
        <v>Iris-virginica</v>
      </c>
      <c r="I118" s="4">
        <f t="shared" si="4"/>
        <v>0</v>
      </c>
      <c r="J118" s="4">
        <f t="shared" si="5"/>
        <v>0.002904316895</v>
      </c>
    </row>
    <row r="119" ht="15.75" customHeight="1">
      <c r="A119" s="3" t="s">
        <v>12</v>
      </c>
      <c r="B119" s="3">
        <v>7.7</v>
      </c>
      <c r="C119" s="3">
        <v>3.8</v>
      </c>
      <c r="D119" s="3">
        <v>6.7</v>
      </c>
      <c r="E119" s="3">
        <v>2.2</v>
      </c>
      <c r="F119" s="4">
        <f t="shared" si="1"/>
        <v>2</v>
      </c>
      <c r="G119" s="4">
        <f t="shared" si="2"/>
        <v>0.8392634817</v>
      </c>
      <c r="H119" s="4" t="str">
        <f t="shared" si="3"/>
        <v>Iris-virginica</v>
      </c>
      <c r="I119" s="4">
        <f t="shared" si="4"/>
        <v>0</v>
      </c>
      <c r="J119" s="4">
        <f t="shared" si="5"/>
        <v>0.003655436348</v>
      </c>
    </row>
    <row r="120" ht="15.75" customHeight="1">
      <c r="A120" s="3" t="s">
        <v>12</v>
      </c>
      <c r="B120" s="3">
        <v>7.7</v>
      </c>
      <c r="C120" s="3">
        <v>2.6</v>
      </c>
      <c r="D120" s="3">
        <v>6.9</v>
      </c>
      <c r="E120" s="3">
        <v>2.3</v>
      </c>
      <c r="F120" s="4">
        <f t="shared" si="1"/>
        <v>2</v>
      </c>
      <c r="G120" s="4">
        <f t="shared" si="2"/>
        <v>1.030572403</v>
      </c>
      <c r="H120" s="4" t="str">
        <f t="shared" si="3"/>
        <v>Iris-virginica</v>
      </c>
      <c r="I120" s="4">
        <f t="shared" si="4"/>
        <v>0</v>
      </c>
      <c r="J120" s="4">
        <f t="shared" si="5"/>
        <v>0.06338769259</v>
      </c>
    </row>
    <row r="121" ht="15.75" customHeight="1">
      <c r="A121" s="3" t="s">
        <v>12</v>
      </c>
      <c r="B121" s="3">
        <v>6.0</v>
      </c>
      <c r="C121" s="3">
        <v>2.2</v>
      </c>
      <c r="D121" s="3">
        <v>5.0</v>
      </c>
      <c r="E121" s="3">
        <v>1.5</v>
      </c>
      <c r="F121" s="4">
        <f t="shared" si="1"/>
        <v>2</v>
      </c>
      <c r="G121" s="4">
        <f t="shared" si="2"/>
        <v>0.7026134757</v>
      </c>
      <c r="H121" s="4" t="str">
        <f t="shared" si="3"/>
        <v>Iris-virginica</v>
      </c>
      <c r="I121" s="4">
        <f t="shared" si="4"/>
        <v>0</v>
      </c>
      <c r="J121" s="4">
        <f t="shared" si="5"/>
        <v>0.005804885827</v>
      </c>
    </row>
    <row r="122" ht="15.75" customHeight="1">
      <c r="A122" s="3" t="s">
        <v>12</v>
      </c>
      <c r="B122" s="3">
        <v>6.9</v>
      </c>
      <c r="C122" s="3">
        <v>3.2</v>
      </c>
      <c r="D122" s="3">
        <v>5.7</v>
      </c>
      <c r="E122" s="3">
        <v>2.3</v>
      </c>
      <c r="F122" s="4">
        <f t="shared" si="1"/>
        <v>2</v>
      </c>
      <c r="G122" s="4">
        <f t="shared" si="2"/>
        <v>0.8158733724</v>
      </c>
      <c r="H122" s="4" t="str">
        <f t="shared" si="3"/>
        <v>Iris-virginica</v>
      </c>
      <c r="I122" s="4">
        <f t="shared" si="4"/>
        <v>0</v>
      </c>
      <c r="J122" s="4">
        <f t="shared" si="5"/>
        <v>0.001374191971</v>
      </c>
    </row>
    <row r="123" ht="15.75" customHeight="1">
      <c r="A123" s="3" t="s">
        <v>12</v>
      </c>
      <c r="B123" s="3">
        <v>5.6</v>
      </c>
      <c r="C123" s="3">
        <v>2.8</v>
      </c>
      <c r="D123" s="3">
        <v>4.9</v>
      </c>
      <c r="E123" s="3">
        <v>2.0</v>
      </c>
      <c r="F123" s="4">
        <f t="shared" si="1"/>
        <v>2</v>
      </c>
      <c r="G123" s="4">
        <f t="shared" si="2"/>
        <v>0.7476567594</v>
      </c>
      <c r="H123" s="4" t="str">
        <f t="shared" si="3"/>
        <v>Iris-virginica</v>
      </c>
      <c r="I123" s="4">
        <f t="shared" si="4"/>
        <v>0</v>
      </c>
      <c r="J123" s="4">
        <f t="shared" si="5"/>
        <v>0.0009701055606</v>
      </c>
    </row>
    <row r="124" ht="15.75" customHeight="1">
      <c r="A124" s="3" t="s">
        <v>12</v>
      </c>
      <c r="B124" s="3">
        <v>7.7</v>
      </c>
      <c r="C124" s="3">
        <v>2.8</v>
      </c>
      <c r="D124" s="3">
        <v>6.7</v>
      </c>
      <c r="E124" s="3">
        <v>2.0</v>
      </c>
      <c r="F124" s="4">
        <f t="shared" si="1"/>
        <v>2</v>
      </c>
      <c r="G124" s="4">
        <f t="shared" si="2"/>
        <v>0.9117214737</v>
      </c>
      <c r="H124" s="4" t="str">
        <f t="shared" si="3"/>
        <v>Iris-virginica</v>
      </c>
      <c r="I124" s="4">
        <f t="shared" si="4"/>
        <v>0</v>
      </c>
      <c r="J124" s="4">
        <f t="shared" si="5"/>
        <v>0.01766724701</v>
      </c>
    </row>
    <row r="125" ht="15.75" customHeight="1">
      <c r="A125" s="3" t="s">
        <v>12</v>
      </c>
      <c r="B125" s="3">
        <v>6.3</v>
      </c>
      <c r="C125" s="3">
        <v>2.7</v>
      </c>
      <c r="D125" s="3">
        <v>4.9</v>
      </c>
      <c r="E125" s="3">
        <v>1.8</v>
      </c>
      <c r="F125" s="4">
        <f t="shared" si="1"/>
        <v>2</v>
      </c>
      <c r="G125" s="4">
        <f t="shared" si="2"/>
        <v>0.6742816566</v>
      </c>
      <c r="H125" s="4" t="str">
        <f t="shared" si="3"/>
        <v>Iris-virginica</v>
      </c>
      <c r="I125" s="4">
        <f t="shared" si="4"/>
        <v>0</v>
      </c>
      <c r="J125" s="4">
        <f t="shared" si="5"/>
        <v>0.01092476914</v>
      </c>
    </row>
    <row r="126" ht="15.75" customHeight="1">
      <c r="A126" s="3" t="s">
        <v>12</v>
      </c>
      <c r="B126" s="3">
        <v>6.7</v>
      </c>
      <c r="C126" s="3">
        <v>3.3</v>
      </c>
      <c r="D126" s="3">
        <v>5.7</v>
      </c>
      <c r="E126" s="3">
        <v>2.1</v>
      </c>
      <c r="F126" s="4">
        <f t="shared" si="1"/>
        <v>2</v>
      </c>
      <c r="G126" s="4">
        <f t="shared" si="2"/>
        <v>0.7742198007</v>
      </c>
      <c r="H126" s="4" t="str">
        <f t="shared" si="3"/>
        <v>Iris-virginica</v>
      </c>
      <c r="I126" s="4">
        <f t="shared" si="4"/>
        <v>0</v>
      </c>
      <c r="J126" s="4">
        <f t="shared" si="5"/>
        <v>0.00002100825529</v>
      </c>
    </row>
    <row r="127" ht="15.75" customHeight="1">
      <c r="A127" s="3" t="s">
        <v>12</v>
      </c>
      <c r="B127" s="3">
        <v>7.2</v>
      </c>
      <c r="C127" s="3">
        <v>3.2</v>
      </c>
      <c r="D127" s="3">
        <v>6.0</v>
      </c>
      <c r="E127" s="3">
        <v>1.8</v>
      </c>
      <c r="F127" s="4">
        <f t="shared" si="1"/>
        <v>2</v>
      </c>
      <c r="G127" s="4">
        <f t="shared" si="2"/>
        <v>0.740440383</v>
      </c>
      <c r="H127" s="4" t="str">
        <f t="shared" si="3"/>
        <v>Iris-virginica</v>
      </c>
      <c r="I127" s="4">
        <f t="shared" si="4"/>
        <v>0</v>
      </c>
      <c r="J127" s="4">
        <f t="shared" si="5"/>
        <v>0.001471711639</v>
      </c>
    </row>
    <row r="128" ht="15.75" customHeight="1">
      <c r="A128" s="3" t="s">
        <v>12</v>
      </c>
      <c r="B128" s="3">
        <v>6.2</v>
      </c>
      <c r="C128" s="3">
        <v>2.8</v>
      </c>
      <c r="D128" s="3">
        <v>4.8</v>
      </c>
      <c r="E128" s="3">
        <v>1.8</v>
      </c>
      <c r="F128" s="4">
        <f t="shared" si="1"/>
        <v>2</v>
      </c>
      <c r="G128" s="4">
        <f t="shared" si="2"/>
        <v>0.652675998</v>
      </c>
      <c r="H128" s="4" t="str">
        <f t="shared" si="3"/>
        <v>Iris-virginica</v>
      </c>
      <c r="I128" s="4">
        <f t="shared" si="4"/>
        <v>0</v>
      </c>
      <c r="J128" s="4">
        <f t="shared" si="5"/>
        <v>0.01590809052</v>
      </c>
    </row>
    <row r="129" ht="15.75" customHeight="1">
      <c r="A129" s="3" t="s">
        <v>12</v>
      </c>
      <c r="B129" s="3">
        <v>6.1</v>
      </c>
      <c r="C129" s="3">
        <v>3.0</v>
      </c>
      <c r="D129" s="3">
        <v>4.9</v>
      </c>
      <c r="E129" s="3">
        <v>1.8</v>
      </c>
      <c r="F129" s="4">
        <f t="shared" si="1"/>
        <v>2</v>
      </c>
      <c r="G129" s="4">
        <f t="shared" si="2"/>
        <v>0.6519972201</v>
      </c>
      <c r="H129" s="4" t="str">
        <f t="shared" si="3"/>
        <v>Iris-virginica</v>
      </c>
      <c r="I129" s="4">
        <f t="shared" si="4"/>
        <v>0</v>
      </c>
      <c r="J129" s="4">
        <f t="shared" si="5"/>
        <v>0.01607977607</v>
      </c>
    </row>
    <row r="130" ht="15.75" customHeight="1">
      <c r="A130" s="3" t="s">
        <v>12</v>
      </c>
      <c r="B130" s="3">
        <v>6.4</v>
      </c>
      <c r="C130" s="3">
        <v>2.8</v>
      </c>
      <c r="D130" s="3">
        <v>5.6</v>
      </c>
      <c r="E130" s="3">
        <v>2.1</v>
      </c>
      <c r="F130" s="4">
        <f t="shared" si="1"/>
        <v>2</v>
      </c>
      <c r="G130" s="4">
        <f t="shared" si="2"/>
        <v>0.8336352237</v>
      </c>
      <c r="H130" s="4" t="str">
        <f t="shared" si="3"/>
        <v>Iris-virginica</v>
      </c>
      <c r="I130" s="4">
        <f t="shared" si="4"/>
        <v>0</v>
      </c>
      <c r="J130" s="4">
        <f t="shared" si="5"/>
        <v>0.003006542375</v>
      </c>
    </row>
    <row r="131" ht="15.75" customHeight="1">
      <c r="A131" s="3" t="s">
        <v>12</v>
      </c>
      <c r="B131" s="3">
        <v>7.2</v>
      </c>
      <c r="C131" s="3">
        <v>3.0</v>
      </c>
      <c r="D131" s="3">
        <v>5.8</v>
      </c>
      <c r="E131" s="3">
        <v>1.6</v>
      </c>
      <c r="F131" s="4">
        <f t="shared" si="1"/>
        <v>2</v>
      </c>
      <c r="G131" s="4">
        <f t="shared" si="2"/>
        <v>0.6886659762</v>
      </c>
      <c r="H131" s="4" t="str">
        <f t="shared" si="3"/>
        <v>Iris-virginica</v>
      </c>
      <c r="I131" s="4">
        <f t="shared" si="4"/>
        <v>0</v>
      </c>
      <c r="J131" s="4">
        <f t="shared" si="5"/>
        <v>0.008124733001</v>
      </c>
    </row>
    <row r="132" ht="15.75" customHeight="1">
      <c r="A132" s="3" t="s">
        <v>12</v>
      </c>
      <c r="B132" s="3">
        <v>7.4</v>
      </c>
      <c r="C132" s="3">
        <v>2.8</v>
      </c>
      <c r="D132" s="3">
        <v>6.1</v>
      </c>
      <c r="E132" s="3">
        <v>1.9</v>
      </c>
      <c r="F132" s="4">
        <f t="shared" si="1"/>
        <v>2</v>
      </c>
      <c r="G132" s="4">
        <f t="shared" si="2"/>
        <v>0.8115688047</v>
      </c>
      <c r="H132" s="4" t="str">
        <f t="shared" si="3"/>
        <v>Iris-virginica</v>
      </c>
      <c r="I132" s="4">
        <f t="shared" si="4"/>
        <v>0</v>
      </c>
      <c r="J132" s="4">
        <f t="shared" si="5"/>
        <v>0.001073579803</v>
      </c>
    </row>
    <row r="133" ht="15.75" customHeight="1">
      <c r="A133" s="3" t="s">
        <v>12</v>
      </c>
      <c r="B133" s="3">
        <v>7.9</v>
      </c>
      <c r="C133" s="3">
        <v>3.8</v>
      </c>
      <c r="D133" s="3">
        <v>6.4</v>
      </c>
      <c r="E133" s="3">
        <v>2.0</v>
      </c>
      <c r="F133" s="4">
        <f t="shared" si="1"/>
        <v>2</v>
      </c>
      <c r="G133" s="4">
        <f t="shared" si="2"/>
        <v>0.7361789211</v>
      </c>
      <c r="H133" s="4" t="str">
        <f t="shared" si="3"/>
        <v>Iris-virginica</v>
      </c>
      <c r="I133" s="4">
        <f t="shared" si="4"/>
        <v>0</v>
      </c>
      <c r="J133" s="4">
        <f t="shared" si="5"/>
        <v>0.001816835719</v>
      </c>
    </row>
    <row r="134" ht="15.75" customHeight="1">
      <c r="A134" s="3" t="s">
        <v>12</v>
      </c>
      <c r="B134" s="3">
        <v>6.4</v>
      </c>
      <c r="C134" s="3">
        <v>2.8</v>
      </c>
      <c r="D134" s="3">
        <v>5.6</v>
      </c>
      <c r="E134" s="3">
        <v>2.2</v>
      </c>
      <c r="F134" s="4">
        <f t="shared" si="1"/>
        <v>2</v>
      </c>
      <c r="G134" s="4">
        <f t="shared" si="2"/>
        <v>0.8547981822</v>
      </c>
      <c r="H134" s="4" t="str">
        <f t="shared" si="3"/>
        <v>Iris-virginica</v>
      </c>
      <c r="I134" s="4">
        <f t="shared" si="4"/>
        <v>0</v>
      </c>
      <c r="J134" s="4">
        <f t="shared" si="5"/>
        <v>0.005775225611</v>
      </c>
    </row>
    <row r="135" ht="15.75" customHeight="1">
      <c r="A135" s="3" t="s">
        <v>12</v>
      </c>
      <c r="B135" s="3">
        <v>6.3</v>
      </c>
      <c r="C135" s="3">
        <v>2.8</v>
      </c>
      <c r="D135" s="3">
        <v>5.1</v>
      </c>
      <c r="E135" s="3">
        <v>1.5</v>
      </c>
      <c r="F135" s="4">
        <f t="shared" si="1"/>
        <v>2</v>
      </c>
      <c r="G135" s="4">
        <f t="shared" si="2"/>
        <v>0.6317196618</v>
      </c>
      <c r="H135" s="4" t="str">
        <f t="shared" si="3"/>
        <v>Iris-virginica</v>
      </c>
      <c r="I135" s="4">
        <f t="shared" si="4"/>
        <v>0</v>
      </c>
      <c r="J135" s="4">
        <f t="shared" si="5"/>
        <v>0.02163358987</v>
      </c>
    </row>
    <row r="136" ht="15.75" customHeight="1">
      <c r="A136" s="3" t="s">
        <v>12</v>
      </c>
      <c r="B136" s="3">
        <v>6.1</v>
      </c>
      <c r="C136" s="3">
        <v>2.6</v>
      </c>
      <c r="D136" s="3">
        <v>5.6</v>
      </c>
      <c r="E136" s="3">
        <v>1.4</v>
      </c>
      <c r="F136" s="4">
        <f t="shared" si="1"/>
        <v>2</v>
      </c>
      <c r="G136" s="4">
        <f t="shared" si="2"/>
        <v>0.7266774003</v>
      </c>
      <c r="H136" s="4" t="str">
        <f t="shared" si="3"/>
        <v>Iris-virginica</v>
      </c>
      <c r="I136" s="4">
        <f t="shared" si="4"/>
        <v>0</v>
      </c>
      <c r="J136" s="4">
        <f t="shared" si="5"/>
        <v>0.002717107025</v>
      </c>
    </row>
    <row r="137" ht="15.75" customHeight="1">
      <c r="A137" s="3" t="s">
        <v>12</v>
      </c>
      <c r="B137" s="3">
        <v>7.7</v>
      </c>
      <c r="C137" s="3">
        <v>3.0</v>
      </c>
      <c r="D137" s="3">
        <v>6.1</v>
      </c>
      <c r="E137" s="3">
        <v>2.3</v>
      </c>
      <c r="F137" s="4">
        <f t="shared" si="1"/>
        <v>2</v>
      </c>
      <c r="G137" s="4">
        <f t="shared" si="2"/>
        <v>0.8550377526</v>
      </c>
      <c r="H137" s="4" t="str">
        <f t="shared" si="3"/>
        <v>Iris-virginica</v>
      </c>
      <c r="I137" s="4">
        <f t="shared" si="4"/>
        <v>0</v>
      </c>
      <c r="J137" s="4">
        <f t="shared" si="5"/>
        <v>0.005811695265</v>
      </c>
    </row>
    <row r="138" ht="15.75" customHeight="1">
      <c r="A138" s="3" t="s">
        <v>12</v>
      </c>
      <c r="B138" s="3">
        <v>6.3</v>
      </c>
      <c r="C138" s="3">
        <v>3.4</v>
      </c>
      <c r="D138" s="3">
        <v>5.6</v>
      </c>
      <c r="E138" s="3">
        <v>2.4</v>
      </c>
      <c r="F138" s="4">
        <f t="shared" si="1"/>
        <v>2</v>
      </c>
      <c r="G138" s="4">
        <f t="shared" si="2"/>
        <v>0.8343291219</v>
      </c>
      <c r="H138" s="4" t="str">
        <f t="shared" si="3"/>
        <v>Iris-virginica</v>
      </c>
      <c r="I138" s="4">
        <f t="shared" si="4"/>
        <v>0</v>
      </c>
      <c r="J138" s="4">
        <f t="shared" si="5"/>
        <v>0.003083119448</v>
      </c>
    </row>
    <row r="139" ht="15.75" customHeight="1">
      <c r="A139" s="3" t="s">
        <v>12</v>
      </c>
      <c r="B139" s="3">
        <v>6.4</v>
      </c>
      <c r="C139" s="3">
        <v>3.1</v>
      </c>
      <c r="D139" s="3">
        <v>5.5</v>
      </c>
      <c r="E139" s="3">
        <v>1.8</v>
      </c>
      <c r="F139" s="4">
        <f t="shared" si="1"/>
        <v>2</v>
      </c>
      <c r="G139" s="4">
        <f t="shared" si="2"/>
        <v>0.7195085397</v>
      </c>
      <c r="H139" s="4" t="str">
        <f t="shared" si="3"/>
        <v>Iris-virginica</v>
      </c>
      <c r="I139" s="4">
        <f t="shared" si="4"/>
        <v>0</v>
      </c>
      <c r="J139" s="4">
        <f t="shared" si="5"/>
        <v>0.003515865875</v>
      </c>
    </row>
    <row r="140" ht="15.75" customHeight="1">
      <c r="A140" s="3" t="s">
        <v>12</v>
      </c>
      <c r="B140" s="3">
        <v>6.0</v>
      </c>
      <c r="C140" s="3">
        <v>3.0</v>
      </c>
      <c r="D140" s="3">
        <v>4.8</v>
      </c>
      <c r="E140" s="3">
        <v>1.8</v>
      </c>
      <c r="F140" s="4">
        <f t="shared" si="1"/>
        <v>2</v>
      </c>
      <c r="G140" s="4">
        <f t="shared" si="2"/>
        <v>0.6418699524</v>
      </c>
      <c r="H140" s="4" t="str">
        <f t="shared" si="3"/>
        <v>Iris-virginica</v>
      </c>
      <c r="I140" s="4">
        <f t="shared" si="4"/>
        <v>0</v>
      </c>
      <c r="J140" s="4">
        <f t="shared" si="5"/>
        <v>0.01875073539</v>
      </c>
    </row>
    <row r="141" ht="15.75" customHeight="1">
      <c r="A141" s="3" t="s">
        <v>12</v>
      </c>
      <c r="B141" s="3">
        <v>6.9</v>
      </c>
      <c r="C141" s="3">
        <v>3.1</v>
      </c>
      <c r="D141" s="3">
        <v>5.4</v>
      </c>
      <c r="E141" s="3">
        <v>2.1</v>
      </c>
      <c r="F141" s="4">
        <f t="shared" si="1"/>
        <v>2</v>
      </c>
      <c r="G141" s="4">
        <f t="shared" si="2"/>
        <v>0.7364179389</v>
      </c>
      <c r="H141" s="4" t="str">
        <f t="shared" si="3"/>
        <v>Iris-virginica</v>
      </c>
      <c r="I141" s="4">
        <f t="shared" si="4"/>
        <v>0</v>
      </c>
      <c r="J141" s="4">
        <f t="shared" si="5"/>
        <v>0.001796516889</v>
      </c>
    </row>
    <row r="142" ht="15.75" customHeight="1">
      <c r="A142" s="3" t="s">
        <v>12</v>
      </c>
      <c r="B142" s="3">
        <v>6.7</v>
      </c>
      <c r="C142" s="3">
        <v>3.1</v>
      </c>
      <c r="D142" s="3">
        <v>5.6</v>
      </c>
      <c r="E142" s="3">
        <v>2.4</v>
      </c>
      <c r="F142" s="4">
        <f t="shared" si="1"/>
        <v>2</v>
      </c>
      <c r="G142" s="4">
        <f t="shared" si="2"/>
        <v>0.8444628222</v>
      </c>
      <c r="H142" s="4" t="str">
        <f t="shared" si="3"/>
        <v>Iris-virginica</v>
      </c>
      <c r="I142" s="4">
        <f t="shared" si="4"/>
        <v>0</v>
      </c>
      <c r="J142" s="4">
        <f t="shared" si="5"/>
        <v>0.004311175872</v>
      </c>
    </row>
    <row r="143" ht="15.75" customHeight="1">
      <c r="A143" s="3" t="s">
        <v>12</v>
      </c>
      <c r="B143" s="3">
        <v>6.9</v>
      </c>
      <c r="C143" s="3">
        <v>3.1</v>
      </c>
      <c r="D143" s="3">
        <v>5.1</v>
      </c>
      <c r="E143" s="3">
        <v>2.3</v>
      </c>
      <c r="F143" s="4">
        <f t="shared" si="1"/>
        <v>2</v>
      </c>
      <c r="G143" s="4">
        <f t="shared" si="2"/>
        <v>0.7301359485</v>
      </c>
      <c r="H143" s="4" t="str">
        <f t="shared" si="3"/>
        <v>Iris-virginica</v>
      </c>
      <c r="I143" s="4">
        <f t="shared" si="4"/>
        <v>0</v>
      </c>
      <c r="J143" s="4">
        <f t="shared" si="5"/>
        <v>0.002368508866</v>
      </c>
    </row>
    <row r="144" ht="15.75" customHeight="1">
      <c r="A144" s="3" t="s">
        <v>12</v>
      </c>
      <c r="B144" s="3">
        <v>5.8</v>
      </c>
      <c r="C144" s="3">
        <v>2.7</v>
      </c>
      <c r="D144" s="3">
        <v>5.1</v>
      </c>
      <c r="E144" s="3">
        <v>1.9</v>
      </c>
      <c r="F144" s="4">
        <f t="shared" si="1"/>
        <v>2</v>
      </c>
      <c r="G144" s="4">
        <f t="shared" si="2"/>
        <v>0.7582267272</v>
      </c>
      <c r="H144" s="4" t="str">
        <f t="shared" si="3"/>
        <v>Iris-virginica</v>
      </c>
      <c r="I144" s="4">
        <f t="shared" si="4"/>
        <v>0</v>
      </c>
      <c r="J144" s="4">
        <f t="shared" si="5"/>
        <v>0.000423394403</v>
      </c>
    </row>
    <row r="145" ht="15.75" customHeight="1">
      <c r="A145" s="3" t="s">
        <v>12</v>
      </c>
      <c r="B145" s="3">
        <v>6.8</v>
      </c>
      <c r="C145" s="3">
        <v>3.2</v>
      </c>
      <c r="D145" s="3">
        <v>5.9</v>
      </c>
      <c r="E145" s="3">
        <v>2.3</v>
      </c>
      <c r="F145" s="4">
        <f t="shared" si="1"/>
        <v>2</v>
      </c>
      <c r="G145" s="4">
        <f t="shared" si="2"/>
        <v>0.8543540121</v>
      </c>
      <c r="H145" s="4" t="str">
        <f t="shared" si="3"/>
        <v>Iris-virginica</v>
      </c>
      <c r="I145" s="4">
        <f t="shared" si="4"/>
        <v>0</v>
      </c>
      <c r="J145" s="4">
        <f t="shared" si="5"/>
        <v>0.005707913569</v>
      </c>
    </row>
    <row r="146" ht="15.75" customHeight="1">
      <c r="A146" s="3" t="s">
        <v>12</v>
      </c>
      <c r="B146" s="3">
        <v>6.7</v>
      </c>
      <c r="C146" s="3">
        <v>3.3</v>
      </c>
      <c r="D146" s="3">
        <v>5.7</v>
      </c>
      <c r="E146" s="3">
        <v>2.5</v>
      </c>
      <c r="F146" s="4">
        <f t="shared" si="1"/>
        <v>2</v>
      </c>
      <c r="G146" s="4">
        <f t="shared" si="2"/>
        <v>0.8588716347</v>
      </c>
      <c r="H146" s="4" t="str">
        <f t="shared" si="3"/>
        <v>Iris-virginica</v>
      </c>
      <c r="I146" s="4">
        <f t="shared" si="4"/>
        <v>0</v>
      </c>
      <c r="J146" s="4">
        <f t="shared" si="5"/>
        <v>0.0064109419</v>
      </c>
    </row>
    <row r="147" ht="15.75" customHeight="1">
      <c r="A147" s="3" t="s">
        <v>12</v>
      </c>
      <c r="B147" s="3">
        <v>6.7</v>
      </c>
      <c r="C147" s="3">
        <v>3.0</v>
      </c>
      <c r="D147" s="3">
        <v>5.2</v>
      </c>
      <c r="E147" s="3">
        <v>2.3</v>
      </c>
      <c r="F147" s="4">
        <f t="shared" si="1"/>
        <v>2</v>
      </c>
      <c r="G147" s="4">
        <f t="shared" si="2"/>
        <v>0.7699677114</v>
      </c>
      <c r="H147" s="4" t="str">
        <f t="shared" si="3"/>
        <v>Iris-virginica</v>
      </c>
      <c r="I147" s="4">
        <f t="shared" si="4"/>
        <v>0</v>
      </c>
      <c r="J147" s="4">
        <f t="shared" si="5"/>
        <v>0.00007806722004</v>
      </c>
    </row>
    <row r="148" ht="15.75" customHeight="1">
      <c r="A148" s="3" t="s">
        <v>12</v>
      </c>
      <c r="B148" s="3">
        <v>6.3</v>
      </c>
      <c r="C148" s="3">
        <v>2.5</v>
      </c>
      <c r="D148" s="3">
        <v>5.0</v>
      </c>
      <c r="E148" s="3">
        <v>1.9</v>
      </c>
      <c r="F148" s="4">
        <f t="shared" si="1"/>
        <v>2</v>
      </c>
      <c r="G148" s="4">
        <f t="shared" si="2"/>
        <v>0.7346040327</v>
      </c>
      <c r="H148" s="4" t="str">
        <f t="shared" si="3"/>
        <v>Iris-virginica</v>
      </c>
      <c r="I148" s="4">
        <f t="shared" si="4"/>
        <v>0</v>
      </c>
      <c r="J148" s="4">
        <f t="shared" si="5"/>
        <v>0.0019535732</v>
      </c>
    </row>
    <row r="149" ht="15.75" customHeight="1">
      <c r="A149" s="3" t="s">
        <v>12</v>
      </c>
      <c r="B149" s="3">
        <v>6.5</v>
      </c>
      <c r="C149" s="3">
        <v>3.0</v>
      </c>
      <c r="D149" s="3">
        <v>5.2</v>
      </c>
      <c r="E149" s="3">
        <v>2.0</v>
      </c>
      <c r="F149" s="4">
        <f t="shared" si="1"/>
        <v>2</v>
      </c>
      <c r="G149" s="4">
        <f t="shared" si="2"/>
        <v>0.7186295721</v>
      </c>
      <c r="H149" s="4" t="str">
        <f t="shared" si="3"/>
        <v>Iris-virginica</v>
      </c>
      <c r="I149" s="4">
        <f t="shared" si="4"/>
        <v>0</v>
      </c>
      <c r="J149" s="4">
        <f t="shared" si="5"/>
        <v>0.003620874765</v>
      </c>
    </row>
    <row r="150" ht="15.75" customHeight="1">
      <c r="A150" s="3" t="s">
        <v>12</v>
      </c>
      <c r="B150" s="3">
        <v>6.2</v>
      </c>
      <c r="C150" s="3">
        <v>3.4</v>
      </c>
      <c r="D150" s="3">
        <v>5.4</v>
      </c>
      <c r="E150" s="3">
        <v>2.3</v>
      </c>
      <c r="F150" s="4">
        <f t="shared" si="1"/>
        <v>2</v>
      </c>
      <c r="G150" s="4">
        <f t="shared" si="2"/>
        <v>0.7868362599</v>
      </c>
      <c r="H150" s="4" t="str">
        <f t="shared" si="3"/>
        <v>Iris-virginica</v>
      </c>
      <c r="I150" s="4">
        <f t="shared" si="4"/>
        <v>0</v>
      </c>
      <c r="J150" s="4">
        <f t="shared" si="5"/>
        <v>0.00006452881376</v>
      </c>
    </row>
    <row r="151" ht="15.75" customHeight="1">
      <c r="A151" s="3" t="s">
        <v>12</v>
      </c>
      <c r="B151" s="3">
        <v>5.9</v>
      </c>
      <c r="C151" s="3">
        <v>3.0</v>
      </c>
      <c r="D151" s="3">
        <v>5.1</v>
      </c>
      <c r="E151" s="3">
        <v>1.8</v>
      </c>
      <c r="F151" s="4">
        <f t="shared" si="1"/>
        <v>2</v>
      </c>
      <c r="G151" s="4">
        <f t="shared" si="2"/>
        <v>0.6965532279</v>
      </c>
      <c r="H151" s="4" t="str">
        <f t="shared" si="3"/>
        <v>Iris-virginica</v>
      </c>
      <c r="I151" s="4">
        <f t="shared" si="4"/>
        <v>0</v>
      </c>
      <c r="J151" s="4">
        <f t="shared" si="5"/>
        <v>0.006765070582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6:L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