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UW" sheetId="1" r:id="rId4"/>
  </sheets>
  <definedNames>
    <definedName localSheetId="0" name="solver_cvg">0.0001</definedName>
    <definedName localSheetId="0" name="solver_drv">1</definedName>
    <definedName localSheetId="0" name="solver_eng">1</definedName>
    <definedName localSheetId="0" name="solver_est">1</definedName>
    <definedName localSheetId="0" name="solver_itr">2147483647</definedName>
    <definedName localSheetId="0" name="solver_mip">2147483647</definedName>
    <definedName localSheetId="0" name="solver_mni">30</definedName>
    <definedName localSheetId="0" name="solver_mrt">0.075</definedName>
    <definedName localSheetId="0" name="solver_msl">2</definedName>
    <definedName localSheetId="0" name="solver_neg">2</definedName>
    <definedName localSheetId="0" name="solver_nod">2147483647</definedName>
    <definedName localSheetId="0" name="solver_num">0</definedName>
    <definedName localSheetId="0" name="solver_nwt">1</definedName>
    <definedName localSheetId="0" name="solver_pre">0.000001</definedName>
    <definedName localSheetId="0" name="solver_rbv">1</definedName>
    <definedName localSheetId="0" name="solver_rlx">2</definedName>
    <definedName localSheetId="0" name="solver_rsd">0</definedName>
    <definedName localSheetId="0" name="solver_scl">1</definedName>
    <definedName localSheetId="0" name="solver_sho">2</definedName>
    <definedName localSheetId="0" name="solver_ssz">100</definedName>
    <definedName localSheetId="0" name="solver_tim">2147483647</definedName>
    <definedName localSheetId="0" name="solver_tol">0.01</definedName>
    <definedName localSheetId="0" name="solver_typ">2</definedName>
    <definedName localSheetId="0" name="solver_val">0</definedName>
    <definedName localSheetId="0" name="solver_ver">3</definedName>
    <definedName localSheetId="0" name="solver_opt">'2UW'!$T$1</definedName>
    <definedName localSheetId="0" name="solver_adj">'2UW'!$B$2:$N$4</definedName>
    <definedName localSheetId="0" name="set1stat_analysis_1_5_2007">'2UW'!$E$10:$E$182</definedName>
  </definedNames>
  <calcPr/>
  <extLst>
    <ext uri="GoogleSheetsCustomDataVersion2">
      <go:sheetsCustomData xmlns:go="http://customooxmlschemas.google.com/" r:id="rId5" roundtripDataChecksum="ZsNXHee2vg0AX9ZL07dqAsVldLiy2lCiJ6Te0VEY4s4="/>
    </ext>
  </extLst>
</workbook>
</file>

<file path=xl/sharedStrings.xml><?xml version="1.0" encoding="utf-8"?>
<sst xmlns="http://schemas.openxmlformats.org/spreadsheetml/2006/main" count="40" uniqueCount="40">
  <si>
    <t>Neuron</t>
  </si>
  <si>
    <t>w1</t>
  </si>
  <si>
    <t>w2</t>
  </si>
  <si>
    <t>w3</t>
  </si>
  <si>
    <t>w4</t>
  </si>
  <si>
    <t>b1</t>
  </si>
  <si>
    <t>Wo1</t>
  </si>
  <si>
    <t>Bo1</t>
  </si>
  <si>
    <t>W21</t>
  </si>
  <si>
    <t>W22</t>
  </si>
  <si>
    <t>W23</t>
  </si>
  <si>
    <t>B2</t>
  </si>
  <si>
    <t>Wo2</t>
  </si>
  <si>
    <t>Bo2</t>
  </si>
  <si>
    <t>Suma błędów 1</t>
  </si>
  <si>
    <t>Suma błędow 2</t>
  </si>
  <si>
    <t/>
  </si>
  <si>
    <t>odcięcie</t>
  </si>
  <si>
    <t>pomyłki</t>
  </si>
  <si>
    <t>maks.</t>
  </si>
  <si>
    <t>Średnia</t>
  </si>
  <si>
    <t>min.</t>
  </si>
  <si>
    <t>Liczba</t>
  </si>
  <si>
    <t>ważona suma neuronu</t>
  </si>
  <si>
    <t>znormalizowana suma ważona</t>
  </si>
  <si>
    <t>po przekształceniu sigmoidalnym</t>
  </si>
  <si>
    <t>agregacja 2. warstwy ukrytej</t>
  </si>
  <si>
    <t>przekształcenie 2. warstwy</t>
  </si>
  <si>
    <t>x1</t>
  </si>
  <si>
    <t>x2</t>
  </si>
  <si>
    <t>x3</t>
  </si>
  <si>
    <t>x4</t>
  </si>
  <si>
    <t>Klasa</t>
  </si>
  <si>
    <t>Wyjście-1</t>
  </si>
  <si>
    <t>Błąd-1</t>
  </si>
  <si>
    <t>Wyjście-2</t>
  </si>
  <si>
    <t>Błąd-2</t>
  </si>
  <si>
    <t>Predykcja</t>
  </si>
  <si>
    <t>Różnica</t>
  </si>
  <si>
    <t>Zbiór danych do oceny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</si>
</sst>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;;;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</fills>
  <borders count="5">
    <border/>
    <border>
      <left/>
      <right/>
      <top/>
    </border>
    <border>
      <left/>
      <right/>
      <top/>
      <bottom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textRotation="180" vertical="center"/>
    </xf>
    <xf borderId="2" fillId="2" fontId="4" numFmtId="0" xfId="0" applyBorder="1" applyFont="1"/>
    <xf borderId="3" fillId="0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8.14"/>
    <col customWidth="1" min="6" max="9" width="8.71"/>
    <col customWidth="1" min="10" max="12" width="9.43"/>
    <col customWidth="1" min="13" max="15" width="10.43"/>
    <col customWidth="1" min="16" max="16" width="17.0"/>
    <col customWidth="1" min="17" max="18" width="8.71"/>
    <col customWidth="1" min="19" max="19" width="16.43"/>
    <col customWidth="1" min="20" max="4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>
        <f>SUM(Q11:Q182)</f>
        <v>28342.08513</v>
      </c>
      <c r="S1" s="1" t="s">
        <v>15</v>
      </c>
      <c r="T1" s="1">
        <f>SUM(Y11:Y182)</f>
        <v>21256.67861</v>
      </c>
      <c r="AV1" s="2" t="s">
        <v>16</v>
      </c>
    </row>
    <row r="2">
      <c r="A2" s="1">
        <v>1.0</v>
      </c>
      <c r="B2" s="1">
        <v>0.5902713801517676</v>
      </c>
      <c r="C2" s="1">
        <v>-2.649635813006129</v>
      </c>
      <c r="D2" s="1">
        <v>4.14553724976167</v>
      </c>
      <c r="E2" s="1">
        <v>1.1240324277598237</v>
      </c>
      <c r="F2" s="1">
        <v>1.0000000106661149</v>
      </c>
      <c r="G2" s="1">
        <v>13.487411672368362</v>
      </c>
      <c r="H2" s="1">
        <v>20.49567533239483</v>
      </c>
      <c r="I2" s="1">
        <v>1.9710805979681136</v>
      </c>
      <c r="J2" s="1">
        <v>1.985130492977038</v>
      </c>
      <c r="K2" s="1">
        <v>2.088215663936079</v>
      </c>
      <c r="L2" s="1">
        <v>4.053191892952417</v>
      </c>
      <c r="M2" s="1">
        <v>14.699577901562225</v>
      </c>
      <c r="N2" s="1">
        <v>15.829294338877727</v>
      </c>
    </row>
    <row r="3">
      <c r="A3" s="1">
        <v>2.0</v>
      </c>
      <c r="B3" s="1">
        <v>2.9041548520889897</v>
      </c>
      <c r="C3" s="1">
        <v>-6.598724793302152</v>
      </c>
      <c r="D3" s="1">
        <v>10.182966708431918</v>
      </c>
      <c r="E3" s="1">
        <v>0.9685328655537725</v>
      </c>
      <c r="F3" s="1">
        <v>1.5000000391061998</v>
      </c>
      <c r="G3" s="1">
        <v>29.64374590591075</v>
      </c>
      <c r="H3" s="1">
        <v>1.5000000391061998</v>
      </c>
      <c r="I3" s="1">
        <v>0.335534151329874</v>
      </c>
      <c r="J3" s="1">
        <v>0.3183016833352785</v>
      </c>
      <c r="K3" s="1">
        <v>0.3369574775487482</v>
      </c>
      <c r="L3" s="1">
        <v>-3.5274769329912274</v>
      </c>
      <c r="M3" s="1">
        <v>32.414881083774425</v>
      </c>
      <c r="N3" s="1">
        <v>1.5000000391061998</v>
      </c>
    </row>
    <row r="4">
      <c r="A4" s="1">
        <v>3.0</v>
      </c>
      <c r="B4" s="1">
        <v>7.3462153226184155</v>
      </c>
      <c r="C4" s="1">
        <v>-4.9714520957269785</v>
      </c>
      <c r="D4" s="1">
        <v>19.120191872553207</v>
      </c>
      <c r="E4" s="1">
        <v>0.5749722450951671</v>
      </c>
      <c r="F4" s="1">
        <v>2.000000022502922</v>
      </c>
      <c r="G4" s="1">
        <v>52.09072388397414</v>
      </c>
      <c r="H4" s="1">
        <v>2.0000000327611303</v>
      </c>
      <c r="I4" s="1">
        <v>4.795746831196389</v>
      </c>
      <c r="J4" s="1">
        <v>4.998629753413523</v>
      </c>
      <c r="K4" s="1">
        <v>4.759730226943864</v>
      </c>
      <c r="L4" s="1">
        <v>-6.978988310998037</v>
      </c>
      <c r="M4" s="1">
        <v>56.14743768386863</v>
      </c>
      <c r="N4" s="1">
        <v>2.0000000327611303</v>
      </c>
    </row>
    <row r="5" ht="15.0" customHeight="1">
      <c r="T5" s="3">
        <v>39.0</v>
      </c>
      <c r="U5" s="3">
        <v>69.0</v>
      </c>
      <c r="V5" s="3">
        <v>84.0</v>
      </c>
      <c r="W5" s="1" t="s">
        <v>17</v>
      </c>
      <c r="X5" s="1" t="s">
        <v>18</v>
      </c>
    </row>
    <row r="6">
      <c r="F6" s="1" t="s">
        <v>19</v>
      </c>
      <c r="G6" s="1">
        <f t="shared" ref="G6:I6" si="1">MAX(G11:G182)</f>
        <v>57.64505341</v>
      </c>
      <c r="H6" s="1">
        <f t="shared" si="1"/>
        <v>211.3317251</v>
      </c>
      <c r="I6" s="1">
        <f t="shared" si="1"/>
        <v>441.7851753</v>
      </c>
      <c r="S6" s="1" t="s">
        <v>20</v>
      </c>
      <c r="T6" s="3">
        <f t="shared" ref="T6:V6" si="2">AVERAGEIFS($X$11:$X$182, $F$11:$F$182, T$5)</f>
        <v>51.06137903</v>
      </c>
      <c r="U6" s="3">
        <f t="shared" si="2"/>
        <v>65.27256159</v>
      </c>
      <c r="V6" s="3">
        <f t="shared" si="2"/>
        <v>79.63805795</v>
      </c>
      <c r="W6" s="3">
        <f>(T6*T7+U6*U7)/(T7+U7)</f>
        <v>58.98972298</v>
      </c>
      <c r="X6" s="3">
        <f>SUM(AA11:AA182)</f>
        <v>48</v>
      </c>
    </row>
    <row r="7">
      <c r="F7" s="1" t="s">
        <v>21</v>
      </c>
      <c r="G7" s="1">
        <f t="shared" ref="G7:I7" si="3">MIN(G11:G182)</f>
        <v>20.57037362</v>
      </c>
      <c r="H7" s="1">
        <f t="shared" si="3"/>
        <v>84.88723407</v>
      </c>
      <c r="I7" s="1">
        <f t="shared" si="3"/>
        <v>167.7952108</v>
      </c>
      <c r="S7" s="1" t="s">
        <v>22</v>
      </c>
      <c r="T7" s="3">
        <f t="shared" ref="T7:V7" si="4">COUNTIFS($F$11:$F$182,T$5)</f>
        <v>42</v>
      </c>
      <c r="U7" s="3">
        <f t="shared" si="4"/>
        <v>53</v>
      </c>
      <c r="V7" s="3">
        <f t="shared" si="4"/>
        <v>77</v>
      </c>
      <c r="W7" s="3">
        <f>(U6*U7+V6*V7)/(U7+V7)</f>
        <v>73.78135559</v>
      </c>
    </row>
    <row r="9">
      <c r="G9" s="4" t="s">
        <v>23</v>
      </c>
      <c r="J9" s="5" t="s">
        <v>24</v>
      </c>
      <c r="M9" s="5" t="s">
        <v>25</v>
      </c>
      <c r="R9" s="1" t="s">
        <v>26</v>
      </c>
      <c r="U9" s="1" t="s">
        <v>27</v>
      </c>
    </row>
    <row r="10">
      <c r="B10" s="1" t="s">
        <v>28</v>
      </c>
      <c r="C10" s="1" t="s">
        <v>29</v>
      </c>
      <c r="D10" s="1" t="s">
        <v>30</v>
      </c>
      <c r="E10" s="1" t="s">
        <v>31</v>
      </c>
      <c r="F10" s="1" t="s">
        <v>32</v>
      </c>
      <c r="G10" s="1">
        <v>1.0</v>
      </c>
      <c r="H10" s="1">
        <v>2.0</v>
      </c>
      <c r="I10" s="1">
        <v>3.0</v>
      </c>
      <c r="J10" s="1">
        <v>1.0</v>
      </c>
      <c r="K10" s="1">
        <v>2.0</v>
      </c>
      <c r="L10" s="1">
        <v>3.0</v>
      </c>
      <c r="M10" s="1">
        <v>1.0</v>
      </c>
      <c r="N10" s="1">
        <v>2.0</v>
      </c>
      <c r="O10" s="1">
        <v>3.0</v>
      </c>
      <c r="P10" s="1" t="s">
        <v>33</v>
      </c>
      <c r="Q10" s="1" t="s">
        <v>34</v>
      </c>
      <c r="R10" s="1">
        <v>1.0</v>
      </c>
      <c r="S10" s="1">
        <v>2.0</v>
      </c>
      <c r="T10" s="1">
        <v>3.0</v>
      </c>
      <c r="U10" s="1">
        <v>1.0</v>
      </c>
      <c r="V10" s="1">
        <v>2.0</v>
      </c>
      <c r="W10" s="1">
        <v>3.0</v>
      </c>
      <c r="X10" s="1" t="s">
        <v>35</v>
      </c>
      <c r="Y10" s="1" t="s">
        <v>36</v>
      </c>
      <c r="Z10" s="6" t="s">
        <v>37</v>
      </c>
      <c r="AA10" s="6" t="s">
        <v>38</v>
      </c>
    </row>
    <row r="11">
      <c r="B11" s="1">
        <v>30.1</v>
      </c>
      <c r="C11" s="1">
        <v>-4.9</v>
      </c>
      <c r="D11" s="1">
        <v>-0.4</v>
      </c>
      <c r="E11" s="1">
        <v>8.0</v>
      </c>
      <c r="F11" s="1">
        <v>39.0</v>
      </c>
      <c r="G11" s="1">
        <f t="shared" ref="G11:I11" si="5">SUMPRODUCT($B11:$E11, INDEX($B$2:$E$4, G$10, 0))+ INDEX($F$2:$F$4,G$10,1)</f>
        <v>39.08442856</v>
      </c>
      <c r="H11" s="1">
        <f t="shared" si="5"/>
        <v>124.9238888</v>
      </c>
      <c r="I11" s="1">
        <f t="shared" si="5"/>
        <v>244.4328977</v>
      </c>
      <c r="J11" s="1">
        <f t="shared" ref="J11:L11" si="6">(G11-G$7)/(G$6-G$7)*2-1</f>
        <v>-0.001256111055</v>
      </c>
      <c r="K11" s="1">
        <f t="shared" si="6"/>
        <v>-0.3667315292</v>
      </c>
      <c r="L11" s="1">
        <f t="shared" si="6"/>
        <v>-0.4405803361</v>
      </c>
      <c r="M11" s="1">
        <f t="shared" ref="M11:O11" si="7">1/(1+EXP(-J11))</f>
        <v>0.4996859723</v>
      </c>
      <c r="N11" s="1">
        <f t="shared" si="7"/>
        <v>0.4093310348</v>
      </c>
      <c r="O11" s="1">
        <f t="shared" si="7"/>
        <v>0.3916026955</v>
      </c>
      <c r="P11" s="1">
        <f t="shared" ref="P11:P190" si="13">MMULT(M11:O11,$G$2:$G$4)+$H$2</f>
        <v>59.76811882</v>
      </c>
      <c r="Q11" s="1">
        <f t="shared" ref="Q11:Q190" si="14">(P11-F11)^2</f>
        <v>431.3147592</v>
      </c>
      <c r="R11" s="1">
        <f t="shared" ref="R11:T11" si="8">SUMPRODUCT($M11:$O11, INDEX($I$2:$K$4, R$10, 0))+ INDEX($L$2:$L$4, R$10,1)</f>
        <v>6.66843962</v>
      </c>
      <c r="S11" s="1">
        <f t="shared" si="8"/>
        <v>-3.09757101</v>
      </c>
      <c r="T11" s="1">
        <f t="shared" si="8"/>
        <v>-0.6726034168</v>
      </c>
      <c r="U11" s="1">
        <f t="shared" ref="U11:W11" si="9">1/(1+EXP(-R11))</f>
        <v>0.9987312323</v>
      </c>
      <c r="V11" s="1">
        <f t="shared" si="9"/>
        <v>0.04320755965</v>
      </c>
      <c r="W11" s="1">
        <f t="shared" si="9"/>
        <v>0.3379141376</v>
      </c>
      <c r="X11" s="1">
        <f t="shared" ref="X11:X190" si="17">MMULT(U11:W11,$M$2:$M$4)+$N$2</f>
        <v>50.88380278</v>
      </c>
      <c r="Y11" s="1">
        <f t="shared" ref="Y11:Y182" si="18">(F11-X11)^2</f>
        <v>141.2247685</v>
      </c>
      <c r="Z11" s="3">
        <f t="shared" ref="Z11:Z190" si="19">IF(X11&lt;$W$6,39,IF(X11&lt;$W$7,69,84))</f>
        <v>39</v>
      </c>
      <c r="AA11" s="3">
        <f t="shared" ref="AA11:AA182" si="20">IF(F11=Z11,0,1)</f>
        <v>0</v>
      </c>
    </row>
    <row r="12">
      <c r="B12" s="1">
        <v>31.1</v>
      </c>
      <c r="C12" s="1">
        <v>-5.6</v>
      </c>
      <c r="D12" s="1">
        <v>-0.4</v>
      </c>
      <c r="E12" s="1">
        <v>7.0</v>
      </c>
      <c r="F12" s="1">
        <v>39.0</v>
      </c>
      <c r="G12" s="1">
        <f t="shared" ref="G12:I12" si="10">SUMPRODUCT($B12:$E12, INDEX($B$2:$E$4, G$10, 0))+ INDEX($F$2:$F$4,G$10,1)</f>
        <v>40.40541258</v>
      </c>
      <c r="H12" s="1">
        <f t="shared" si="10"/>
        <v>131.4786182</v>
      </c>
      <c r="I12" s="1">
        <f t="shared" si="10"/>
        <v>254.6841573</v>
      </c>
      <c r="J12" s="1">
        <f t="shared" ref="J12:L12" si="11">(G12-G$7)/(G$6-G$7)*2-1</f>
        <v>0.07000459997</v>
      </c>
      <c r="K12" s="1">
        <f t="shared" si="11"/>
        <v>-0.2630539504</v>
      </c>
      <c r="L12" s="1">
        <f t="shared" si="11"/>
        <v>-0.3657508834</v>
      </c>
      <c r="M12" s="1">
        <f t="shared" ref="M12:O12" si="12">1/(1+EXP(-J12))</f>
        <v>0.5174940063</v>
      </c>
      <c r="N12" s="1">
        <f t="shared" si="12"/>
        <v>0.4346131283</v>
      </c>
      <c r="O12" s="1">
        <f t="shared" si="12"/>
        <v>0.4095681556</v>
      </c>
      <c r="P12" s="1">
        <f t="shared" si="13"/>
        <v>61.69359288</v>
      </c>
      <c r="Q12" s="1">
        <f t="shared" si="14"/>
        <v>514.9991577</v>
      </c>
      <c r="R12" s="1">
        <f t="shared" ref="R12:T12" si="15">SUMPRODUCT($M12:$O12, INDEX($I$2:$K$4, R$10, 0))+ INDEX($L$2:$L$4, R$10,1)</f>
        <v>6.7912447</v>
      </c>
      <c r="S12" s="1">
        <f t="shared" si="15"/>
        <v>-3.077494878</v>
      </c>
      <c r="T12" s="1">
        <f t="shared" si="15"/>
        <v>-0.3753140261</v>
      </c>
      <c r="U12" s="1">
        <f t="shared" ref="U12:W12" si="16">1/(1+EXP(-R12))</f>
        <v>0.9988776916</v>
      </c>
      <c r="V12" s="1">
        <f t="shared" si="16"/>
        <v>0.04404517366</v>
      </c>
      <c r="W12" s="1">
        <f t="shared" si="16"/>
        <v>0.4072575923</v>
      </c>
      <c r="X12" s="1">
        <f t="shared" si="17"/>
        <v>54.80656413</v>
      </c>
      <c r="Y12" s="1">
        <f t="shared" si="18"/>
        <v>249.8474697</v>
      </c>
      <c r="Z12" s="3">
        <f t="shared" si="19"/>
        <v>39</v>
      </c>
      <c r="AA12" s="3">
        <f t="shared" si="20"/>
        <v>0</v>
      </c>
    </row>
    <row r="13">
      <c r="B13" s="1">
        <v>44.4</v>
      </c>
      <c r="C13" s="1">
        <v>-5.1</v>
      </c>
      <c r="D13" s="1">
        <v>-3.7</v>
      </c>
      <c r="E13" s="1">
        <v>5.0</v>
      </c>
      <c r="F13" s="1">
        <v>39.0</v>
      </c>
      <c r="G13" s="1">
        <f t="shared" ref="G13:I13" si="21">SUMPRODUCT($B13:$E13, INDEX($B$2:$E$4, G$10, 0))+ INDEX($F$2:$F$4,G$10,1)</f>
        <v>31.00286625</v>
      </c>
      <c r="H13" s="1">
        <f t="shared" si="21"/>
        <v>131.2636594</v>
      </c>
      <c r="I13" s="1">
        <f t="shared" si="21"/>
        <v>285.6565173</v>
      </c>
      <c r="J13" s="1">
        <f t="shared" ref="J13:L13" si="22">(G13-G$7)/(G$6-G$7)*2-1</f>
        <v>-0.4372173846</v>
      </c>
      <c r="K13" s="1">
        <f t="shared" si="22"/>
        <v>-0.2664539994</v>
      </c>
      <c r="L13" s="1">
        <f t="shared" si="22"/>
        <v>-0.139666982</v>
      </c>
      <c r="M13" s="1">
        <f t="shared" ref="M13:O13" si="23">1/(1+EXP(-J13))</f>
        <v>0.3924042102</v>
      </c>
      <c r="N13" s="1">
        <f t="shared" si="23"/>
        <v>0.4337778393</v>
      </c>
      <c r="O13" s="1">
        <f t="shared" si="23"/>
        <v>0.4651399037</v>
      </c>
      <c r="P13" s="1">
        <f t="shared" si="13"/>
        <v>62.87646679</v>
      </c>
      <c r="Q13" s="1">
        <f t="shared" si="14"/>
        <v>570.0856666</v>
      </c>
      <c r="R13" s="1">
        <f t="shared" ref="R13:T13" si="24">SUMPRODUCT($M13:$O13, INDEX($I$2:$K$4, R$10, 0))+ INDEX($L$2:$L$4, R$10,1)</f>
        <v>6.659070267</v>
      </c>
      <c r="S13" s="1">
        <f t="shared" si="24"/>
        <v>-3.101007334</v>
      </c>
      <c r="T13" s="1">
        <f t="shared" si="24"/>
        <v>-0.7148817905</v>
      </c>
      <c r="U13" s="1">
        <f t="shared" ref="U13:W13" si="25">1/(1+EXP(-R13))</f>
        <v>0.9987193042</v>
      </c>
      <c r="V13" s="1">
        <f t="shared" si="25"/>
        <v>0.04306572251</v>
      </c>
      <c r="W13" s="1">
        <f t="shared" si="25"/>
        <v>0.3285210417</v>
      </c>
      <c r="X13" s="1">
        <f t="shared" si="17"/>
        <v>50.35163154</v>
      </c>
      <c r="Y13" s="1">
        <f t="shared" si="18"/>
        <v>128.8595387</v>
      </c>
      <c r="Z13" s="3">
        <f t="shared" si="19"/>
        <v>39</v>
      </c>
      <c r="AA13" s="3">
        <f t="shared" si="20"/>
        <v>0</v>
      </c>
    </row>
    <row r="14">
      <c r="B14" s="1">
        <v>48.4</v>
      </c>
      <c r="C14" s="1">
        <v>-4.5</v>
      </c>
      <c r="D14" s="1">
        <v>-3.3</v>
      </c>
      <c r="E14" s="1">
        <v>5.0</v>
      </c>
      <c r="F14" s="1">
        <v>39.0</v>
      </c>
      <c r="G14" s="1">
        <f t="shared" ref="G14:I14" si="26">SUMPRODUCT($B14:$E14, INDEX($B$2:$E$4, G$10, 0))+ INDEX($F$2:$F$4,G$10,1)</f>
        <v>33.43238518</v>
      </c>
      <c r="H14" s="1">
        <f t="shared" si="26"/>
        <v>142.9942306</v>
      </c>
      <c r="I14" s="1">
        <f t="shared" si="26"/>
        <v>319.7065841</v>
      </c>
      <c r="J14" s="1">
        <f t="shared" ref="J14:L14" si="27">(G14-G$7)/(G$6-G$7)*2-1</f>
        <v>-0.3061565664</v>
      </c>
      <c r="K14" s="1">
        <f t="shared" si="27"/>
        <v>-0.08090900465</v>
      </c>
      <c r="L14" s="1">
        <f t="shared" si="27"/>
        <v>0.1088827547</v>
      </c>
      <c r="M14" s="1">
        <f t="shared" ref="M14:O14" si="28">1/(1+EXP(-J14))</f>
        <v>0.4240531535</v>
      </c>
      <c r="N14" s="1">
        <f t="shared" si="28"/>
        <v>0.479783776</v>
      </c>
      <c r="O14" s="1">
        <f t="shared" si="28"/>
        <v>0.5271938277</v>
      </c>
      <c r="P14" s="1">
        <f t="shared" si="13"/>
        <v>67.89955125</v>
      </c>
      <c r="Q14" s="1">
        <f t="shared" si="14"/>
        <v>835.1840622</v>
      </c>
      <c r="R14" s="1">
        <f t="shared" ref="R14:T14" si="29">SUMPRODUCT($M14:$O14, INDEX($I$2:$K$4, R$10, 0))+ INDEX($L$2:$L$4, R$10,1)</f>
        <v>6.942362649</v>
      </c>
      <c r="S14" s="1">
        <f t="shared" si="29"/>
        <v>-3.054834732</v>
      </c>
      <c r="T14" s="1">
        <f t="shared" si="29"/>
        <v>-0.03777488822</v>
      </c>
      <c r="U14" s="1">
        <f t="shared" ref="U14:W14" si="30">1/(1+EXP(-R14))</f>
        <v>0.9990349476</v>
      </c>
      <c r="V14" s="1">
        <f t="shared" si="30"/>
        <v>0.04500920264</v>
      </c>
      <c r="W14" s="1">
        <f t="shared" si="30"/>
        <v>0.4905574008</v>
      </c>
      <c r="X14" s="1">
        <f t="shared" si="17"/>
        <v>59.51719542</v>
      </c>
      <c r="Y14" s="1">
        <f t="shared" si="18"/>
        <v>420.9553078</v>
      </c>
      <c r="Z14" s="3">
        <f t="shared" si="19"/>
        <v>69</v>
      </c>
      <c r="AA14" s="3">
        <f t="shared" si="20"/>
        <v>1</v>
      </c>
    </row>
    <row r="15">
      <c r="B15" s="1">
        <v>33.1</v>
      </c>
      <c r="C15" s="1">
        <v>-4.4</v>
      </c>
      <c r="D15" s="1">
        <v>-1.8</v>
      </c>
      <c r="E15" s="1">
        <v>7.0</v>
      </c>
      <c r="F15" s="1">
        <v>39.0</v>
      </c>
      <c r="G15" s="1">
        <f t="shared" ref="G15:I15" si="31">SUMPRODUCT($B15:$E15, INDEX($B$2:$E$4, G$10, 0))+ INDEX($F$2:$F$4,G$10,1)</f>
        <v>32.60264022</v>
      </c>
      <c r="H15" s="1">
        <f t="shared" si="31"/>
        <v>115.1123047</v>
      </c>
      <c r="I15" s="1">
        <f t="shared" si="31"/>
        <v>236.6425768</v>
      </c>
      <c r="J15" s="1">
        <f t="shared" ref="J15:L15" si="32">(G15-G$7)/(G$6-G$7)*2-1</f>
        <v>-0.3509173019</v>
      </c>
      <c r="K15" s="1">
        <f t="shared" si="32"/>
        <v>-0.5219234876</v>
      </c>
      <c r="L15" s="1">
        <f t="shared" si="32"/>
        <v>-0.4974460754</v>
      </c>
      <c r="M15" s="1">
        <f t="shared" ref="M15:O15" si="33">1/(1+EXP(-J15))</f>
        <v>0.4131599954</v>
      </c>
      <c r="N15" s="1">
        <f t="shared" si="33"/>
        <v>0.3724025681</v>
      </c>
      <c r="O15" s="1">
        <f t="shared" si="33"/>
        <v>0.378141038</v>
      </c>
      <c r="P15" s="1">
        <f t="shared" si="13"/>
        <v>56.80518178</v>
      </c>
      <c r="Q15" s="1">
        <f t="shared" si="14"/>
        <v>317.0244982</v>
      </c>
      <c r="R15" s="1">
        <f t="shared" ref="R15:T15" si="34">SUMPRODUCT($M15:$O15, INDEX($I$2:$K$4, R$10, 0))+ INDEX($L$2:$L$4, R$10,1)</f>
        <v>6.396471276</v>
      </c>
      <c r="S15" s="1">
        <f t="shared" si="34"/>
        <v>-3.14289383</v>
      </c>
      <c r="T15" s="1">
        <f t="shared" si="34"/>
        <v>-1.336225686</v>
      </c>
      <c r="U15" s="1">
        <f t="shared" ref="U15:W15" si="35">1/(1+EXP(-R15))</f>
        <v>0.9983353449</v>
      </c>
      <c r="V15" s="1">
        <f t="shared" si="35"/>
        <v>0.04137219601</v>
      </c>
      <c r="W15" s="1">
        <f t="shared" si="35"/>
        <v>0.2081314283</v>
      </c>
      <c r="X15" s="1">
        <f t="shared" si="17"/>
        <v>43.53152373</v>
      </c>
      <c r="Y15" s="1">
        <f t="shared" si="18"/>
        <v>20.53470727</v>
      </c>
      <c r="Z15" s="3">
        <f t="shared" si="19"/>
        <v>39</v>
      </c>
      <c r="AA15" s="3">
        <f t="shared" si="20"/>
        <v>0</v>
      </c>
    </row>
    <row r="16">
      <c r="B16" s="1">
        <v>39.6</v>
      </c>
      <c r="C16" s="1">
        <v>-6.9</v>
      </c>
      <c r="D16" s="1">
        <v>-4.3</v>
      </c>
      <c r="E16" s="1">
        <v>5.0</v>
      </c>
      <c r="F16" s="1">
        <v>39.0</v>
      </c>
      <c r="G16" s="1">
        <f t="shared" ref="G16:I16" si="36">SUMPRODUCT($B16:$E16, INDEX($B$2:$E$4, G$10, 0))+ INDEX($F$2:$F$4,G$10,1)</f>
        <v>30.45158574</v>
      </c>
      <c r="H16" s="1">
        <f t="shared" si="36"/>
        <v>123.0916407</v>
      </c>
      <c r="I16" s="1">
        <f t="shared" si="36"/>
        <v>247.8711824</v>
      </c>
      <c r="J16" s="1">
        <f t="shared" ref="J16:L16" si="37">(G16-G$7)/(G$6-G$7)*2-1</f>
        <v>-0.4669563069</v>
      </c>
      <c r="K16" s="1">
        <f t="shared" si="37"/>
        <v>-0.3957125953</v>
      </c>
      <c r="L16" s="1">
        <f t="shared" si="37"/>
        <v>-0.4154824481</v>
      </c>
      <c r="M16" s="1">
        <f t="shared" ref="M16:O16" si="38">1/(1+EXP(-J16))</f>
        <v>0.3853368975</v>
      </c>
      <c r="N16" s="1">
        <f t="shared" si="38"/>
        <v>0.4023428694</v>
      </c>
      <c r="O16" s="1">
        <f t="shared" si="38"/>
        <v>0.3975982644</v>
      </c>
      <c r="P16" s="1">
        <f t="shared" si="13"/>
        <v>58.33100389</v>
      </c>
      <c r="Q16" s="1">
        <f t="shared" si="14"/>
        <v>373.6877116</v>
      </c>
      <c r="R16" s="1">
        <f t="shared" ref="R16:T16" si="39">SUMPRODUCT($M16:$O16, INDEX($I$2:$K$4, R$10, 0))+ INDEX($L$2:$L$4, R$10,1)</f>
        <v>6.441695998</v>
      </c>
      <c r="S16" s="1">
        <f t="shared" si="39"/>
        <v>-3.136143123</v>
      </c>
      <c r="T16" s="1">
        <f t="shared" si="39"/>
        <v>-1.227386591</v>
      </c>
      <c r="U16" s="1">
        <f t="shared" ref="U16:W16" si="40">1/(1+EXP(-R16))</f>
        <v>0.9984088344</v>
      </c>
      <c r="V16" s="1">
        <f t="shared" si="40"/>
        <v>0.04164076314</v>
      </c>
      <c r="W16" s="1">
        <f t="shared" si="40"/>
        <v>0.2266391607</v>
      </c>
      <c r="X16" s="1">
        <f t="shared" si="17"/>
        <v>44.58047132</v>
      </c>
      <c r="Y16" s="1">
        <f t="shared" si="18"/>
        <v>31.14166013</v>
      </c>
      <c r="Z16" s="3">
        <f t="shared" si="19"/>
        <v>39</v>
      </c>
      <c r="AA16" s="3">
        <f t="shared" si="20"/>
        <v>0</v>
      </c>
    </row>
    <row r="17">
      <c r="B17" s="1">
        <v>44.4</v>
      </c>
      <c r="C17" s="1">
        <v>-6.9</v>
      </c>
      <c r="D17" s="1">
        <v>-3.8</v>
      </c>
      <c r="E17" s="1">
        <v>5.0</v>
      </c>
      <c r="F17" s="1">
        <v>39.0</v>
      </c>
      <c r="G17" s="1">
        <f t="shared" ref="G17:I17" si="41">SUMPRODUCT($B17:$E17, INDEX($B$2:$E$4, G$10, 0))+ INDEX($F$2:$F$4,G$10,1)</f>
        <v>35.35765699</v>
      </c>
      <c r="H17" s="1">
        <f t="shared" si="41"/>
        <v>142.1230674</v>
      </c>
      <c r="I17" s="1">
        <f t="shared" si="41"/>
        <v>292.6931119</v>
      </c>
      <c r="J17" s="1">
        <f t="shared" ref="J17:L17" si="42">(G17-G$7)/(G$6-G$7)*2-1</f>
        <v>-0.2022974466</v>
      </c>
      <c r="K17" s="1">
        <f t="shared" si="42"/>
        <v>-0.09468838328</v>
      </c>
      <c r="L17" s="1">
        <f t="shared" si="42"/>
        <v>-0.08830309649</v>
      </c>
      <c r="M17" s="1">
        <f t="shared" ref="M17:O17" si="43">1/(1+EXP(-J17))</f>
        <v>0.4495974119</v>
      </c>
      <c r="N17" s="1">
        <f t="shared" si="43"/>
        <v>0.4763455751</v>
      </c>
      <c r="O17" s="1">
        <f t="shared" si="43"/>
        <v>0.4779385592</v>
      </c>
      <c r="P17" s="1">
        <f t="shared" si="13"/>
        <v>65.57641343</v>
      </c>
      <c r="Q17" s="1">
        <f t="shared" si="14"/>
        <v>706.3057508</v>
      </c>
      <c r="R17" s="1">
        <f t="shared" ref="R17:T17" si="44">SUMPRODUCT($M17:$O17, INDEX($I$2:$K$4, R$10, 0))+ INDEX($L$2:$L$4, R$10,1)</f>
        <v>6.883031541</v>
      </c>
      <c r="S17" s="1">
        <f t="shared" si="44"/>
        <v>-3.063955077</v>
      </c>
      <c r="T17" s="1">
        <f t="shared" si="44"/>
        <v>-0.1668991757</v>
      </c>
      <c r="U17" s="1">
        <f t="shared" ref="U17:W17" si="45">1/(1+EXP(-R17))</f>
        <v>0.9989760177</v>
      </c>
      <c r="V17" s="1">
        <f t="shared" si="45"/>
        <v>0.04461880218</v>
      </c>
      <c r="W17" s="1">
        <f t="shared" si="45"/>
        <v>0.4583717919</v>
      </c>
      <c r="X17" s="1">
        <f t="shared" si="17"/>
        <v>57.69653492</v>
      </c>
      <c r="Y17" s="1">
        <f t="shared" si="18"/>
        <v>349.560418</v>
      </c>
      <c r="Z17" s="3">
        <f t="shared" si="19"/>
        <v>39</v>
      </c>
      <c r="AA17" s="3">
        <f t="shared" si="20"/>
        <v>0</v>
      </c>
    </row>
    <row r="18">
      <c r="B18" s="1">
        <v>34.1</v>
      </c>
      <c r="C18" s="1">
        <v>-4.4</v>
      </c>
      <c r="D18" s="1">
        <v>-0.6</v>
      </c>
      <c r="E18" s="1">
        <v>7.0</v>
      </c>
      <c r="F18" s="1">
        <v>39.0</v>
      </c>
      <c r="G18" s="1">
        <f t="shared" ref="G18:I18" si="46">SUMPRODUCT($B18:$E18, INDEX($B$2:$E$4, G$10, 0))+ INDEX($F$2:$F$4,G$10,1)</f>
        <v>38.1675563</v>
      </c>
      <c r="H18" s="1">
        <f t="shared" si="46"/>
        <v>130.2360196</v>
      </c>
      <c r="I18" s="1">
        <f t="shared" si="46"/>
        <v>266.9330223</v>
      </c>
      <c r="J18" s="1">
        <f t="shared" ref="J18:L18" si="47">(G18-G$7)/(G$6-G$7)*2-1</f>
        <v>-0.05071694356</v>
      </c>
      <c r="K18" s="1">
        <f t="shared" si="47"/>
        <v>-0.2827084016</v>
      </c>
      <c r="L18" s="1">
        <f t="shared" si="47"/>
        <v>-0.2763398344</v>
      </c>
      <c r="M18" s="1">
        <f t="shared" ref="M18:O18" si="48">1/(1+EXP(-J18))</f>
        <v>0.4873234812</v>
      </c>
      <c r="N18" s="1">
        <f t="shared" si="48"/>
        <v>0.4297899008</v>
      </c>
      <c r="O18" s="1">
        <f t="shared" si="48"/>
        <v>0.4313513419</v>
      </c>
      <c r="P18" s="1">
        <f t="shared" si="13"/>
        <v>62.278394</v>
      </c>
      <c r="Q18" s="1">
        <f t="shared" si="14"/>
        <v>541.8836272</v>
      </c>
      <c r="R18" s="1">
        <f t="shared" ref="R18:T18" si="49">SUMPRODUCT($M18:$O18, INDEX($I$2:$K$4, R$10, 0))+ INDEX($L$2:$L$4, R$10,1)</f>
        <v>6.767689418</v>
      </c>
      <c r="S18" s="1">
        <f t="shared" si="49"/>
        <v>-3.081813353</v>
      </c>
      <c r="T18" s="1">
        <f t="shared" si="49"/>
        <v>-0.440431664</v>
      </c>
      <c r="U18" s="1">
        <f t="shared" ref="U18:W18" si="50">1/(1+EXP(-R18))</f>
        <v>0.9988509722</v>
      </c>
      <c r="V18" s="1">
        <f t="shared" si="50"/>
        <v>0.04386370101</v>
      </c>
      <c r="W18" s="1">
        <f t="shared" si="50"/>
        <v>0.3916381172</v>
      </c>
      <c r="X18" s="1">
        <f t="shared" si="17"/>
        <v>53.92329545</v>
      </c>
      <c r="Y18" s="1">
        <f t="shared" si="18"/>
        <v>222.704747</v>
      </c>
      <c r="Z18" s="3">
        <f t="shared" si="19"/>
        <v>39</v>
      </c>
      <c r="AA18" s="3">
        <f t="shared" si="20"/>
        <v>0</v>
      </c>
    </row>
    <row r="19">
      <c r="B19" s="1">
        <v>47.4</v>
      </c>
      <c r="C19" s="1">
        <v>-5.7</v>
      </c>
      <c r="D19" s="1">
        <v>-4.6</v>
      </c>
      <c r="E19" s="1">
        <v>5.0</v>
      </c>
      <c r="F19" s="1">
        <v>39.0</v>
      </c>
      <c r="G19" s="1">
        <f t="shared" ref="G19:I19" si="51">SUMPRODUCT($B19:$E19, INDEX($B$2:$E$4, G$10, 0))+ INDEX($F$2:$F$4,G$10,1)</f>
        <v>30.63247835</v>
      </c>
      <c r="H19" s="1">
        <f t="shared" si="51"/>
        <v>134.7706888</v>
      </c>
      <c r="I19" s="1">
        <f t="shared" si="51"/>
        <v>293.4698619</v>
      </c>
      <c r="J19" s="1">
        <f t="shared" ref="J19:L19" si="52">(G19-G$7)/(G$6-G$7)*2-1</f>
        <v>-0.4571980236</v>
      </c>
      <c r="K19" s="1">
        <f t="shared" si="52"/>
        <v>-0.2109825532</v>
      </c>
      <c r="L19" s="1">
        <f t="shared" si="52"/>
        <v>-0.08263318112</v>
      </c>
      <c r="M19" s="1">
        <f t="shared" ref="M19:O19" si="53">1/(1+EXP(-J19))</f>
        <v>0.3876507407</v>
      </c>
      <c r="N19" s="1">
        <f t="shared" si="53"/>
        <v>0.447449153</v>
      </c>
      <c r="O19" s="1">
        <f t="shared" si="53"/>
        <v>0.4793534517</v>
      </c>
      <c r="P19" s="1">
        <f t="shared" si="13"/>
        <v>63.95801775</v>
      </c>
      <c r="Q19" s="1">
        <f t="shared" si="14"/>
        <v>622.90265</v>
      </c>
      <c r="R19" s="1">
        <f t="shared" ref="R19:T19" si="54">SUMPRODUCT($M19:$O19, INDEX($I$2:$K$4, R$10, 0))+ INDEX($L$2:$L$4, R$10,1)</f>
        <v>6.706521091</v>
      </c>
      <c r="S19" s="1">
        <f t="shared" si="54"/>
        <v>-3.093461322</v>
      </c>
      <c r="T19" s="1">
        <f t="shared" si="54"/>
        <v>-0.601687737</v>
      </c>
      <c r="U19" s="1">
        <f t="shared" ref="U19:W19" si="55">1/(1+EXP(-R19))</f>
        <v>0.9987785826</v>
      </c>
      <c r="V19" s="1">
        <f t="shared" si="55"/>
        <v>0.0433777762</v>
      </c>
      <c r="W19" s="1">
        <f t="shared" si="55"/>
        <v>0.3539576611</v>
      </c>
      <c r="X19" s="1">
        <f t="shared" si="17"/>
        <v>51.7908191</v>
      </c>
      <c r="Y19" s="1">
        <f t="shared" si="18"/>
        <v>163.6050532</v>
      </c>
      <c r="Z19" s="3">
        <f t="shared" si="19"/>
        <v>39</v>
      </c>
      <c r="AA19" s="3">
        <f t="shared" si="20"/>
        <v>0</v>
      </c>
    </row>
    <row r="20">
      <c r="B20" s="1">
        <v>33.1</v>
      </c>
      <c r="C20" s="1">
        <v>-4.5</v>
      </c>
      <c r="D20" s="1">
        <v>-2.4</v>
      </c>
      <c r="E20" s="1">
        <v>8.0</v>
      </c>
      <c r="F20" s="1">
        <v>39.0</v>
      </c>
      <c r="G20" s="1">
        <f t="shared" ref="G20:I20" si="56">SUMPRODUCT($B20:$E20, INDEX($B$2:$E$4, G$10, 0))+ INDEX($F$2:$F$4,G$10,1)</f>
        <v>31.50431387</v>
      </c>
      <c r="H20" s="1">
        <f t="shared" si="56"/>
        <v>110.63093</v>
      </c>
      <c r="I20" s="1">
        <f t="shared" si="56"/>
        <v>226.2425791</v>
      </c>
      <c r="J20" s="1">
        <f t="shared" ref="J20:L20" si="57">(G20-G$7)/(G$6-G$7)*2-1</f>
        <v>-0.4101667059</v>
      </c>
      <c r="K20" s="1">
        <f t="shared" si="57"/>
        <v>-0.592806365</v>
      </c>
      <c r="L20" s="1">
        <f t="shared" si="57"/>
        <v>-0.5733612476</v>
      </c>
      <c r="M20" s="1">
        <f t="shared" ref="M20:O20" si="58">1/(1+EXP(-J20))</f>
        <v>0.3988721489</v>
      </c>
      <c r="N20" s="1">
        <f t="shared" si="58"/>
        <v>0.3559912032</v>
      </c>
      <c r="O20" s="1">
        <f t="shared" si="58"/>
        <v>0.3604615968</v>
      </c>
      <c r="P20" s="1">
        <f t="shared" si="13"/>
        <v>55.20504649</v>
      </c>
      <c r="Q20" s="1">
        <f t="shared" si="14"/>
        <v>262.6035318</v>
      </c>
      <c r="R20" s="1">
        <f t="shared" ref="R20:T20" si="59">SUMPRODUCT($M20:$O20, INDEX($I$2:$K$4, R$10, 0))+ INDEX($L$2:$L$4, R$10,1)</f>
        <v>6.298811592</v>
      </c>
      <c r="S20" s="1">
        <f t="shared" si="59"/>
        <v>-3.158868875</v>
      </c>
      <c r="T20" s="1">
        <f t="shared" si="59"/>
        <v>-1.570930288</v>
      </c>
      <c r="U20" s="1">
        <f t="shared" ref="U20:W20" si="60">1/(1+EXP(-R20))</f>
        <v>0.9981648855</v>
      </c>
      <c r="V20" s="1">
        <f t="shared" si="60"/>
        <v>0.04074323861</v>
      </c>
      <c r="W20" s="1">
        <f t="shared" si="60"/>
        <v>0.1720838122</v>
      </c>
      <c r="X20" s="1">
        <f t="shared" si="17"/>
        <v>41.48464919</v>
      </c>
      <c r="Y20" s="1">
        <f t="shared" si="18"/>
        <v>6.173481586</v>
      </c>
      <c r="Z20" s="3">
        <f t="shared" si="19"/>
        <v>39</v>
      </c>
      <c r="AA20" s="3">
        <f t="shared" si="20"/>
        <v>0</v>
      </c>
    </row>
    <row r="21" ht="15.75" customHeight="1">
      <c r="B21" s="1">
        <v>34.1</v>
      </c>
      <c r="C21" s="1">
        <v>-4.0</v>
      </c>
      <c r="D21" s="1">
        <v>-2.5</v>
      </c>
      <c r="E21" s="1">
        <v>8.0</v>
      </c>
      <c r="F21" s="1">
        <v>39.0</v>
      </c>
      <c r="G21" s="1">
        <f t="shared" ref="G21:I21" si="61">SUMPRODUCT($B21:$E21, INDEX($B$2:$E$4, G$10, 0))+ INDEX($F$2:$F$4,G$10,1)</f>
        <v>30.35521362</v>
      </c>
      <c r="H21" s="1">
        <f t="shared" si="61"/>
        <v>109.2174258</v>
      </c>
      <c r="I21" s="1">
        <f t="shared" si="61"/>
        <v>229.1910492</v>
      </c>
      <c r="J21" s="1">
        <f t="shared" ref="J21:L21" si="62">(G21-G$7)/(G$6-G$7)*2-1</f>
        <v>-0.4721551173</v>
      </c>
      <c r="K21" s="1">
        <f t="shared" si="62"/>
        <v>-0.6151640684</v>
      </c>
      <c r="L21" s="1">
        <f t="shared" si="62"/>
        <v>-0.5518387798</v>
      </c>
      <c r="M21" s="1">
        <f t="shared" ref="M21:O21" si="63">1/(1+EXP(-J21))</f>
        <v>0.3841062833</v>
      </c>
      <c r="N21" s="1">
        <f t="shared" si="63"/>
        <v>0.350882106</v>
      </c>
      <c r="O21" s="1">
        <f t="shared" si="63"/>
        <v>0.3654379033</v>
      </c>
      <c r="P21" s="1">
        <f t="shared" si="13"/>
        <v>55.11365981</v>
      </c>
      <c r="Q21" s="1">
        <f t="shared" si="14"/>
        <v>259.6500325</v>
      </c>
      <c r="R21" s="1">
        <f t="shared" ref="R21:T21" si="64">SUMPRODUCT($M21:$O21, INDEX($I$2:$K$4, R$10, 0))+ INDEX($L$2:$L$4, R$10,1)</f>
        <v>6.269956257</v>
      </c>
      <c r="S21" s="1">
        <f t="shared" si="64"/>
        <v>-3.163772758</v>
      </c>
      <c r="T21" s="1">
        <f t="shared" si="64"/>
        <v>-1.643596251</v>
      </c>
      <c r="U21" s="1">
        <f t="shared" ref="U21:W21" si="65">1/(1+EXP(-R21))</f>
        <v>0.9981112627</v>
      </c>
      <c r="V21" s="1">
        <f t="shared" si="65"/>
        <v>0.04055201011</v>
      </c>
      <c r="W21" s="1">
        <f t="shared" si="65"/>
        <v>0.1619763139</v>
      </c>
      <c r="X21" s="1">
        <f t="shared" si="17"/>
        <v>40.91015218</v>
      </c>
      <c r="Y21" s="1">
        <f t="shared" si="18"/>
        <v>3.648681342</v>
      </c>
      <c r="Z21" s="3">
        <f t="shared" si="19"/>
        <v>39</v>
      </c>
      <c r="AA21" s="3">
        <f t="shared" si="20"/>
        <v>0</v>
      </c>
    </row>
    <row r="22" ht="15.75" customHeight="1">
      <c r="B22" s="1">
        <v>36.9</v>
      </c>
      <c r="C22" s="1">
        <v>-5.3</v>
      </c>
      <c r="D22" s="1">
        <v>-2.5</v>
      </c>
      <c r="E22" s="1">
        <v>7.0</v>
      </c>
      <c r="F22" s="1">
        <v>39.0</v>
      </c>
      <c r="G22" s="1">
        <f t="shared" ref="G22:I22" si="66">SUMPRODUCT($B22:$E22, INDEX($B$2:$E$4, G$10, 0))+ INDEX($F$2:$F$4,G$10,1)</f>
        <v>34.32846762</v>
      </c>
      <c r="H22" s="1">
        <f t="shared" si="66"/>
        <v>124.9588688</v>
      </c>
      <c r="I22" s="1">
        <f t="shared" si="66"/>
        <v>255.6483676</v>
      </c>
      <c r="J22" s="1">
        <f t="shared" ref="J22:L22" si="67">(G22-G$7)/(G$6-G$7)*2-1</f>
        <v>-0.2578172449</v>
      </c>
      <c r="K22" s="1">
        <f t="shared" si="67"/>
        <v>-0.3661782436</v>
      </c>
      <c r="L22" s="1">
        <f t="shared" si="67"/>
        <v>-0.3587125942</v>
      </c>
      <c r="M22" s="1">
        <f t="shared" ref="M22:O22" si="68">1/(1+EXP(-J22))</f>
        <v>0.4359003532</v>
      </c>
      <c r="N22" s="1">
        <f t="shared" si="68"/>
        <v>0.4094648144</v>
      </c>
      <c r="O22" s="1">
        <f t="shared" si="68"/>
        <v>0.4112712463</v>
      </c>
      <c r="P22" s="1">
        <f t="shared" si="13"/>
        <v>59.93633069</v>
      </c>
      <c r="Q22" s="1">
        <f t="shared" si="14"/>
        <v>438.3299428</v>
      </c>
      <c r="R22" s="1">
        <f t="shared" ref="R22:T22" si="69">SUMPRODUCT($M22:$O22, INDEX($I$2:$K$4, R$10, 0))+ INDEX($L$2:$L$4, R$10,1)</f>
        <v>6.584050769</v>
      </c>
      <c r="S22" s="1">
        <f t="shared" si="69"/>
        <v>-3.112303216</v>
      </c>
      <c r="T22" s="1">
        <f t="shared" si="69"/>
        <v>-0.8842173865</v>
      </c>
      <c r="U22" s="1">
        <f t="shared" ref="U22:W22" si="70">1/(1+EXP(-R22))</f>
        <v>0.9986196691</v>
      </c>
      <c r="V22" s="1">
        <f t="shared" si="70"/>
        <v>0.04260260247</v>
      </c>
      <c r="W22" s="1">
        <f t="shared" si="70"/>
        <v>0.2923045957</v>
      </c>
      <c r="X22" s="1">
        <f t="shared" si="17"/>
        <v>48.30169433</v>
      </c>
      <c r="Y22" s="1">
        <f t="shared" si="18"/>
        <v>86.52151734</v>
      </c>
      <c r="Z22" s="3">
        <f t="shared" si="19"/>
        <v>39</v>
      </c>
      <c r="AA22" s="3">
        <f t="shared" si="20"/>
        <v>0</v>
      </c>
    </row>
    <row r="23" ht="15.75" customHeight="1">
      <c r="B23" s="1">
        <v>38.9</v>
      </c>
      <c r="C23" s="1">
        <v>-6.5</v>
      </c>
      <c r="D23" s="1">
        <v>-2.3</v>
      </c>
      <c r="E23" s="1">
        <v>8.0</v>
      </c>
      <c r="F23" s="1">
        <v>39.0</v>
      </c>
      <c r="G23" s="1">
        <f t="shared" ref="G23:I23" si="71">SUMPRODUCT($B23:$E23, INDEX($B$2:$E$4, G$10, 0))+ INDEX($F$2:$F$4,G$10,1)</f>
        <v>40.64171323</v>
      </c>
      <c r="H23" s="1">
        <f t="shared" si="71"/>
        <v>141.6907744</v>
      </c>
      <c r="I23" s="1">
        <f t="shared" si="71"/>
        <v>280.7055513</v>
      </c>
      <c r="J23" s="1">
        <f t="shared" ref="J23:L23" si="72">(G23-G$7)/(G$6-G$7)*2-1</f>
        <v>0.08275187932</v>
      </c>
      <c r="K23" s="1">
        <f t="shared" si="72"/>
        <v>-0.1015260547</v>
      </c>
      <c r="L23" s="1">
        <f t="shared" si="72"/>
        <v>-0.1758067435</v>
      </c>
      <c r="M23" s="1">
        <f t="shared" ref="M23:O23" si="73">1/(1+EXP(-J23))</f>
        <v>0.5206761722</v>
      </c>
      <c r="N23" s="1">
        <f t="shared" si="73"/>
        <v>0.4746402656</v>
      </c>
      <c r="O23" s="1">
        <f t="shared" si="73"/>
        <v>0.4561611703</v>
      </c>
      <c r="P23" s="1">
        <f t="shared" si="13"/>
        <v>65.35013021</v>
      </c>
      <c r="Q23" s="1">
        <f t="shared" si="14"/>
        <v>694.3293622</v>
      </c>
      <c r="R23" s="1">
        <f t="shared" ref="R23:T23" si="74">SUMPRODUCT($M23:$O23, INDEX($I$2:$K$4, R$10, 0))+ INDEX($L$2:$L$4, R$10,1)</f>
        <v>6.974272359</v>
      </c>
      <c r="S23" s="1">
        <f t="shared" si="74"/>
        <v>-3.047986583</v>
      </c>
      <c r="T23" s="1">
        <f t="shared" si="74"/>
        <v>0.06179785618</v>
      </c>
      <c r="U23" s="1">
        <f t="shared" ref="U23:W23" si="75">1/(1+EXP(-R23))</f>
        <v>0.9990652277</v>
      </c>
      <c r="V23" s="1">
        <f t="shared" si="75"/>
        <v>0.04530447809</v>
      </c>
      <c r="W23" s="1">
        <f t="shared" si="75"/>
        <v>0.5154445492</v>
      </c>
      <c r="X23" s="1">
        <f t="shared" si="17"/>
        <v>60.92456146</v>
      </c>
      <c r="Y23" s="1">
        <f t="shared" si="18"/>
        <v>480.686395</v>
      </c>
      <c r="Z23" s="3">
        <f t="shared" si="19"/>
        <v>69</v>
      </c>
      <c r="AA23" s="3">
        <f t="shared" si="20"/>
        <v>1</v>
      </c>
    </row>
    <row r="24" ht="15.75" customHeight="1">
      <c r="B24" s="1">
        <v>27.299999999999997</v>
      </c>
      <c r="C24" s="1">
        <v>-4.6</v>
      </c>
      <c r="D24" s="1">
        <v>-0.6</v>
      </c>
      <c r="E24" s="1">
        <v>7.0</v>
      </c>
      <c r="F24" s="1">
        <v>39.0</v>
      </c>
      <c r="G24" s="1">
        <f t="shared" ref="G24:I24" si="76">SUMPRODUCT($B24:$E24, INDEX($B$2:$E$4, G$10, 0))+ INDEX($F$2:$F$4,G$10,1)</f>
        <v>34.68363807</v>
      </c>
      <c r="H24" s="1">
        <f t="shared" si="76"/>
        <v>111.8075116</v>
      </c>
      <c r="I24" s="1">
        <f t="shared" si="76"/>
        <v>217.9730486</v>
      </c>
      <c r="J24" s="1">
        <f t="shared" ref="J24:L24" si="77">(G24-G$7)/(G$6-G$7)*2-1</f>
        <v>-0.2386575133</v>
      </c>
      <c r="K24" s="1">
        <f t="shared" si="77"/>
        <v>-0.5741961189</v>
      </c>
      <c r="L24" s="1">
        <f t="shared" si="77"/>
        <v>-0.6337249952</v>
      </c>
      <c r="M24" s="1">
        <f t="shared" ref="M24:O24" si="78">1/(1+EXP(-J24))</f>
        <v>0.4406172119</v>
      </c>
      <c r="N24" s="1">
        <f t="shared" si="78"/>
        <v>0.3602691572</v>
      </c>
      <c r="O24" s="1">
        <f t="shared" si="78"/>
        <v>0.3466663869</v>
      </c>
      <c r="P24" s="1">
        <f t="shared" si="13"/>
        <v>55.17629145</v>
      </c>
      <c r="Q24" s="1">
        <f t="shared" si="14"/>
        <v>261.6724052</v>
      </c>
      <c r="R24" s="1">
        <f t="shared" ref="R24:T24" si="79">SUMPRODUCT($M24:$O24, INDEX($I$2:$K$4, R$10, 0))+ INDEX($L$2:$L$4, R$10,1)</f>
        <v>6.360779399</v>
      </c>
      <c r="S24" s="1">
        <f t="shared" si="79"/>
        <v>-3.1481487</v>
      </c>
      <c r="T24" s="1">
        <f t="shared" si="79"/>
        <v>-1.415009104</v>
      </c>
      <c r="U24" s="1">
        <f t="shared" ref="U24:W24" si="80">1/(1+EXP(-R24))</f>
        <v>0.9982749615</v>
      </c>
      <c r="V24" s="1">
        <f t="shared" si="80"/>
        <v>0.04116428657</v>
      </c>
      <c r="W24" s="1">
        <f t="shared" si="80"/>
        <v>0.1954451911</v>
      </c>
      <c r="X24" s="1">
        <f t="shared" si="17"/>
        <v>42.81159705</v>
      </c>
      <c r="Y24" s="1">
        <f t="shared" si="18"/>
        <v>14.52827203</v>
      </c>
      <c r="Z24" s="3">
        <f t="shared" si="19"/>
        <v>39</v>
      </c>
      <c r="AA24" s="3">
        <f t="shared" si="20"/>
        <v>0</v>
      </c>
    </row>
    <row r="25" ht="15.75" customHeight="1">
      <c r="B25" s="1">
        <v>42.6</v>
      </c>
      <c r="C25" s="1">
        <v>-4.3</v>
      </c>
      <c r="D25" s="1">
        <v>-2.5</v>
      </c>
      <c r="E25" s="1">
        <v>7.0</v>
      </c>
      <c r="F25" s="1">
        <v>39.0</v>
      </c>
      <c r="G25" s="1">
        <f t="shared" ref="G25:I25" si="81">SUMPRODUCT($B25:$E25, INDEX($B$2:$E$4, G$10, 0))+ INDEX($F$2:$F$4,G$10,1)</f>
        <v>35.04337867</v>
      </c>
      <c r="H25" s="1">
        <f t="shared" si="81"/>
        <v>134.9138266</v>
      </c>
      <c r="I25" s="1">
        <f t="shared" si="81"/>
        <v>292.5503428</v>
      </c>
      <c r="J25" s="1">
        <f t="shared" ref="J25:L25" si="82">(G25-G$7)/(G$6-G$7)*2-1</f>
        <v>-0.2192512447</v>
      </c>
      <c r="K25" s="1">
        <f t="shared" si="82"/>
        <v>-0.2087185112</v>
      </c>
      <c r="L25" s="1">
        <f t="shared" si="82"/>
        <v>-0.08934524491</v>
      </c>
      <c r="M25" s="1">
        <f t="shared" ref="M25:O25" si="83">1/(1+EXP(-J25))</f>
        <v>0.4454057145</v>
      </c>
      <c r="N25" s="1">
        <f t="shared" si="83"/>
        <v>0.4480089775</v>
      </c>
      <c r="O25" s="1">
        <f t="shared" si="83"/>
        <v>0.4776785354</v>
      </c>
      <c r="P25" s="1">
        <f t="shared" si="13"/>
        <v>64.66633055</v>
      </c>
      <c r="Q25" s="1">
        <f t="shared" si="14"/>
        <v>658.7605238</v>
      </c>
      <c r="R25" s="1">
        <f t="shared" ref="R25:T25" si="84">SUMPRODUCT($M25:$O25, INDEX($I$2:$K$4, R$10, 0))+ INDEX($L$2:$L$4, R$10,1)</f>
        <v>6.817974537</v>
      </c>
      <c r="S25" s="1">
        <f t="shared" si="84"/>
        <v>-3.074468739</v>
      </c>
      <c r="T25" s="1">
        <f t="shared" si="84"/>
        <v>-0.329883299</v>
      </c>
      <c r="U25" s="1">
        <f t="shared" ref="U25:W25" si="85">1/(1+EXP(-R25))</f>
        <v>0.998907261</v>
      </c>
      <c r="V25" s="1">
        <f t="shared" si="85"/>
        <v>0.0441727658</v>
      </c>
      <c r="W25" s="1">
        <f t="shared" si="85"/>
        <v>0.4182690186</v>
      </c>
      <c r="X25" s="1">
        <f t="shared" si="17"/>
        <v>55.42939805</v>
      </c>
      <c r="Y25" s="1">
        <f t="shared" si="18"/>
        <v>269.9251201</v>
      </c>
      <c r="Z25" s="3">
        <f t="shared" si="19"/>
        <v>39</v>
      </c>
      <c r="AA25" s="3">
        <f t="shared" si="20"/>
        <v>0</v>
      </c>
    </row>
    <row r="26" ht="15.75" customHeight="1">
      <c r="B26" s="1">
        <v>30.299999999999997</v>
      </c>
      <c r="C26" s="1">
        <v>-3.7</v>
      </c>
      <c r="D26" s="1">
        <v>-2.4</v>
      </c>
      <c r="E26" s="1">
        <v>8.0</v>
      </c>
      <c r="F26" s="1">
        <v>39.0</v>
      </c>
      <c r="G26" s="1">
        <f t="shared" ref="G26:I26" si="86">SUMPRODUCT($B26:$E26, INDEX($B$2:$E$4, G$10, 0))+ INDEX($F$2:$F$4,G$10,1)</f>
        <v>27.73184536</v>
      </c>
      <c r="H26" s="1">
        <f t="shared" si="86"/>
        <v>97.22031662</v>
      </c>
      <c r="I26" s="1">
        <f t="shared" si="86"/>
        <v>201.6960145</v>
      </c>
      <c r="J26" s="1">
        <f t="shared" ref="J26:L26" si="87">(G26-G$7)/(G$6-G$7)*2-1</f>
        <v>-0.6136731711</v>
      </c>
      <c r="K26" s="1">
        <f t="shared" si="87"/>
        <v>-0.8049249525</v>
      </c>
      <c r="L26" s="1">
        <f t="shared" si="87"/>
        <v>-0.7525398143</v>
      </c>
      <c r="M26" s="1">
        <f t="shared" ref="M26:O26" si="88">1/(1+EXP(-J26))</f>
        <v>0.351221754</v>
      </c>
      <c r="N26" s="1">
        <f t="shared" si="88"/>
        <v>0.3089730106</v>
      </c>
      <c r="O26" s="1">
        <f t="shared" si="88"/>
        <v>0.32026814</v>
      </c>
      <c r="P26" s="1">
        <f t="shared" si="13"/>
        <v>51.07486439</v>
      </c>
      <c r="Q26" s="1">
        <f t="shared" si="14"/>
        <v>145.80235</v>
      </c>
      <c r="R26" s="1">
        <f t="shared" ref="R26:T26" si="89">SUMPRODUCT($M26:$O26, INDEX($I$2:$K$4, R$10, 0))+ INDEX($L$2:$L$4, R$10,1)</f>
        <v>6.027618969</v>
      </c>
      <c r="S26" s="1">
        <f t="shared" si="89"/>
        <v>-3.203366666</v>
      </c>
      <c r="T26" s="1">
        <f t="shared" si="89"/>
        <v>-2.225786067</v>
      </c>
      <c r="U26" s="1">
        <f t="shared" ref="U26:W26" si="90">1/(1+EXP(-R26))</f>
        <v>0.9975945717</v>
      </c>
      <c r="V26" s="1">
        <f t="shared" si="90"/>
        <v>0.03903922558</v>
      </c>
      <c r="W26" s="1">
        <f t="shared" si="90"/>
        <v>0.09745867236</v>
      </c>
      <c r="X26" s="1">
        <f t="shared" si="17"/>
        <v>37.23102005</v>
      </c>
      <c r="Y26" s="1">
        <f t="shared" si="18"/>
        <v>3.129290072</v>
      </c>
      <c r="Z26" s="3">
        <f t="shared" si="19"/>
        <v>39</v>
      </c>
      <c r="AA26" s="3">
        <f t="shared" si="20"/>
        <v>0</v>
      </c>
    </row>
    <row r="27" ht="15.75" customHeight="1">
      <c r="B27" s="1">
        <v>44.6</v>
      </c>
      <c r="C27" s="1">
        <v>-4.5</v>
      </c>
      <c r="D27" s="1">
        <v>-2.4</v>
      </c>
      <c r="E27" s="1">
        <v>7.0</v>
      </c>
      <c r="F27" s="1">
        <v>39.0</v>
      </c>
      <c r="G27" s="1">
        <f t="shared" ref="G27:I27" si="91">SUMPRODUCT($B27:$E27, INDEX($B$2:$E$4, G$10, 0))+ INDEX($F$2:$F$4,G$10,1)</f>
        <v>37.16840232</v>
      </c>
      <c r="H27" s="1">
        <f t="shared" si="91"/>
        <v>143.060178</v>
      </c>
      <c r="I27" s="1">
        <f t="shared" si="91"/>
        <v>310.1490831</v>
      </c>
      <c r="J27" s="1">
        <f t="shared" ref="J27:L27" si="92">(G27-G$7)/(G$6-G$7)*2-1</f>
        <v>-0.1046164773</v>
      </c>
      <c r="K27" s="1">
        <f t="shared" si="92"/>
        <v>-0.07986590139</v>
      </c>
      <c r="L27" s="1">
        <f t="shared" si="92"/>
        <v>0.03911741815</v>
      </c>
      <c r="M27" s="1">
        <f t="shared" ref="M27:O27" si="93">1/(1+EXP(-J27))</f>
        <v>0.4738697085</v>
      </c>
      <c r="N27" s="1">
        <f t="shared" si="93"/>
        <v>0.480044131</v>
      </c>
      <c r="O27" s="1">
        <f t="shared" si="93"/>
        <v>0.5097781077</v>
      </c>
      <c r="P27" s="1">
        <f t="shared" si="13"/>
        <v>67.67196806</v>
      </c>
      <c r="Q27" s="1">
        <f t="shared" si="14"/>
        <v>822.0817527</v>
      </c>
      <c r="R27" s="1">
        <f t="shared" ref="R27:T27" si="94">SUMPRODUCT($M27:$O27, INDEX($I$2:$K$4, R$10, 0))+ INDEX($L$2:$L$4, R$10,1)</f>
        <v>7.004704153</v>
      </c>
      <c r="S27" s="1">
        <f t="shared" si="94"/>
        <v>-3.043905062</v>
      </c>
      <c r="T27" s="1">
        <f t="shared" si="94"/>
        <v>0.1195399864</v>
      </c>
      <c r="U27" s="1">
        <f t="shared" ref="U27:W27" si="95">1/(1+EXP(-R27))</f>
        <v>0.9990932206</v>
      </c>
      <c r="V27" s="1">
        <f t="shared" si="95"/>
        <v>0.04548133993</v>
      </c>
      <c r="W27" s="1">
        <f t="shared" si="95"/>
        <v>0.5298494598</v>
      </c>
      <c r="X27" s="1">
        <f t="shared" si="17"/>
        <v>61.73950472</v>
      </c>
      <c r="Y27" s="1">
        <f t="shared" si="18"/>
        <v>517.0850748</v>
      </c>
      <c r="Z27" s="3">
        <f t="shared" si="19"/>
        <v>69</v>
      </c>
      <c r="AA27" s="3">
        <f t="shared" si="20"/>
        <v>1</v>
      </c>
    </row>
    <row r="28" ht="15.75" customHeight="1">
      <c r="B28" s="1">
        <v>47.4</v>
      </c>
      <c r="C28" s="1">
        <v>-5.5</v>
      </c>
      <c r="D28" s="1">
        <v>-3.7</v>
      </c>
      <c r="E28" s="1">
        <v>5.0</v>
      </c>
      <c r="F28" s="1">
        <v>39.0</v>
      </c>
      <c r="G28" s="1">
        <f t="shared" ref="G28:I28" si="96">SUMPRODUCT($B28:$E28, INDEX($B$2:$E$4, G$10, 0))+ INDEX($F$2:$F$4,G$10,1)</f>
        <v>33.83353472</v>
      </c>
      <c r="H28" s="1">
        <f t="shared" si="96"/>
        <v>142.6156139</v>
      </c>
      <c r="I28" s="1">
        <f t="shared" si="96"/>
        <v>309.6837441</v>
      </c>
      <c r="J28" s="1">
        <f t="shared" ref="J28:L28" si="97">(G28-G$7)/(G$6-G$7)*2-1</f>
        <v>-0.2845164857</v>
      </c>
      <c r="K28" s="1">
        <f t="shared" si="97"/>
        <v>-0.08689766796</v>
      </c>
      <c r="L28" s="1">
        <f t="shared" si="97"/>
        <v>0.03572065925</v>
      </c>
      <c r="M28" s="1">
        <f t="shared" ref="M28:O28" si="98">1/(1+EXP(-J28))</f>
        <v>0.429346849</v>
      </c>
      <c r="N28" s="1">
        <f t="shared" si="98"/>
        <v>0.4782892432</v>
      </c>
      <c r="O28" s="1">
        <f t="shared" si="98"/>
        <v>0.5089292154</v>
      </c>
      <c r="P28" s="1">
        <f t="shared" si="13"/>
        <v>66.97522906</v>
      </c>
      <c r="Q28" s="1">
        <f t="shared" si="14"/>
        <v>782.6134412</v>
      </c>
      <c r="R28" s="1">
        <f t="shared" ref="R28:T28" si="99">SUMPRODUCT($M28:$O28, INDEX($I$2:$K$4, R$10, 0))+ INDEX($L$2:$L$4, R$10,1)</f>
        <v>6.911689657</v>
      </c>
      <c r="S28" s="1">
        <f t="shared" si="99"/>
        <v>-3.059688627</v>
      </c>
      <c r="T28" s="1">
        <f t="shared" si="99"/>
        <v>-0.106792909</v>
      </c>
      <c r="U28" s="1">
        <f t="shared" ref="U28:W28" si="100">1/(1+EXP(-R28))</f>
        <v>0.9990049178</v>
      </c>
      <c r="V28" s="1">
        <f t="shared" si="100"/>
        <v>0.04480102605</v>
      </c>
      <c r="W28" s="1">
        <f t="shared" si="100"/>
        <v>0.4733271177</v>
      </c>
      <c r="X28" s="1">
        <f t="shared" si="17"/>
        <v>58.54256973</v>
      </c>
      <c r="Y28" s="1">
        <f t="shared" si="18"/>
        <v>381.9120316</v>
      </c>
      <c r="Z28" s="3">
        <f t="shared" si="19"/>
        <v>39</v>
      </c>
      <c r="AA28" s="3">
        <f t="shared" si="20"/>
        <v>0</v>
      </c>
    </row>
    <row r="29" ht="15.75" customHeight="1">
      <c r="B29" s="1">
        <v>49.4</v>
      </c>
      <c r="C29" s="1">
        <v>-5.9</v>
      </c>
      <c r="D29" s="1">
        <v>-2.7</v>
      </c>
      <c r="E29" s="1">
        <v>7.0</v>
      </c>
      <c r="F29" s="1">
        <v>39.0</v>
      </c>
      <c r="G29" s="1">
        <f t="shared" ref="G29:I29" si="101">SUMPRODUCT($B29:$E29, INDEX($B$2:$E$4, G$10, 0))+ INDEX($F$2:$F$4,G$10,1)</f>
        <v>42.46753391</v>
      </c>
      <c r="H29" s="1">
        <f t="shared" si="101"/>
        <v>163.183446</v>
      </c>
      <c r="I29" s="1">
        <f t="shared" si="101"/>
        <v>346.634892</v>
      </c>
      <c r="J29" s="1">
        <f t="shared" ref="J29:L29" si="102">(G29-G$7)/(G$6-G$7)*2-1</f>
        <v>0.1812460908</v>
      </c>
      <c r="K29" s="1">
        <f t="shared" si="102"/>
        <v>0.2384282025</v>
      </c>
      <c r="L29" s="1">
        <f t="shared" si="102"/>
        <v>0.3054469458</v>
      </c>
      <c r="M29" s="1">
        <f t="shared" ref="M29:O29" si="103">1/(1+EXP(-J29))</f>
        <v>0.545187888</v>
      </c>
      <c r="N29" s="1">
        <f t="shared" si="103"/>
        <v>0.5593262682</v>
      </c>
      <c r="O29" s="1">
        <f t="shared" si="103"/>
        <v>0.575773525</v>
      </c>
      <c r="P29" s="1">
        <f t="shared" si="13"/>
        <v>74.4218343</v>
      </c>
      <c r="Q29" s="1">
        <f t="shared" si="14"/>
        <v>1254.706345</v>
      </c>
      <c r="R29" s="1">
        <f t="shared" ref="R29:T29" si="104">SUMPRODUCT($M29:$O29, INDEX($I$2:$K$4, R$10, 0))+ INDEX($L$2:$L$4, R$10,1)</f>
        <v>7.440476086</v>
      </c>
      <c r="S29" s="1">
        <f t="shared" si="104"/>
        <v>-2.97250209</v>
      </c>
      <c r="T29" s="1">
        <f t="shared" si="104"/>
        <v>1.171986352</v>
      </c>
      <c r="U29" s="1">
        <f t="shared" ref="U29:W29" si="105">1/(1+EXP(-R29))</f>
        <v>0.9994133387</v>
      </c>
      <c r="V29" s="1">
        <f t="shared" si="105"/>
        <v>0.04868371122</v>
      </c>
      <c r="W29" s="1">
        <f t="shared" si="105"/>
        <v>0.7635038705</v>
      </c>
      <c r="X29" s="1">
        <f t="shared" si="17"/>
        <v>74.96711127</v>
      </c>
      <c r="Y29" s="1">
        <f t="shared" si="18"/>
        <v>1293.633093</v>
      </c>
      <c r="Z29" s="3">
        <f t="shared" si="19"/>
        <v>84</v>
      </c>
      <c r="AA29" s="3">
        <f t="shared" si="20"/>
        <v>1</v>
      </c>
    </row>
    <row r="30" ht="15.75" customHeight="1">
      <c r="B30" s="1">
        <v>32.1</v>
      </c>
      <c r="C30" s="1">
        <v>-4.9</v>
      </c>
      <c r="D30" s="1">
        <v>-2.5</v>
      </c>
      <c r="E30" s="1">
        <v>7.0</v>
      </c>
      <c r="F30" s="1">
        <v>39.0</v>
      </c>
      <c r="G30" s="1">
        <f t="shared" ref="G30:I30" si="106">SUMPRODUCT($B30:$E30, INDEX($B$2:$E$4, G$10, 0))+ INDEX($F$2:$F$4,G$10,1)</f>
        <v>30.43531067</v>
      </c>
      <c r="H30" s="1">
        <f t="shared" si="106"/>
        <v>108.3794356</v>
      </c>
      <c r="I30" s="1">
        <f t="shared" si="106"/>
        <v>218.3979532</v>
      </c>
      <c r="J30" s="1">
        <f t="shared" ref="J30:L30" si="107">(G30-G$7)/(G$6-G$7)*2-1</f>
        <v>-0.4678342685</v>
      </c>
      <c r="K30" s="1">
        <f t="shared" si="107"/>
        <v>-0.6284187425</v>
      </c>
      <c r="L30" s="1">
        <f t="shared" si="107"/>
        <v>-0.630623388</v>
      </c>
      <c r="M30" s="1">
        <f t="shared" ref="M30:O30" si="108">1/(1+EXP(-J30))</f>
        <v>0.3851289711</v>
      </c>
      <c r="N30" s="1">
        <f t="shared" si="108"/>
        <v>0.3478691696</v>
      </c>
      <c r="O30" s="1">
        <f t="shared" si="108"/>
        <v>0.3473691999</v>
      </c>
      <c r="P30" s="1">
        <f t="shared" si="13"/>
        <v>54.09692666</v>
      </c>
      <c r="Q30" s="1">
        <f t="shared" si="14"/>
        <v>227.9171946</v>
      </c>
      <c r="R30" s="1">
        <f t="shared" ref="R30:T30" si="109">SUMPRODUCT($M30:$O30, INDEX($I$2:$K$4, R$10, 0))+ INDEX($L$2:$L$4, R$10,1)</f>
        <v>6.228259636</v>
      </c>
      <c r="S30" s="1">
        <f t="shared" si="109"/>
        <v>-3.170477019</v>
      </c>
      <c r="T30" s="1">
        <f t="shared" si="109"/>
        <v>-1.739754406</v>
      </c>
      <c r="U30" s="1">
        <f t="shared" ref="U30:W30" si="110">1/(1+EXP(-R30))</f>
        <v>0.9980310022</v>
      </c>
      <c r="V30" s="1">
        <f t="shared" si="110"/>
        <v>0.04029196576</v>
      </c>
      <c r="W30" s="1">
        <f t="shared" si="110"/>
        <v>0.1493441322</v>
      </c>
      <c r="X30" s="1">
        <f t="shared" si="17"/>
        <v>40.19127844</v>
      </c>
      <c r="Y30" s="1">
        <f t="shared" si="18"/>
        <v>1.419144317</v>
      </c>
      <c r="Z30" s="3">
        <f t="shared" si="19"/>
        <v>39</v>
      </c>
      <c r="AA30" s="3">
        <f t="shared" si="20"/>
        <v>0</v>
      </c>
    </row>
    <row r="31" ht="15.75" customHeight="1">
      <c r="B31" s="1">
        <v>35.1</v>
      </c>
      <c r="C31" s="1">
        <v>-5.5</v>
      </c>
      <c r="D31" s="1">
        <v>-4.1</v>
      </c>
      <c r="E31" s="1">
        <v>5.0</v>
      </c>
      <c r="F31" s="1">
        <v>39.0</v>
      </c>
      <c r="G31" s="1">
        <f t="shared" ref="G31:I31" si="111">SUMPRODUCT($B31:$E31, INDEX($B$2:$E$4, G$10, 0))+ INDEX($F$2:$F$4,G$10,1)</f>
        <v>24.91498184</v>
      </c>
      <c r="H31" s="1">
        <f t="shared" si="111"/>
        <v>102.8213225</v>
      </c>
      <c r="I31" s="1">
        <f t="shared" si="111"/>
        <v>211.6772189</v>
      </c>
      <c r="J31" s="1">
        <f t="shared" ref="J31:L31" si="112">(G31-G$7)/(G$6-G$7)*2-1</f>
        <v>-0.7656293598</v>
      </c>
      <c r="K31" s="1">
        <f t="shared" si="112"/>
        <v>-0.7163326245</v>
      </c>
      <c r="L31" s="1">
        <f t="shared" si="112"/>
        <v>-0.6796816393</v>
      </c>
      <c r="M31" s="1">
        <f t="shared" ref="M31:O31" si="113">1/(1+EXP(-J31))</f>
        <v>0.317425321</v>
      </c>
      <c r="N31" s="1">
        <f t="shared" si="113"/>
        <v>0.3282010747</v>
      </c>
      <c r="O31" s="1">
        <f t="shared" si="113"/>
        <v>0.3363323611</v>
      </c>
      <c r="P31" s="1">
        <f t="shared" si="13"/>
        <v>52.02582673</v>
      </c>
      <c r="Q31" s="1">
        <f t="shared" si="14"/>
        <v>169.672162</v>
      </c>
      <c r="R31" s="1">
        <f t="shared" ref="R31:T31" si="114">SUMPRODUCT($M31:$O31, INDEX($I$2:$K$4, R$10, 0))+ INDEX($L$2:$L$4, R$10,1)</f>
        <v>6.03271925</v>
      </c>
      <c r="S31" s="1">
        <f t="shared" si="114"/>
        <v>-3.203173239</v>
      </c>
      <c r="T31" s="1">
        <f t="shared" si="114"/>
        <v>-2.215289871</v>
      </c>
      <c r="U31" s="1">
        <f t="shared" ref="U31:W31" si="115">1/(1+EXP(-R31))</f>
        <v>0.9976067795</v>
      </c>
      <c r="V31" s="1">
        <f t="shared" si="115"/>
        <v>0.03904648268</v>
      </c>
      <c r="W31" s="1">
        <f t="shared" si="115"/>
        <v>0.0983858316</v>
      </c>
      <c r="X31" s="1">
        <f t="shared" si="17"/>
        <v>37.28349235</v>
      </c>
      <c r="Y31" s="1">
        <f t="shared" si="18"/>
        <v>2.946398509</v>
      </c>
      <c r="Z31" s="3">
        <f t="shared" si="19"/>
        <v>39</v>
      </c>
      <c r="AA31" s="3">
        <f t="shared" si="20"/>
        <v>0</v>
      </c>
    </row>
    <row r="32" ht="15.75" customHeight="1">
      <c r="B32" s="1">
        <v>39.6</v>
      </c>
      <c r="C32" s="1">
        <v>-5.9</v>
      </c>
      <c r="D32" s="1">
        <v>-2.4</v>
      </c>
      <c r="E32" s="1">
        <v>7.0</v>
      </c>
      <c r="F32" s="1">
        <v>39.0</v>
      </c>
      <c r="G32" s="1">
        <f t="shared" ref="G32:I32" si="116">SUMPRODUCT($B32:$E32, INDEX($B$2:$E$4, G$10, 0))+ INDEX($F$2:$F$4,G$10,1)</f>
        <v>37.92653556</v>
      </c>
      <c r="H32" s="1">
        <f t="shared" si="116"/>
        <v>137.7776184</v>
      </c>
      <c r="I32" s="1">
        <f t="shared" si="116"/>
        <v>280.3780394</v>
      </c>
      <c r="J32" s="1">
        <f t="shared" ref="J32:L32" si="117">(G32-G$7)/(G$6-G$7)*2-1</f>
        <v>-0.06371884893</v>
      </c>
      <c r="K32" s="1">
        <f t="shared" si="117"/>
        <v>-0.163421294</v>
      </c>
      <c r="L32" s="1">
        <f t="shared" si="117"/>
        <v>-0.1781974293</v>
      </c>
      <c r="M32" s="1">
        <f t="shared" ref="M32:O32" si="118">1/(1+EXP(-J32))</f>
        <v>0.4840756753</v>
      </c>
      <c r="N32" s="1">
        <f t="shared" si="118"/>
        <v>0.4592353596</v>
      </c>
      <c r="O32" s="1">
        <f t="shared" si="118"/>
        <v>0.4555681558</v>
      </c>
      <c r="P32" s="1">
        <f t="shared" si="13"/>
        <v>64.36893457</v>
      </c>
      <c r="Q32" s="1">
        <f t="shared" si="14"/>
        <v>643.5828411</v>
      </c>
      <c r="R32" s="1">
        <f t="shared" ref="R32:T32" si="119">SUMPRODUCT($M32:$O32, INDEX($I$2:$K$4, R$10, 0))+ INDEX($L$2:$L$4, R$10,1)</f>
        <v>6.870310739</v>
      </c>
      <c r="S32" s="1">
        <f t="shared" si="119"/>
        <v>-3.065370527</v>
      </c>
      <c r="T32" s="1">
        <f t="shared" si="119"/>
        <v>-0.1935548716</v>
      </c>
      <c r="U32" s="1">
        <f t="shared" ref="U32:W32" si="120">1/(1+EXP(-R32))</f>
        <v>0.9989629222</v>
      </c>
      <c r="V32" s="1">
        <f t="shared" si="120"/>
        <v>0.04455850329</v>
      </c>
      <c r="W32" s="1">
        <f t="shared" si="120"/>
        <v>0.4517617858</v>
      </c>
      <c r="X32" s="1">
        <f t="shared" si="17"/>
        <v>57.32325294</v>
      </c>
      <c r="Y32" s="1">
        <f t="shared" si="18"/>
        <v>335.7415982</v>
      </c>
      <c r="Z32" s="3">
        <f t="shared" si="19"/>
        <v>39</v>
      </c>
      <c r="AA32" s="3">
        <f t="shared" si="20"/>
        <v>0</v>
      </c>
    </row>
    <row r="33" ht="15.75" customHeight="1">
      <c r="B33" s="1">
        <v>28.299999999999997</v>
      </c>
      <c r="C33" s="1">
        <v>-5.1</v>
      </c>
      <c r="D33" s="1">
        <v>-0.4</v>
      </c>
      <c r="E33" s="1">
        <v>8.0</v>
      </c>
      <c r="F33" s="1">
        <v>39.0</v>
      </c>
      <c r="G33" s="1">
        <f t="shared" ref="G33:I33" si="121">SUMPRODUCT($B33:$E33, INDEX($B$2:$E$4, G$10, 0))+ INDEX($F$2:$F$4,G$10,1)</f>
        <v>38.55186724</v>
      </c>
      <c r="H33" s="1">
        <f t="shared" si="121"/>
        <v>121.016155</v>
      </c>
      <c r="I33" s="1">
        <f t="shared" si="121"/>
        <v>232.2040006</v>
      </c>
      <c r="J33" s="1">
        <f t="shared" ref="J33:L33" si="122">(G33-G$7)/(G$6-G$7)*2-1</f>
        <v>-0.02998522347</v>
      </c>
      <c r="K33" s="1">
        <f t="shared" si="122"/>
        <v>-0.4285410037</v>
      </c>
      <c r="L33" s="1">
        <f t="shared" si="122"/>
        <v>-0.5298456286</v>
      </c>
      <c r="M33" s="1">
        <f t="shared" ref="M33:O33" si="123">1/(1+EXP(-J33))</f>
        <v>0.4925042558</v>
      </c>
      <c r="N33" s="1">
        <f t="shared" si="123"/>
        <v>0.3944747802</v>
      </c>
      <c r="O33" s="1">
        <f t="shared" si="123"/>
        <v>0.3705528934</v>
      </c>
      <c r="P33" s="1">
        <f t="shared" si="13"/>
        <v>58.13436159</v>
      </c>
      <c r="Q33" s="1">
        <f t="shared" si="14"/>
        <v>366.1237933</v>
      </c>
      <c r="R33" s="1">
        <f t="shared" ref="R33:T33" si="124">SUMPRODUCT($M33:$O33, INDEX($I$2:$K$4, R$10, 0))+ INDEX($L$2:$L$4, R$10,1)</f>
        <v>6.580835747</v>
      </c>
      <c r="S33" s="1">
        <f t="shared" si="124"/>
        <v>-3.111802381</v>
      </c>
      <c r="T33" s="1">
        <f t="shared" si="124"/>
        <v>-0.8814974065</v>
      </c>
      <c r="U33" s="1">
        <f t="shared" ref="U33:W33" si="125">1/(1+EXP(-R33))</f>
        <v>0.9986152304</v>
      </c>
      <c r="V33" s="1">
        <f t="shared" si="125"/>
        <v>0.04262303505</v>
      </c>
      <c r="W33" s="1">
        <f t="shared" si="125"/>
        <v>0.2928675756</v>
      </c>
      <c r="X33" s="1">
        <f t="shared" si="17"/>
        <v>48.33390128</v>
      </c>
      <c r="Y33" s="1">
        <f t="shared" si="18"/>
        <v>87.12171303</v>
      </c>
      <c r="Z33" s="3">
        <f t="shared" si="19"/>
        <v>39</v>
      </c>
      <c r="AA33" s="3">
        <f t="shared" si="20"/>
        <v>0</v>
      </c>
    </row>
    <row r="34" ht="15.75" customHeight="1">
      <c r="B34" s="1">
        <v>47.4</v>
      </c>
      <c r="C34" s="1">
        <v>-5.2</v>
      </c>
      <c r="D34" s="1">
        <v>-3.9</v>
      </c>
      <c r="E34" s="1">
        <v>5.0</v>
      </c>
      <c r="F34" s="1">
        <v>39.0</v>
      </c>
      <c r="G34" s="1">
        <f t="shared" ref="G34:I34" si="126">SUMPRODUCT($B34:$E34, INDEX($B$2:$E$4, G$10, 0))+ INDEX($F$2:$F$4,G$10,1)</f>
        <v>32.20953652</v>
      </c>
      <c r="H34" s="1">
        <f t="shared" si="126"/>
        <v>138.5994031</v>
      </c>
      <c r="I34" s="1">
        <f t="shared" si="126"/>
        <v>304.3682701</v>
      </c>
      <c r="J34" s="1">
        <f t="shared" ref="J34:L34" si="127">(G34-G$7)/(G$6-G$7)*2-1</f>
        <v>-0.3721233485</v>
      </c>
      <c r="K34" s="1">
        <f t="shared" si="127"/>
        <v>-0.1504229469</v>
      </c>
      <c r="L34" s="1">
        <f t="shared" si="127"/>
        <v>-0.003079842155</v>
      </c>
      <c r="M34" s="1">
        <f t="shared" ref="M34:O34" si="128">1/(1+EXP(-J34))</f>
        <v>0.4080280455</v>
      </c>
      <c r="N34" s="1">
        <f t="shared" si="128"/>
        <v>0.4624650122</v>
      </c>
      <c r="O34" s="1">
        <f t="shared" si="128"/>
        <v>0.4992300401</v>
      </c>
      <c r="P34" s="1">
        <f t="shared" si="13"/>
        <v>65.71336704</v>
      </c>
      <c r="Q34" s="1">
        <f t="shared" si="14"/>
        <v>713.6039785</v>
      </c>
      <c r="R34" s="1">
        <f t="shared" ref="R34:T34" si="129">SUMPRODUCT($M34:$O34, INDEX($I$2:$K$4, R$10, 0))+ INDEX($L$2:$L$4, R$10,1)</f>
        <v>6.818001444</v>
      </c>
      <c r="S34" s="1">
        <f t="shared" si="129"/>
        <v>-3.075146902</v>
      </c>
      <c r="T34" s="1">
        <f t="shared" si="129"/>
        <v>-0.3342974231</v>
      </c>
      <c r="U34" s="1">
        <f t="shared" ref="U34:W34" si="130">1/(1+EXP(-R34))</f>
        <v>0.9989072904</v>
      </c>
      <c r="V34" s="1">
        <f t="shared" si="130"/>
        <v>0.04414414154</v>
      </c>
      <c r="W34" s="1">
        <f t="shared" si="130"/>
        <v>0.4171953628</v>
      </c>
      <c r="X34" s="1">
        <f t="shared" si="17"/>
        <v>55.3681876</v>
      </c>
      <c r="Y34" s="1">
        <f t="shared" si="18"/>
        <v>267.9175654</v>
      </c>
      <c r="Z34" s="3">
        <f t="shared" si="19"/>
        <v>39</v>
      </c>
      <c r="AA34" s="3">
        <f t="shared" si="20"/>
        <v>0</v>
      </c>
    </row>
    <row r="35" ht="15.75" customHeight="1">
      <c r="B35" s="1">
        <v>38.9</v>
      </c>
      <c r="C35" s="1">
        <v>-5.7</v>
      </c>
      <c r="D35" s="1">
        <v>-3.8</v>
      </c>
      <c r="E35" s="1">
        <v>5.0</v>
      </c>
      <c r="F35" s="1">
        <v>39.0</v>
      </c>
      <c r="G35" s="1">
        <f t="shared" ref="G35:I35" si="131">SUMPRODUCT($B35:$E35, INDEX($B$2:$E$4, G$10, 0))+ INDEX($F$2:$F$4,G$10,1)</f>
        <v>28.93160142</v>
      </c>
      <c r="H35" s="1">
        <f t="shared" si="131"/>
        <v>118.2317459</v>
      </c>
      <c r="I35" s="1">
        <f t="shared" si="131"/>
        <v>246.3231851</v>
      </c>
      <c r="J35" s="1">
        <f t="shared" ref="J35:L35" si="132">(G35-G$7)/(G$6-G$7)*2-1</f>
        <v>-0.5489521232</v>
      </c>
      <c r="K35" s="1">
        <f t="shared" si="132"/>
        <v>-0.4725826077</v>
      </c>
      <c r="L35" s="1">
        <f t="shared" si="132"/>
        <v>-0.4267821124</v>
      </c>
      <c r="M35" s="1">
        <f t="shared" ref="M35:O35" si="133">1/(1+EXP(-J35))</f>
        <v>0.3661075586</v>
      </c>
      <c r="N35" s="1">
        <f t="shared" si="133"/>
        <v>0.3840051574</v>
      </c>
      <c r="O35" s="1">
        <f t="shared" si="133"/>
        <v>0.3948949946</v>
      </c>
      <c r="P35" s="1">
        <f t="shared" si="13"/>
        <v>57.38723613</v>
      </c>
      <c r="Q35" s="1">
        <f t="shared" si="14"/>
        <v>338.0904526</v>
      </c>
      <c r="R35" s="1">
        <f t="shared" ref="R35:T35" si="134">SUMPRODUCT($M35:$O35, INDEX($I$2:$K$4, R$10, 0))+ INDEX($L$2:$L$4, R$10,1)</f>
        <v>6.361745659</v>
      </c>
      <c r="S35" s="1">
        <f t="shared" si="134"/>
        <v>-3.149343035</v>
      </c>
      <c r="T35" s="1">
        <f t="shared" si="134"/>
        <v>-1.424135899</v>
      </c>
      <c r="U35" s="1">
        <f t="shared" ref="U35:W35" si="135">1/(1+EXP(-R35))</f>
        <v>0.9982766247</v>
      </c>
      <c r="V35" s="1">
        <f t="shared" si="135"/>
        <v>0.04111717227</v>
      </c>
      <c r="W35" s="1">
        <f t="shared" si="135"/>
        <v>0.1940140238</v>
      </c>
      <c r="X35" s="1">
        <f t="shared" si="17"/>
        <v>42.72973791</v>
      </c>
      <c r="Y35" s="1">
        <f t="shared" si="18"/>
        <v>13.91094487</v>
      </c>
      <c r="Z35" s="3">
        <f t="shared" si="19"/>
        <v>39</v>
      </c>
      <c r="AA35" s="3">
        <f t="shared" si="20"/>
        <v>0</v>
      </c>
    </row>
    <row r="36" ht="15.75" customHeight="1">
      <c r="B36" s="1">
        <v>40.6</v>
      </c>
      <c r="C36" s="1">
        <v>-5.1</v>
      </c>
      <c r="D36" s="1">
        <v>-3.6</v>
      </c>
      <c r="E36" s="1">
        <v>6.0</v>
      </c>
      <c r="F36" s="1">
        <v>39.0</v>
      </c>
      <c r="G36" s="1">
        <f t="shared" ref="G36:I36" si="136">SUMPRODUCT($B36:$E36, INDEX($B$2:$E$4, G$10, 0))+ INDEX($F$2:$F$4,G$10,1)</f>
        <v>30.29842116</v>
      </c>
      <c r="H36" s="1">
        <f t="shared" si="136"/>
        <v>122.2147005</v>
      </c>
      <c r="I36" s="1">
        <f t="shared" si="136"/>
        <v>260.2278905</v>
      </c>
      <c r="J36" s="1">
        <f t="shared" ref="J36:L36" si="137">(G36-G$7)/(G$6-G$7)*2-1</f>
        <v>-0.4752187966</v>
      </c>
      <c r="K36" s="1">
        <f t="shared" si="137"/>
        <v>-0.4095833493</v>
      </c>
      <c r="L36" s="1">
        <f t="shared" si="137"/>
        <v>-0.3252841949</v>
      </c>
      <c r="M36" s="1">
        <f t="shared" ref="M36:O36" si="138">1/(1+EXP(-J36))</f>
        <v>0.3833817706</v>
      </c>
      <c r="N36" s="1">
        <f t="shared" si="138"/>
        <v>0.3990120304</v>
      </c>
      <c r="O36" s="1">
        <f t="shared" si="138"/>
        <v>0.4193884916</v>
      </c>
      <c r="P36" s="1">
        <f t="shared" si="13"/>
        <v>59.34096446</v>
      </c>
      <c r="Q36" s="1">
        <f t="shared" si="14"/>
        <v>413.7548351</v>
      </c>
      <c r="R36" s="1">
        <f t="shared" ref="R36:T36" si="139">SUMPRODUCT($M36:$O36, INDEX($I$2:$K$4, R$10, 0))+ INDEX($L$2:$L$4, R$10,1)</f>
        <v>6.476732829</v>
      </c>
      <c r="S36" s="1">
        <f t="shared" si="139"/>
        <v>-3.130516967</v>
      </c>
      <c r="T36" s="1">
        <f t="shared" si="139"/>
        <v>-1.149696912</v>
      </c>
      <c r="U36" s="1">
        <f t="shared" ref="U36:W36" si="140">1/(1+EXP(-R36))</f>
        <v>0.9984635343</v>
      </c>
      <c r="V36" s="1">
        <f t="shared" si="140"/>
        <v>0.041865865</v>
      </c>
      <c r="W36" s="1">
        <f t="shared" si="140"/>
        <v>0.2405444477</v>
      </c>
      <c r="X36" s="1">
        <f t="shared" si="17"/>
        <v>45.36931826</v>
      </c>
      <c r="Y36" s="1">
        <f t="shared" si="18"/>
        <v>40.56821513</v>
      </c>
      <c r="Z36" s="3">
        <f t="shared" si="19"/>
        <v>39</v>
      </c>
      <c r="AA36" s="3">
        <f t="shared" si="20"/>
        <v>0</v>
      </c>
    </row>
    <row r="37" ht="15.75" customHeight="1">
      <c r="B37" s="1">
        <v>43.6</v>
      </c>
      <c r="C37" s="1">
        <v>-3.9</v>
      </c>
      <c r="D37" s="1">
        <v>-2.4</v>
      </c>
      <c r="E37" s="1">
        <v>7.0</v>
      </c>
      <c r="F37" s="1">
        <v>39.0</v>
      </c>
      <c r="G37" s="1">
        <f t="shared" ref="G37:I37" si="141">SUMPRODUCT($B37:$E37, INDEX($B$2:$E$4, G$10, 0))+ INDEX($F$2:$F$4,G$10,1)</f>
        <v>34.98834945</v>
      </c>
      <c r="H37" s="1">
        <f t="shared" si="141"/>
        <v>136.1967882</v>
      </c>
      <c r="I37" s="1">
        <f t="shared" si="141"/>
        <v>299.8199965</v>
      </c>
      <c r="J37" s="1">
        <f t="shared" ref="J37:L37" si="142">(G37-G$7)/(G$6-G$7)*2-1</f>
        <v>-0.2222198055</v>
      </c>
      <c r="K37" s="1">
        <f t="shared" si="142"/>
        <v>-0.1884256286</v>
      </c>
      <c r="L37" s="1">
        <f t="shared" si="142"/>
        <v>-0.03628013588</v>
      </c>
      <c r="M37" s="1">
        <f t="shared" ref="M37:O37" si="143">1/(1+EXP(-J37))</f>
        <v>0.4446725415</v>
      </c>
      <c r="N37" s="1">
        <f t="shared" si="143"/>
        <v>0.4530324728</v>
      </c>
      <c r="O37" s="1">
        <f t="shared" si="143"/>
        <v>0.4909309608</v>
      </c>
      <c r="P37" s="1">
        <f t="shared" si="13"/>
        <v>65.49568559</v>
      </c>
      <c r="Q37" s="1">
        <f t="shared" si="14"/>
        <v>702.0213551</v>
      </c>
      <c r="R37" s="1">
        <f t="shared" ref="R37:T37" si="144">SUMPRODUCT($M37:$O37, INDEX($I$2:$K$4, R$10, 0))+ INDEX($L$2:$L$4, R$10,1)</f>
        <v>6.85417561</v>
      </c>
      <c r="S37" s="1">
        <f t="shared" si="144"/>
        <v>-3.068650252</v>
      </c>
      <c r="T37" s="1">
        <f t="shared" si="144"/>
        <v>-0.245210848</v>
      </c>
      <c r="U37" s="1">
        <f t="shared" ref="U37:W37" si="145">1/(1+EXP(-R37))</f>
        <v>0.9989460709</v>
      </c>
      <c r="V37" s="1">
        <f t="shared" si="145"/>
        <v>0.0444190838</v>
      </c>
      <c r="W37" s="1">
        <f t="shared" si="145"/>
        <v>0.4390026215</v>
      </c>
      <c r="X37" s="1">
        <f t="shared" si="17"/>
        <v>56.60209158</v>
      </c>
      <c r="Y37" s="1">
        <f t="shared" si="18"/>
        <v>309.833628</v>
      </c>
      <c r="Z37" s="3">
        <f t="shared" si="19"/>
        <v>39</v>
      </c>
      <c r="AA37" s="3">
        <f t="shared" si="20"/>
        <v>0</v>
      </c>
    </row>
    <row r="38" ht="15.75" customHeight="1">
      <c r="B38" s="1">
        <v>33.1</v>
      </c>
      <c r="C38" s="1">
        <v>-5.7</v>
      </c>
      <c r="D38" s="1">
        <v>-4.6</v>
      </c>
      <c r="E38" s="1">
        <v>5.0</v>
      </c>
      <c r="F38" s="1">
        <v>39.0</v>
      </c>
      <c r="G38" s="1">
        <f t="shared" ref="G38:I38" si="146">SUMPRODUCT($B38:$E38, INDEX($B$2:$E$4, G$10, 0))+ INDEX($F$2:$F$4,G$10,1)</f>
        <v>22.19159762</v>
      </c>
      <c r="H38" s="1">
        <f t="shared" si="146"/>
        <v>93.24127443</v>
      </c>
      <c r="I38" s="1">
        <f t="shared" si="146"/>
        <v>188.4189828</v>
      </c>
      <c r="J38" s="1">
        <f t="shared" ref="J38:L38" si="147">(G38-G$7)/(G$6-G$7)*2-1</f>
        <v>-0.9125427917</v>
      </c>
      <c r="K38" s="1">
        <f t="shared" si="147"/>
        <v>-0.8678623277</v>
      </c>
      <c r="L38" s="1">
        <f t="shared" si="147"/>
        <v>-0.8494560046</v>
      </c>
      <c r="M38" s="1">
        <f t="shared" ref="M38:O38" si="148">1/(1+EXP(-J38))</f>
        <v>0.2864797854</v>
      </c>
      <c r="N38" s="1">
        <f t="shared" si="148"/>
        <v>0.2956993017</v>
      </c>
      <c r="O38" s="1">
        <f t="shared" si="148"/>
        <v>0.2995469854</v>
      </c>
      <c r="P38" s="1">
        <f t="shared" si="13"/>
        <v>48.72880041</v>
      </c>
      <c r="Q38" s="1">
        <f t="shared" si="14"/>
        <v>94.64955737</v>
      </c>
      <c r="R38" s="1">
        <f t="shared" ref="R38:T38" si="149">SUMPRODUCT($M38:$O38, INDEX($I$2:$K$4, R$10, 0))+ INDEX($L$2:$L$4, R$10,1)</f>
        <v>5.830387047</v>
      </c>
      <c r="S38" s="1">
        <f t="shared" si="149"/>
        <v>-3.236296999</v>
      </c>
      <c r="T38" s="1">
        <f t="shared" si="149"/>
        <v>-2.701249619</v>
      </c>
      <c r="U38" s="1">
        <f t="shared" ref="U38:W38" si="150">1/(1+EXP(-R38))</f>
        <v>0.9970716603</v>
      </c>
      <c r="V38" s="1">
        <f t="shared" si="150"/>
        <v>0.03782241929</v>
      </c>
      <c r="W38" s="1">
        <f t="shared" si="150"/>
        <v>0.06289965913</v>
      </c>
      <c r="X38" s="1">
        <f t="shared" si="17"/>
        <v>35.2434908</v>
      </c>
      <c r="Y38" s="1">
        <f t="shared" si="18"/>
        <v>14.11136138</v>
      </c>
      <c r="Z38" s="3">
        <f t="shared" si="19"/>
        <v>39</v>
      </c>
      <c r="AA38" s="3">
        <f t="shared" si="20"/>
        <v>0</v>
      </c>
    </row>
    <row r="39" ht="15.75" customHeight="1">
      <c r="B39" s="1">
        <v>42.6</v>
      </c>
      <c r="C39" s="1">
        <v>-5.3</v>
      </c>
      <c r="D39" s="1">
        <v>-3.8</v>
      </c>
      <c r="E39" s="1">
        <v>5.0</v>
      </c>
      <c r="F39" s="1">
        <v>39.0</v>
      </c>
      <c r="G39" s="1">
        <f t="shared" ref="G39:I39" si="151">SUMPRODUCT($B39:$E39, INDEX($B$2:$E$4, G$10, 0))+ INDEX($F$2:$F$4,G$10,1)</f>
        <v>30.0557512</v>
      </c>
      <c r="H39" s="1">
        <f t="shared" si="151"/>
        <v>126.337629</v>
      </c>
      <c r="I39" s="1">
        <f t="shared" si="151"/>
        <v>271.515601</v>
      </c>
      <c r="J39" s="1">
        <f t="shared" ref="J39:L39" si="152">(G39-G$7)/(G$6-G$7)*2-1</f>
        <v>-0.4883096692</v>
      </c>
      <c r="K39" s="1">
        <f t="shared" si="152"/>
        <v>-0.3443700937</v>
      </c>
      <c r="L39" s="1">
        <f t="shared" si="152"/>
        <v>-0.2428891301</v>
      </c>
      <c r="M39" s="1">
        <f t="shared" ref="M39:O39" si="153">1/(1+EXP(-J39))</f>
        <v>0.3802918472</v>
      </c>
      <c r="N39" s="1">
        <f t="shared" si="153"/>
        <v>0.4147483212</v>
      </c>
      <c r="O39" s="1">
        <f t="shared" si="153"/>
        <v>0.4395744933</v>
      </c>
      <c r="P39" s="1">
        <f t="shared" si="13"/>
        <v>60.81727544</v>
      </c>
      <c r="Q39" s="1">
        <f t="shared" si="14"/>
        <v>475.9935075</v>
      </c>
      <c r="R39" s="1">
        <f t="shared" ref="R39:T39" si="154">SUMPRODUCT($M39:$O39, INDEX($I$2:$K$4, R$10, 0))+ INDEX($L$2:$L$4, R$10,1)</f>
        <v>6.544033656</v>
      </c>
      <c r="S39" s="1">
        <f t="shared" si="154"/>
        <v>-3.11974303</v>
      </c>
      <c r="T39" s="1">
        <f t="shared" si="154"/>
        <v>-0.9897755888</v>
      </c>
      <c r="U39" s="1">
        <f t="shared" ref="U39:W39" si="155">1/(1+EXP(-R39))</f>
        <v>0.9985633931</v>
      </c>
      <c r="V39" s="1">
        <f t="shared" si="155"/>
        <v>0.04230018072</v>
      </c>
      <c r="W39" s="1">
        <f t="shared" si="155"/>
        <v>0.2709564053</v>
      </c>
      <c r="X39" s="1">
        <f t="shared" si="17"/>
        <v>47.09241794</v>
      </c>
      <c r="Y39" s="1">
        <f t="shared" si="18"/>
        <v>65.48722808</v>
      </c>
      <c r="Z39" s="3">
        <f t="shared" si="19"/>
        <v>39</v>
      </c>
      <c r="AA39" s="3">
        <f t="shared" si="20"/>
        <v>0</v>
      </c>
    </row>
    <row r="40" ht="15.75" customHeight="1">
      <c r="B40" s="1">
        <v>49.4</v>
      </c>
      <c r="C40" s="1">
        <v>-5.5</v>
      </c>
      <c r="D40" s="1">
        <v>-4.5</v>
      </c>
      <c r="E40" s="1">
        <v>5.0</v>
      </c>
      <c r="F40" s="1">
        <v>39.0</v>
      </c>
      <c r="G40" s="1">
        <f t="shared" ref="G40:I40" si="156">SUMPRODUCT($B40:$E40, INDEX($B$2:$E$4, G$10, 0))+ INDEX($F$2:$F$4,G$10,1)</f>
        <v>31.69764768</v>
      </c>
      <c r="H40" s="1">
        <f t="shared" si="156"/>
        <v>140.2775502</v>
      </c>
      <c r="I40" s="1">
        <f t="shared" si="156"/>
        <v>309.0800213</v>
      </c>
      <c r="J40" s="1">
        <f t="shared" ref="J40:L40" si="157">(G40-G$7)/(G$6-G$7)*2-1</f>
        <v>-0.3997372806</v>
      </c>
      <c r="K40" s="1">
        <f t="shared" si="157"/>
        <v>-0.1238793291</v>
      </c>
      <c r="L40" s="1">
        <f t="shared" si="157"/>
        <v>0.0313137617</v>
      </c>
      <c r="M40" s="1">
        <f t="shared" ref="M40:O40" si="158">1/(1+EXP(-J40))</f>
        <v>0.4013754627</v>
      </c>
      <c r="N40" s="1">
        <f t="shared" si="158"/>
        <v>0.4690697125</v>
      </c>
      <c r="O40" s="1">
        <f t="shared" si="158"/>
        <v>0.5078278008</v>
      </c>
      <c r="P40" s="1">
        <f t="shared" si="13"/>
        <v>66.26729255</v>
      </c>
      <c r="Q40" s="1">
        <f t="shared" si="14"/>
        <v>743.5052433</v>
      </c>
      <c r="R40" s="1">
        <f t="shared" ref="R40:T40" si="159">SUMPRODUCT($M40:$O40, INDEX($I$2:$K$4, R$10, 0))+ INDEX($L$2:$L$4, R$10,1)</f>
        <v>6.835953838</v>
      </c>
      <c r="S40" s="1">
        <f t="shared" si="159"/>
        <v>-3.072379704</v>
      </c>
      <c r="T40" s="1">
        <f t="shared" si="159"/>
        <v>-0.2922640528</v>
      </c>
      <c r="U40" s="1">
        <f t="shared" ref="U40:W40" si="160">1/(1+EXP(-R40))</f>
        <v>0.9989267112</v>
      </c>
      <c r="V40" s="1">
        <f t="shared" si="160"/>
        <v>0.04426105208</v>
      </c>
      <c r="W40" s="1">
        <f t="shared" si="160"/>
        <v>0.42744968</v>
      </c>
      <c r="X40" s="1">
        <f t="shared" si="17"/>
        <v>55.94801636</v>
      </c>
      <c r="Y40" s="1">
        <f t="shared" si="18"/>
        <v>287.2352586</v>
      </c>
      <c r="Z40" s="3">
        <f t="shared" si="19"/>
        <v>39</v>
      </c>
      <c r="AA40" s="3">
        <f t="shared" si="20"/>
        <v>0</v>
      </c>
    </row>
    <row r="41" ht="15.75" customHeight="1">
      <c r="B41" s="1">
        <v>42.6</v>
      </c>
      <c r="C41" s="1">
        <v>-4.0</v>
      </c>
      <c r="D41" s="1">
        <v>-2.5</v>
      </c>
      <c r="E41" s="1">
        <v>7.0</v>
      </c>
      <c r="F41" s="1">
        <v>39.0</v>
      </c>
      <c r="G41" s="1">
        <f t="shared" ref="G41:I41" si="161">SUMPRODUCT($B41:$E41, INDEX($B$2:$E$4, G$10, 0))+ INDEX($F$2:$F$4,G$10,1)</f>
        <v>34.24848793</v>
      </c>
      <c r="H41" s="1">
        <f t="shared" si="161"/>
        <v>132.9342092</v>
      </c>
      <c r="I41" s="1">
        <f t="shared" si="161"/>
        <v>291.0589072</v>
      </c>
      <c r="J41" s="1">
        <f t="shared" ref="J41:L41" si="162">(G41-G$7)/(G$6-G$7)*2-1</f>
        <v>-0.2621317631</v>
      </c>
      <c r="K41" s="1">
        <f t="shared" si="162"/>
        <v>-0.2400305505</v>
      </c>
      <c r="L41" s="1">
        <f t="shared" si="162"/>
        <v>-0.1002320351</v>
      </c>
      <c r="M41" s="1">
        <f t="shared" ref="M41:O41" si="163">1/(1+EXP(-J41))</f>
        <v>0.434839746</v>
      </c>
      <c r="N41" s="1">
        <f t="shared" si="163"/>
        <v>0.4402788221</v>
      </c>
      <c r="O41" s="1">
        <f t="shared" si="163"/>
        <v>0.4749629489</v>
      </c>
      <c r="P41" s="1">
        <f t="shared" si="13"/>
        <v>64.15321535</v>
      </c>
      <c r="Q41" s="1">
        <f t="shared" si="14"/>
        <v>632.6842425</v>
      </c>
      <c r="R41" s="1">
        <f t="shared" ref="R41:T41" si="164">SUMPRODUCT($M41:$O41, INDEX($I$2:$K$4, R$10, 0))+ INDEX($L$2:$L$4, R$10,1)</f>
        <v>6.776132064</v>
      </c>
      <c r="S41" s="1">
        <f t="shared" si="164"/>
        <v>-3.08138954</v>
      </c>
      <c r="T41" s="1">
        <f t="shared" si="164"/>
        <v>-0.4321206529</v>
      </c>
      <c r="U41" s="1">
        <f t="shared" ref="U41:W41" si="165">1/(1+EXP(-R41))</f>
        <v>0.9988606212</v>
      </c>
      <c r="V41" s="1">
        <f t="shared" si="165"/>
        <v>0.04388147902</v>
      </c>
      <c r="W41" s="1">
        <f t="shared" si="165"/>
        <v>0.3936200531</v>
      </c>
      <c r="X41" s="1">
        <f t="shared" si="17"/>
        <v>54.03529418</v>
      </c>
      <c r="Y41" s="1">
        <f t="shared" si="18"/>
        <v>226.0600711</v>
      </c>
      <c r="Z41" s="3">
        <f t="shared" si="19"/>
        <v>39</v>
      </c>
      <c r="AA41" s="3">
        <f t="shared" si="20"/>
        <v>0</v>
      </c>
    </row>
    <row r="42" ht="15.75" customHeight="1">
      <c r="B42" s="1">
        <v>48.4</v>
      </c>
      <c r="C42" s="1">
        <v>-5.6</v>
      </c>
      <c r="D42" s="1">
        <v>-4.5</v>
      </c>
      <c r="E42" s="1">
        <v>5.0</v>
      </c>
      <c r="F42" s="1">
        <v>39.0</v>
      </c>
      <c r="G42" s="1">
        <f t="shared" ref="G42:I42" si="166">SUMPRODUCT($B42:$E42, INDEX($B$2:$E$4, G$10, 0))+ INDEX($F$2:$F$4,G$10,1)</f>
        <v>31.37233988</v>
      </c>
      <c r="H42" s="1">
        <f t="shared" si="166"/>
        <v>138.0332679</v>
      </c>
      <c r="I42" s="1">
        <f t="shared" si="166"/>
        <v>302.2309512</v>
      </c>
      <c r="J42" s="1">
        <f t="shared" ref="J42:L42" si="167">(G42-G$7)/(G$6-G$7)*2-1</f>
        <v>-0.417286066</v>
      </c>
      <c r="K42" s="1">
        <f t="shared" si="167"/>
        <v>-0.1593776313</v>
      </c>
      <c r="L42" s="1">
        <f t="shared" si="167"/>
        <v>-0.01868128191</v>
      </c>
      <c r="M42" s="1">
        <f t="shared" ref="M42:O42" si="168">1/(1+EXP(-J42))</f>
        <v>0.3971663527</v>
      </c>
      <c r="N42" s="1">
        <f t="shared" si="168"/>
        <v>0.4602397199</v>
      </c>
      <c r="O42" s="1">
        <f t="shared" si="168"/>
        <v>0.4953298153</v>
      </c>
      <c r="P42" s="1">
        <f t="shared" si="13"/>
        <v>65.29773939</v>
      </c>
      <c r="Q42" s="1">
        <f t="shared" si="14"/>
        <v>691.571097</v>
      </c>
      <c r="R42" s="1">
        <f t="shared" ref="R42:T42" si="169">SUMPRODUCT($M42:$O42, INDEX($I$2:$K$4, R$10, 0))+ INDEX($L$2:$L$4, R$10,1)</f>
        <v>6.784030166</v>
      </c>
      <c r="S42" s="1">
        <f t="shared" si="169"/>
        <v>-3.080813895</v>
      </c>
      <c r="T42" s="1">
        <f t="shared" si="169"/>
        <v>-0.4160747813</v>
      </c>
      <c r="U42" s="1">
        <f t="shared" ref="U42:W42" si="170">1/(1+EXP(-R42))</f>
        <v>0.9988695746</v>
      </c>
      <c r="V42" s="1">
        <f t="shared" si="170"/>
        <v>0.04390563707</v>
      </c>
      <c r="W42" s="1">
        <f t="shared" si="170"/>
        <v>0.397456401</v>
      </c>
      <c r="X42" s="1">
        <f t="shared" si="17"/>
        <v>54.25160997</v>
      </c>
      <c r="Y42" s="1">
        <f t="shared" si="18"/>
        <v>232.6116068</v>
      </c>
      <c r="Z42" s="3">
        <f t="shared" si="19"/>
        <v>39</v>
      </c>
      <c r="AA42" s="3">
        <f t="shared" si="20"/>
        <v>0</v>
      </c>
    </row>
    <row r="43" ht="15.75" customHeight="1">
      <c r="B43" s="1">
        <v>31.1</v>
      </c>
      <c r="C43" s="1">
        <v>-3.8</v>
      </c>
      <c r="D43" s="1">
        <v>-1.8</v>
      </c>
      <c r="E43" s="1">
        <v>7.0</v>
      </c>
      <c r="F43" s="1">
        <v>39.0</v>
      </c>
      <c r="G43" s="1">
        <f t="shared" ref="G43:I43" si="171">SUMPRODUCT($B43:$E43, INDEX($B$2:$E$4, G$10, 0))+ INDEX($F$2:$F$4,G$10,1)</f>
        <v>29.83231597</v>
      </c>
      <c r="H43" s="1">
        <f t="shared" si="171"/>
        <v>105.3447601</v>
      </c>
      <c r="I43" s="1">
        <f t="shared" si="171"/>
        <v>218.9672749</v>
      </c>
      <c r="J43" s="1">
        <f t="shared" ref="J43:L43" si="172">(G43-G$7)/(G$6-G$7)*2-1</f>
        <v>-0.5003629216</v>
      </c>
      <c r="K43" s="1">
        <f t="shared" si="172"/>
        <v>-0.6764188634</v>
      </c>
      <c r="L43" s="1">
        <f t="shared" si="172"/>
        <v>-0.6264676031</v>
      </c>
      <c r="M43" s="1">
        <f t="shared" ref="M43:O43" si="173">1/(1+EXP(-J43))</f>
        <v>0.3774553847</v>
      </c>
      <c r="N43" s="1">
        <f t="shared" si="173"/>
        <v>0.3370610433</v>
      </c>
      <c r="O43" s="1">
        <f t="shared" si="173"/>
        <v>0.3483119289</v>
      </c>
      <c r="P43" s="1">
        <f t="shared" si="13"/>
        <v>53.72214393</v>
      </c>
      <c r="Q43" s="1">
        <f t="shared" si="14"/>
        <v>216.7415219</v>
      </c>
      <c r="R43" s="1">
        <f t="shared" ref="R43:T43" si="174">SUMPRODUCT($M43:$O43, INDEX($I$2:$K$4, R$10, 0))+ INDEX($L$2:$L$4, R$10,1)</f>
        <v>6.193647459</v>
      </c>
      <c r="S43" s="1">
        <f t="shared" si="174"/>
        <v>-3.176174354</v>
      </c>
      <c r="T43" s="1">
        <f t="shared" si="174"/>
        <v>-1.82609367</v>
      </c>
      <c r="U43" s="1">
        <f t="shared" ref="U43:W43" si="175">1/(1+EXP(-R43))</f>
        <v>0.997961799</v>
      </c>
      <c r="V43" s="1">
        <f t="shared" si="175"/>
        <v>0.04007223431</v>
      </c>
      <c r="W43" s="1">
        <f t="shared" si="175"/>
        <v>0.1387042862</v>
      </c>
      <c r="X43" s="1">
        <f t="shared" si="17"/>
        <v>39.58573852</v>
      </c>
      <c r="Y43" s="1">
        <f t="shared" si="18"/>
        <v>0.3430896154</v>
      </c>
      <c r="Z43" s="3">
        <f t="shared" si="19"/>
        <v>39</v>
      </c>
      <c r="AA43" s="3">
        <f t="shared" si="20"/>
        <v>0</v>
      </c>
    </row>
    <row r="44" ht="15.75" customHeight="1">
      <c r="B44" s="1">
        <v>48.4</v>
      </c>
      <c r="C44" s="1">
        <v>-5.7</v>
      </c>
      <c r="D44" s="1">
        <v>-4.6</v>
      </c>
      <c r="E44" s="1">
        <v>5.0</v>
      </c>
      <c r="F44" s="1">
        <v>39.0</v>
      </c>
      <c r="G44" s="1">
        <f t="shared" ref="G44:I44" si="176">SUMPRODUCT($B44:$E44, INDEX($B$2:$E$4, G$10, 0))+ INDEX($F$2:$F$4,G$10,1)</f>
        <v>31.22274973</v>
      </c>
      <c r="H44" s="1">
        <f t="shared" si="176"/>
        <v>137.6748437</v>
      </c>
      <c r="I44" s="1">
        <f t="shared" si="176"/>
        <v>300.8160772</v>
      </c>
      <c r="J44" s="1">
        <f t="shared" ref="J44:L44" si="177">(G44-G$7)/(G$6-G$7)*2-1</f>
        <v>-0.4253557321</v>
      </c>
      <c r="K44" s="1">
        <f t="shared" si="177"/>
        <v>-0.1650469046</v>
      </c>
      <c r="L44" s="1">
        <f t="shared" si="177"/>
        <v>-0.02900920746</v>
      </c>
      <c r="M44" s="1">
        <f t="shared" ref="M44:O44" si="178">1/(1+EXP(-J44))</f>
        <v>0.3952358834</v>
      </c>
      <c r="N44" s="1">
        <f t="shared" si="178"/>
        <v>0.4588316852</v>
      </c>
      <c r="O44" s="1">
        <f t="shared" si="178"/>
        <v>0.4927482067</v>
      </c>
      <c r="P44" s="1">
        <f t="shared" si="13"/>
        <v>65.09548507</v>
      </c>
      <c r="Q44" s="1">
        <f t="shared" si="14"/>
        <v>680.9743409</v>
      </c>
      <c r="R44" s="1">
        <f t="shared" ref="R44:T44" si="179">SUMPRODUCT($M44:$O44, INDEX($I$2:$K$4, R$10, 0))+ INDEX($L$2:$L$4, R$10,1)</f>
        <v>6.772038967</v>
      </c>
      <c r="S44" s="1">
        <f t="shared" si="179"/>
        <v>-3.082779706</v>
      </c>
      <c r="T44" s="1">
        <f t="shared" si="179"/>
        <v>-0.4446588285</v>
      </c>
      <c r="U44" s="1">
        <f t="shared" ref="U44:W44" si="180">1/(1+EXP(-R44))</f>
        <v>0.9988559534</v>
      </c>
      <c r="V44" s="1">
        <f t="shared" si="180"/>
        <v>0.04382319036</v>
      </c>
      <c r="W44" s="1">
        <f t="shared" si="180"/>
        <v>0.3906314253</v>
      </c>
      <c r="X44" s="1">
        <f t="shared" si="17"/>
        <v>53.86553235</v>
      </c>
      <c r="Y44" s="1">
        <f t="shared" si="18"/>
        <v>220.9840521</v>
      </c>
      <c r="Z44" s="3">
        <f t="shared" si="19"/>
        <v>39</v>
      </c>
      <c r="AA44" s="3">
        <f t="shared" si="20"/>
        <v>0</v>
      </c>
    </row>
    <row r="45" ht="15.75" customHeight="1">
      <c r="B45" s="1">
        <v>30.1</v>
      </c>
      <c r="C45" s="1">
        <v>-5.6</v>
      </c>
      <c r="D45" s="1">
        <v>-4.5</v>
      </c>
      <c r="E45" s="1">
        <v>5.0</v>
      </c>
      <c r="F45" s="1">
        <v>39.0</v>
      </c>
      <c r="G45" s="1">
        <f t="shared" ref="G45:I45" si="181">SUMPRODUCT($B45:$E45, INDEX($B$2:$E$4, G$10, 0))+ INDEX($F$2:$F$4,G$10,1)</f>
        <v>20.57037362</v>
      </c>
      <c r="H45" s="1">
        <f t="shared" si="181"/>
        <v>84.88723407</v>
      </c>
      <c r="I45" s="1">
        <f t="shared" si="181"/>
        <v>167.7952108</v>
      </c>
      <c r="J45" s="1">
        <f t="shared" ref="J45:L45" si="182">(G45-G$7)/(G$6-G$7)*2-1</f>
        <v>-1</v>
      </c>
      <c r="K45" s="1">
        <f t="shared" si="182"/>
        <v>-1</v>
      </c>
      <c r="L45" s="1">
        <f t="shared" si="182"/>
        <v>-1</v>
      </c>
      <c r="M45" s="1">
        <f t="shared" ref="M45:O45" si="183">1/(1+EXP(-J45))</f>
        <v>0.2689414214</v>
      </c>
      <c r="N45" s="1">
        <f t="shared" si="183"/>
        <v>0.2689414214</v>
      </c>
      <c r="O45" s="1">
        <f t="shared" si="183"/>
        <v>0.2689414214</v>
      </c>
      <c r="P45" s="1">
        <f t="shared" si="13"/>
        <v>46.10478348</v>
      </c>
      <c r="Q45" s="1">
        <f t="shared" si="14"/>
        <v>50.47794827</v>
      </c>
      <c r="R45" s="1">
        <f t="shared" ref="R45:T45" si="184">SUMPRODUCT($M45:$O45, INDEX($I$2:$K$4, R$10, 0))+ INDEX($L$2:$L$4, R$10,1)</f>
        <v>5.678788616</v>
      </c>
      <c r="S45" s="1">
        <f t="shared" si="184"/>
        <v>-3.261011571</v>
      </c>
      <c r="T45" s="1">
        <f t="shared" si="184"/>
        <v>-3.064786138</v>
      </c>
      <c r="U45" s="1">
        <f t="shared" ref="U45:W45" si="185">1/(1+EXP(-R45))</f>
        <v>0.9965939448</v>
      </c>
      <c r="V45" s="1">
        <f t="shared" si="185"/>
        <v>0.03693321171</v>
      </c>
      <c r="W45" s="1">
        <f t="shared" si="185"/>
        <v>0.04458338914</v>
      </c>
      <c r="X45" s="1">
        <f t="shared" si="17"/>
        <v>34.1792334</v>
      </c>
      <c r="Y45" s="1">
        <f t="shared" si="18"/>
        <v>23.23979066</v>
      </c>
      <c r="Z45" s="3">
        <f t="shared" si="19"/>
        <v>39</v>
      </c>
      <c r="AA45" s="3">
        <f t="shared" si="20"/>
        <v>0</v>
      </c>
    </row>
    <row r="46" ht="15.75" customHeight="1">
      <c r="B46" s="1">
        <v>41.6</v>
      </c>
      <c r="C46" s="1">
        <v>-5.7</v>
      </c>
      <c r="D46" s="1">
        <v>-4.3</v>
      </c>
      <c r="E46" s="1">
        <v>6.0</v>
      </c>
      <c r="F46" s="1">
        <v>39.0</v>
      </c>
      <c r="G46" s="1">
        <f t="shared" ref="G46:I46" si="186">SUMPRODUCT($B46:$E46, INDEX($B$2:$E$4, G$10, 0))+ INDEX($F$2:$F$4,G$10,1)</f>
        <v>29.57659795</v>
      </c>
      <c r="H46" s="1">
        <f t="shared" si="186"/>
        <v>121.9500136</v>
      </c>
      <c r="I46" s="1">
        <f t="shared" si="186"/>
        <v>257.1728428</v>
      </c>
      <c r="J46" s="1">
        <f t="shared" ref="J46:L46" si="187">(G46-G$7)/(G$6-G$7)*2-1</f>
        <v>-0.5141576741</v>
      </c>
      <c r="K46" s="1">
        <f t="shared" si="187"/>
        <v>-0.4137699606</v>
      </c>
      <c r="L46" s="1">
        <f t="shared" si="187"/>
        <v>-0.3475846301</v>
      </c>
      <c r="M46" s="1">
        <f t="shared" ref="M46:O46" si="188">1/(1+EXP(-J46))</f>
        <v>0.3742193766</v>
      </c>
      <c r="N46" s="1">
        <f t="shared" si="188"/>
        <v>0.3980085008</v>
      </c>
      <c r="O46" s="1">
        <f t="shared" si="188"/>
        <v>0.4139682643</v>
      </c>
      <c r="P46" s="1">
        <f t="shared" si="13"/>
        <v>58.90529554</v>
      </c>
      <c r="Q46" s="1">
        <f t="shared" si="14"/>
        <v>396.2207903</v>
      </c>
      <c r="R46" s="1">
        <f t="shared" ref="R46:T46" si="189">SUMPRODUCT($M46:$O46, INDEX($I$2:$K$4, R$10, 0))+ INDEX($L$2:$L$4, R$10,1)</f>
        <v>6.445362271</v>
      </c>
      <c r="S46" s="1">
        <f t="shared" si="189"/>
        <v>-3.135737074</v>
      </c>
      <c r="T46" s="1">
        <f t="shared" si="189"/>
        <v>-1.224452527</v>
      </c>
      <c r="U46" s="1">
        <f t="shared" ref="U46:W46" si="190">1/(1+EXP(-R46))</f>
        <v>0.9984146481</v>
      </c>
      <c r="V46" s="1">
        <f t="shared" si="190"/>
        <v>0.04165697028</v>
      </c>
      <c r="W46" s="1">
        <f t="shared" si="190"/>
        <v>0.2271538378</v>
      </c>
      <c r="X46" s="1">
        <f t="shared" si="17"/>
        <v>44.60997993</v>
      </c>
      <c r="Y46" s="1">
        <f t="shared" si="18"/>
        <v>31.47187478</v>
      </c>
      <c r="Z46" s="3">
        <f t="shared" si="19"/>
        <v>39</v>
      </c>
      <c r="AA46" s="3">
        <f t="shared" si="20"/>
        <v>0</v>
      </c>
    </row>
    <row r="47" ht="15.75" customHeight="1">
      <c r="B47" s="1">
        <v>45.4</v>
      </c>
      <c r="C47" s="1">
        <v>-5.9</v>
      </c>
      <c r="D47" s="1">
        <v>-2.6</v>
      </c>
      <c r="E47" s="1">
        <v>7.0</v>
      </c>
      <c r="F47" s="1">
        <v>39.0</v>
      </c>
      <c r="G47" s="1">
        <f t="shared" ref="G47:I47" si="191">SUMPRODUCT($B47:$E47, INDEX($B$2:$E$4, G$10, 0))+ INDEX($F$2:$F$4,G$10,1)</f>
        <v>40.52100211</v>
      </c>
      <c r="H47" s="1">
        <f t="shared" si="191"/>
        <v>152.5851232</v>
      </c>
      <c r="I47" s="1">
        <f t="shared" si="191"/>
        <v>319.1620499</v>
      </c>
      <c r="J47" s="1">
        <f t="shared" ref="J47:L47" si="192">(G47-G$7)/(G$6-G$7)*2-1</f>
        <v>0.07624009715</v>
      </c>
      <c r="K47" s="1">
        <f t="shared" si="192"/>
        <v>0.07079222806</v>
      </c>
      <c r="L47" s="1">
        <f t="shared" si="192"/>
        <v>0.1049079067</v>
      </c>
      <c r="M47" s="1">
        <f t="shared" ref="M47:O47" si="193">1/(1+EXP(-J47))</f>
        <v>0.5190507974</v>
      </c>
      <c r="N47" s="1">
        <f t="shared" si="193"/>
        <v>0.5176906695</v>
      </c>
      <c r="O47" s="1">
        <f t="shared" si="193"/>
        <v>0.5262029493</v>
      </c>
      <c r="P47" s="1">
        <f t="shared" si="13"/>
        <v>70.25291032</v>
      </c>
      <c r="Q47" s="1">
        <f t="shared" si="14"/>
        <v>976.7444035</v>
      </c>
      <c r="R47" s="1">
        <f t="shared" ref="R47:T47" si="194">SUMPRODUCT($M47:$O47, INDEX($I$2:$K$4, R$10, 0))+ INDEX($L$2:$L$4, R$10,1)</f>
        <v>7.202791624</v>
      </c>
      <c r="S47" s="1">
        <f t="shared" si="194"/>
        <v>-3.011227834</v>
      </c>
      <c r="T47" s="1">
        <f t="shared" si="194"/>
        <v>0.6025759729</v>
      </c>
      <c r="U47" s="1">
        <f t="shared" ref="U47:W47" si="195">1/(1+EXP(-R47))</f>
        <v>0.9992560493</v>
      </c>
      <c r="V47" s="1">
        <f t="shared" si="195"/>
        <v>0.04692120686</v>
      </c>
      <c r="W47" s="1">
        <f t="shared" si="195"/>
        <v>0.6462454269</v>
      </c>
      <c r="X47" s="1">
        <f t="shared" si="17"/>
        <v>68.32390665</v>
      </c>
      <c r="Y47" s="1">
        <f t="shared" si="18"/>
        <v>859.8915014</v>
      </c>
      <c r="Z47" s="3">
        <f t="shared" si="19"/>
        <v>69</v>
      </c>
      <c r="AA47" s="3">
        <f t="shared" si="20"/>
        <v>1</v>
      </c>
    </row>
    <row r="48" ht="15.75" customHeight="1">
      <c r="B48" s="1">
        <v>26.299999999999997</v>
      </c>
      <c r="C48" s="1">
        <v>-3.8</v>
      </c>
      <c r="D48" s="1">
        <v>-0.6</v>
      </c>
      <c r="E48" s="1">
        <v>7.0</v>
      </c>
      <c r="F48" s="1">
        <v>39.0</v>
      </c>
      <c r="G48" s="1">
        <f t="shared" ref="G48:I48" si="196">SUMPRODUCT($B48:$E48, INDEX($B$2:$E$4, G$10, 0))+ INDEX($F$2:$F$4,G$10,1)</f>
        <v>31.97365804</v>
      </c>
      <c r="H48" s="1">
        <f t="shared" si="196"/>
        <v>103.6243769</v>
      </c>
      <c r="I48" s="1">
        <f t="shared" si="196"/>
        <v>206.6496716</v>
      </c>
      <c r="J48" s="1">
        <f t="shared" ref="J48:L48" si="197">(G48-G$7)/(G$6-G$7)*2-1</f>
        <v>-0.3848478538</v>
      </c>
      <c r="K48" s="1">
        <f t="shared" si="197"/>
        <v>-0.703630539</v>
      </c>
      <c r="L48" s="1">
        <f t="shared" si="197"/>
        <v>-0.7163804094</v>
      </c>
      <c r="M48" s="1">
        <f t="shared" ref="M48:O48" si="198">1/(1+EXP(-J48))</f>
        <v>0.4049581878</v>
      </c>
      <c r="N48" s="1">
        <f t="shared" si="198"/>
        <v>0.3310077827</v>
      </c>
      <c r="O48" s="1">
        <f t="shared" si="198"/>
        <v>0.3281905389</v>
      </c>
      <c r="P48" s="1">
        <f t="shared" si="13"/>
        <v>52.86550647</v>
      </c>
      <c r="Q48" s="1">
        <f t="shared" si="14"/>
        <v>192.2522696</v>
      </c>
      <c r="R48" s="1">
        <f t="shared" ref="R48:T48" si="199">SUMPRODUCT($M48:$O48, INDEX($I$2:$K$4, R$10, 0))+ INDEX($L$2:$L$4, R$10,1)</f>
        <v>6.193823387</v>
      </c>
      <c r="S48" s="1">
        <f t="shared" si="199"/>
        <v>-3.175653041</v>
      </c>
      <c r="T48" s="1">
        <f t="shared" si="199"/>
        <v>-1.820227586</v>
      </c>
      <c r="U48" s="1">
        <f t="shared" ref="U48:W48" si="200">1/(1+EXP(-R48))</f>
        <v>0.9979621568</v>
      </c>
      <c r="V48" s="1">
        <f t="shared" si="200"/>
        <v>0.04009229221</v>
      </c>
      <c r="W48" s="1">
        <f t="shared" si="200"/>
        <v>0.1394065667</v>
      </c>
      <c r="X48" s="1">
        <f t="shared" si="17"/>
        <v>39.62582521</v>
      </c>
      <c r="Y48" s="1">
        <f t="shared" si="18"/>
        <v>0.391657191</v>
      </c>
      <c r="Z48" s="3">
        <f t="shared" si="19"/>
        <v>39</v>
      </c>
      <c r="AA48" s="3">
        <f t="shared" si="20"/>
        <v>0</v>
      </c>
    </row>
    <row r="49" ht="15.75" customHeight="1">
      <c r="B49" s="1">
        <v>48.4</v>
      </c>
      <c r="C49" s="1">
        <v>-5.8</v>
      </c>
      <c r="D49" s="1">
        <v>-4.2</v>
      </c>
      <c r="E49" s="1">
        <v>6.0</v>
      </c>
      <c r="F49" s="1">
        <v>39.0</v>
      </c>
      <c r="G49" s="1">
        <f t="shared" ref="G49:I49" si="201">SUMPRODUCT($B49:$E49, INDEX($B$2:$E$4, G$10, 0))+ INDEX($F$2:$F$4,G$10,1)</f>
        <v>34.26996064</v>
      </c>
      <c r="H49" s="1">
        <f t="shared" si="201"/>
        <v>143.3764357</v>
      </c>
      <c r="I49" s="1">
        <f t="shared" si="201"/>
        <v>309.5362714</v>
      </c>
      <c r="J49" s="1">
        <f t="shared" ref="J49:L49" si="202">(G49-G$7)/(G$6-G$7)*2-1</f>
        <v>-0.2609734137</v>
      </c>
      <c r="K49" s="1">
        <f t="shared" si="202"/>
        <v>-0.07486358415</v>
      </c>
      <c r="L49" s="1">
        <f t="shared" si="202"/>
        <v>0.03464417647</v>
      </c>
      <c r="M49" s="1">
        <f t="shared" ref="M49:O49" si="203">1/(1+EXP(-J49))</f>
        <v>0.4351244366</v>
      </c>
      <c r="N49" s="1">
        <f t="shared" si="203"/>
        <v>0.4812928403</v>
      </c>
      <c r="O49" s="1">
        <f t="shared" si="203"/>
        <v>0.508660178</v>
      </c>
      <c r="P49" s="1">
        <f t="shared" si="13"/>
        <v>67.12817728</v>
      </c>
      <c r="Q49" s="1">
        <f t="shared" si="14"/>
        <v>791.1943572</v>
      </c>
      <c r="R49" s="1">
        <f t="shared" ref="R49:T49" si="204">SUMPRODUCT($M49:$O49, INDEX($I$2:$K$4, R$10, 0))+ INDEX($L$2:$L$4, R$10,1)</f>
        <v>6.928478472</v>
      </c>
      <c r="S49" s="1">
        <f t="shared" si="204"/>
        <v>-3.056884653</v>
      </c>
      <c r="T49" s="1">
        <f t="shared" si="204"/>
        <v>-0.06535173721</v>
      </c>
      <c r="U49" s="1">
        <f t="shared" ref="U49:W49" si="205">1/(1+EXP(-R49))</f>
        <v>0.9990214684</v>
      </c>
      <c r="V49" s="1">
        <f t="shared" si="205"/>
        <v>0.04492117228</v>
      </c>
      <c r="W49" s="1">
        <f t="shared" si="205"/>
        <v>0.483667878</v>
      </c>
      <c r="X49" s="1">
        <f t="shared" si="17"/>
        <v>59.12731473</v>
      </c>
      <c r="Y49" s="1">
        <f t="shared" si="18"/>
        <v>405.1087984</v>
      </c>
      <c r="Z49" s="3">
        <f t="shared" si="19"/>
        <v>69</v>
      </c>
      <c r="AA49" s="3">
        <f t="shared" si="20"/>
        <v>1</v>
      </c>
    </row>
    <row r="50" ht="15.75" customHeight="1">
      <c r="B50" s="1">
        <v>39.9</v>
      </c>
      <c r="C50" s="1">
        <v>-5.2</v>
      </c>
      <c r="D50" s="1">
        <v>-2.4</v>
      </c>
      <c r="E50" s="1">
        <v>7.0</v>
      </c>
      <c r="F50" s="1">
        <v>39.0</v>
      </c>
      <c r="G50" s="1">
        <f t="shared" ref="G50:I50" si="206">SUMPRODUCT($B50:$E50, INDEX($B$2:$E$4, G$10, 0))+ INDEX($F$2:$F$4,G$10,1)</f>
        <v>36.2488719</v>
      </c>
      <c r="H50" s="1">
        <f t="shared" si="206"/>
        <v>134.0297575</v>
      </c>
      <c r="I50" s="1">
        <f t="shared" si="206"/>
        <v>279.1018875</v>
      </c>
      <c r="J50" s="1">
        <f t="shared" ref="J50:L50" si="207">(G50-G$7)/(G$6-G$7)*2-1</f>
        <v>-0.1542207043</v>
      </c>
      <c r="K50" s="1">
        <f t="shared" si="207"/>
        <v>-0.2227020246</v>
      </c>
      <c r="L50" s="1">
        <f t="shared" si="207"/>
        <v>-0.1875127476</v>
      </c>
      <c r="M50" s="1">
        <f t="shared" ref="M50:O50" si="208">1/(1+EXP(-J50))</f>
        <v>0.461521059</v>
      </c>
      <c r="N50" s="1">
        <f t="shared" si="208"/>
        <v>0.4445534661</v>
      </c>
      <c r="O50" s="1">
        <f t="shared" si="208"/>
        <v>0.453258689</v>
      </c>
      <c r="P50" s="1">
        <f t="shared" si="13"/>
        <v>63.50920306</v>
      </c>
      <c r="Q50" s="1">
        <f t="shared" si="14"/>
        <v>600.7010344</v>
      </c>
      <c r="R50" s="1">
        <f t="shared" ref="R50:T50" si="209">SUMPRODUCT($M50:$O50, INDEX($I$2:$K$4, R$10, 0))+ INDEX($L$2:$L$4, R$10,1)</f>
        <v>6.791885633</v>
      </c>
      <c r="S50" s="1">
        <f t="shared" si="209"/>
        <v>-3.078389835</v>
      </c>
      <c r="T50" s="1">
        <f t="shared" si="209"/>
        <v>-0.3861028897</v>
      </c>
      <c r="U50" s="1">
        <f t="shared" ref="U50:W50" si="210">1/(1+EXP(-R50))</f>
        <v>0.9988784099</v>
      </c>
      <c r="V50" s="1">
        <f t="shared" si="210"/>
        <v>0.04400750668</v>
      </c>
      <c r="W50" s="1">
        <f t="shared" si="210"/>
        <v>0.4046558016</v>
      </c>
      <c r="X50" s="1">
        <f t="shared" si="17"/>
        <v>54.65926984</v>
      </c>
      <c r="Y50" s="1">
        <f t="shared" si="18"/>
        <v>245.212732</v>
      </c>
      <c r="Z50" s="3">
        <f t="shared" si="19"/>
        <v>39</v>
      </c>
      <c r="AA50" s="3">
        <f t="shared" si="20"/>
        <v>0</v>
      </c>
    </row>
    <row r="51" ht="15.75" customHeight="1">
      <c r="B51" s="1">
        <v>43.6</v>
      </c>
      <c r="C51" s="1">
        <v>-5.7</v>
      </c>
      <c r="D51" s="1">
        <v>-2.3</v>
      </c>
      <c r="E51" s="1">
        <v>8.0</v>
      </c>
      <c r="F51" s="1">
        <v>39.0</v>
      </c>
      <c r="G51" s="1">
        <f t="shared" ref="G51:I51" si="211">SUMPRODUCT($B51:$E51, INDEX($B$2:$E$4, G$10, 0))+ INDEX($F$2:$F$4,G$10,1)</f>
        <v>41.29628007</v>
      </c>
      <c r="H51" s="1">
        <f t="shared" si="211"/>
        <v>150.0613224</v>
      </c>
      <c r="I51" s="1">
        <f t="shared" si="211"/>
        <v>311.2556017</v>
      </c>
      <c r="J51" s="1">
        <f t="shared" ref="J51:L51" si="212">(G51-G$7)/(G$6-G$7)*2-1</f>
        <v>0.1180626003</v>
      </c>
      <c r="K51" s="1">
        <f t="shared" si="212"/>
        <v>0.03087272199</v>
      </c>
      <c r="L51" s="1">
        <f t="shared" si="212"/>
        <v>0.04719449226</v>
      </c>
      <c r="M51" s="1">
        <f t="shared" ref="M51:O51" si="213">1/(1+EXP(-J51))</f>
        <v>0.5294814135</v>
      </c>
      <c r="N51" s="1">
        <f t="shared" si="213"/>
        <v>0.5077175675</v>
      </c>
      <c r="O51" s="1">
        <f t="shared" si="213"/>
        <v>0.5117964336</v>
      </c>
      <c r="P51" s="1">
        <f t="shared" si="13"/>
        <v>69.3475064</v>
      </c>
      <c r="Q51" s="1">
        <f t="shared" si="14"/>
        <v>920.9711447</v>
      </c>
      <c r="R51" s="1">
        <f t="shared" ref="R51:T51" si="214">SUMPRODUCT($M51:$O51, INDEX($I$2:$K$4, R$10, 0))+ INDEX($L$2:$L$4, R$10,1)</f>
        <v>7.173469389</v>
      </c>
      <c r="S51" s="1">
        <f t="shared" si="214"/>
        <v>-3.015756845</v>
      </c>
      <c r="T51" s="1">
        <f t="shared" si="214"/>
        <v>0.5341755942</v>
      </c>
      <c r="U51" s="1">
        <f t="shared" ref="U51:W51" si="215">1/(1+EXP(-R51))</f>
        <v>0.999233929</v>
      </c>
      <c r="V51" s="1">
        <f t="shared" si="215"/>
        <v>0.04671908639</v>
      </c>
      <c r="W51" s="1">
        <f t="shared" si="215"/>
        <v>0.6304564753</v>
      </c>
      <c r="X51" s="1">
        <f t="shared" si="17"/>
        <v>67.43052061</v>
      </c>
      <c r="Y51" s="1">
        <f t="shared" si="18"/>
        <v>808.2945022</v>
      </c>
      <c r="Z51" s="3">
        <f t="shared" si="19"/>
        <v>69</v>
      </c>
      <c r="AA51" s="3">
        <f t="shared" si="20"/>
        <v>1</v>
      </c>
    </row>
    <row r="52" ht="15.75" customHeight="1">
      <c r="B52" s="1">
        <v>35.9</v>
      </c>
      <c r="C52" s="1">
        <v>-5.3</v>
      </c>
      <c r="D52" s="1">
        <v>-0.4</v>
      </c>
      <c r="E52" s="1">
        <v>7.0</v>
      </c>
      <c r="F52" s="1">
        <v>39.0</v>
      </c>
      <c r="G52" s="1">
        <f t="shared" ref="G52:I52" si="216">SUMPRODUCT($B52:$E52, INDEX($B$2:$E$4, G$10, 0))+ INDEX($F$2:$F$4,G$10,1)</f>
        <v>42.44382446</v>
      </c>
      <c r="H52" s="1">
        <f t="shared" si="216"/>
        <v>143.438944</v>
      </c>
      <c r="I52" s="1">
        <f t="shared" si="216"/>
        <v>288.4545552</v>
      </c>
      <c r="J52" s="1">
        <f t="shared" ref="J52:L52" si="217">(G52-G$7)/(G$6-G$7)*2-1</f>
        <v>0.1799670807</v>
      </c>
      <c r="K52" s="1">
        <f t="shared" si="217"/>
        <v>-0.07387487663</v>
      </c>
      <c r="L52" s="1">
        <f t="shared" si="217"/>
        <v>-0.1192426</v>
      </c>
      <c r="M52" s="1">
        <f t="shared" ref="M52:O52" si="218">1/(1+EXP(-J52))</f>
        <v>0.5448707288</v>
      </c>
      <c r="N52" s="1">
        <f t="shared" si="218"/>
        <v>0.4815396757</v>
      </c>
      <c r="O52" s="1">
        <f t="shared" si="218"/>
        <v>0.4702246225</v>
      </c>
      <c r="P52" s="1">
        <f t="shared" si="13"/>
        <v>66.61355192</v>
      </c>
      <c r="Q52" s="1">
        <f t="shared" si="14"/>
        <v>762.5082498</v>
      </c>
      <c r="R52" s="1">
        <f t="shared" ref="R52:T52" si="219">SUMPRODUCT($M52:$O52, INDEX($I$2:$K$4, R$10, 0))+ INDEX($L$2:$L$4, R$10,1)</f>
        <v>7.065025531</v>
      </c>
      <c r="S52" s="1">
        <f t="shared" si="219"/>
        <v>-3.032933603</v>
      </c>
      <c r="T52" s="1">
        <f t="shared" si="219"/>
        <v>0.2792546596</v>
      </c>
      <c r="U52" s="1">
        <f t="shared" ref="U52:W52" si="220">1/(1+EXP(-R52))</f>
        <v>0.9991462564</v>
      </c>
      <c r="V52" s="1">
        <f t="shared" si="220"/>
        <v>0.04596002381</v>
      </c>
      <c r="W52" s="1">
        <f t="shared" si="220"/>
        <v>0.5693634843</v>
      </c>
      <c r="X52" s="1">
        <f t="shared" si="17"/>
        <v>63.97441203</v>
      </c>
      <c r="Y52" s="1">
        <f t="shared" si="18"/>
        <v>623.7212564</v>
      </c>
      <c r="Z52" s="3">
        <f t="shared" si="19"/>
        <v>69</v>
      </c>
      <c r="AA52" s="3">
        <f t="shared" si="20"/>
        <v>1</v>
      </c>
    </row>
    <row r="53" ht="15.75" customHeight="1">
      <c r="B53" s="1">
        <v>52.4</v>
      </c>
      <c r="C53" s="1">
        <v>-6.6</v>
      </c>
      <c r="D53" s="1">
        <v>-3.7</v>
      </c>
      <c r="E53" s="1">
        <v>5.0</v>
      </c>
      <c r="F53" s="1">
        <v>69.0</v>
      </c>
      <c r="G53" s="1">
        <f t="shared" ref="G53:I53" si="221">SUMPRODUCT($B53:$E53, INDEX($B$2:$E$4, G$10, 0))+ INDEX($F$2:$F$4,G$10,1)</f>
        <v>39.69949101</v>
      </c>
      <c r="H53" s="1">
        <f t="shared" si="221"/>
        <v>164.3949854</v>
      </c>
      <c r="I53" s="1">
        <f t="shared" si="221"/>
        <v>351.8834181</v>
      </c>
      <c r="J53" s="1">
        <f t="shared" ref="J53:L53" si="222">(G53-G$7)/(G$6-G$7)*2-1</f>
        <v>0.03192353907</v>
      </c>
      <c r="K53" s="1">
        <f t="shared" si="222"/>
        <v>0.2575913857</v>
      </c>
      <c r="L53" s="1">
        <f t="shared" si="222"/>
        <v>0.3437587583</v>
      </c>
      <c r="M53" s="1">
        <f t="shared" ref="M53:O53" si="223">1/(1+EXP(-J53))</f>
        <v>0.5079802071</v>
      </c>
      <c r="N53" s="1">
        <f t="shared" si="223"/>
        <v>0.5640441092</v>
      </c>
      <c r="O53" s="1">
        <f t="shared" si="223"/>
        <v>0.5851032803</v>
      </c>
      <c r="P53" s="1">
        <f t="shared" si="13"/>
        <v>74.54584718</v>
      </c>
      <c r="Q53" s="1">
        <f t="shared" si="14"/>
        <v>30.75642092</v>
      </c>
      <c r="R53" s="1">
        <f t="shared" ref="R53:T53" si="224">SUMPRODUCT($M53:$O53, INDEX($I$2:$K$4, R$10, 0))+ INDEX($L$2:$L$4, R$10,1)</f>
        <v>7.395984819</v>
      </c>
      <c r="S53" s="1">
        <f t="shared" si="224"/>
        <v>-2.98034111</v>
      </c>
      <c r="T53" s="1">
        <f t="shared" si="224"/>
        <v>1.061537593</v>
      </c>
      <c r="U53" s="1">
        <f t="shared" ref="U53:W53" si="225">1/(1+EXP(-R53))</f>
        <v>0.9993866644</v>
      </c>
      <c r="V53" s="1">
        <f t="shared" si="225"/>
        <v>0.04832193968</v>
      </c>
      <c r="W53" s="1">
        <f t="shared" si="225"/>
        <v>0.7429842716</v>
      </c>
      <c r="X53" s="1">
        <f t="shared" si="17"/>
        <v>73.80286949</v>
      </c>
      <c r="Y53" s="1">
        <f t="shared" si="18"/>
        <v>23.0675553</v>
      </c>
      <c r="Z53" s="3">
        <f t="shared" si="19"/>
        <v>84</v>
      </c>
      <c r="AA53" s="3">
        <f t="shared" si="20"/>
        <v>1</v>
      </c>
    </row>
    <row r="54" ht="15.75" customHeight="1">
      <c r="B54" s="1">
        <v>52.4</v>
      </c>
      <c r="C54" s="1">
        <v>-6.8</v>
      </c>
      <c r="D54" s="1">
        <v>-4.5</v>
      </c>
      <c r="E54" s="1">
        <v>5.0</v>
      </c>
      <c r="F54" s="1">
        <v>69.0</v>
      </c>
      <c r="G54" s="1">
        <f t="shared" ref="G54:I54" si="226">SUMPRODUCT($B54:$E54, INDEX($B$2:$E$4, G$10, 0))+ INDEX($F$2:$F$4,G$10,1)</f>
        <v>36.91298837</v>
      </c>
      <c r="H54" s="1">
        <f t="shared" si="226"/>
        <v>157.568357</v>
      </c>
      <c r="I54" s="1">
        <f t="shared" si="226"/>
        <v>337.581555</v>
      </c>
      <c r="J54" s="1">
        <f t="shared" ref="J54:L54" si="227">(G54-G$7)/(G$6-G$7)*2-1</f>
        <v>-0.1183948266</v>
      </c>
      <c r="K54" s="1">
        <f t="shared" si="227"/>
        <v>0.1496131203</v>
      </c>
      <c r="L54" s="1">
        <f t="shared" si="227"/>
        <v>0.2393617735</v>
      </c>
      <c r="M54" s="1">
        <f t="shared" ref="M54:O54" si="228">1/(1+EXP(-J54))</f>
        <v>0.4704358195</v>
      </c>
      <c r="N54" s="1">
        <f t="shared" si="228"/>
        <v>0.537333666</v>
      </c>
      <c r="O54" s="1">
        <f t="shared" si="228"/>
        <v>0.5595563624</v>
      </c>
      <c r="P54" s="1">
        <f t="shared" si="13"/>
        <v>71.91691553</v>
      </c>
      <c r="Q54" s="1">
        <f t="shared" si="14"/>
        <v>8.508396206</v>
      </c>
      <c r="R54" s="1">
        <f t="shared" ref="R54:T54" si="229">SUMPRODUCT($M54:$O54, INDEX($I$2:$K$4, R$10, 0))+ INDEX($L$2:$L$4, R$10,1)</f>
        <v>7.215610616</v>
      </c>
      <c r="S54" s="1">
        <f t="shared" si="229"/>
        <v>-3.010048739</v>
      </c>
      <c r="T54" s="1">
        <f t="shared" si="229"/>
        <v>0.6263721621</v>
      </c>
      <c r="U54" s="1">
        <f t="shared" ref="U54:W54" si="230">1/(1+EXP(-R54))</f>
        <v>0.9992655182</v>
      </c>
      <c r="V54" s="1">
        <f t="shared" si="230"/>
        <v>0.04697396372</v>
      </c>
      <c r="W54" s="1">
        <f t="shared" si="230"/>
        <v>0.6516664066</v>
      </c>
      <c r="X54" s="1">
        <f t="shared" si="17"/>
        <v>68.63013007</v>
      </c>
      <c r="Y54" s="1">
        <f t="shared" si="18"/>
        <v>0.1368037657</v>
      </c>
      <c r="Z54" s="3">
        <f t="shared" si="19"/>
        <v>69</v>
      </c>
      <c r="AA54" s="3">
        <f t="shared" si="20"/>
        <v>0</v>
      </c>
    </row>
    <row r="55" ht="15.75" customHeight="1">
      <c r="B55" s="1">
        <v>38.1</v>
      </c>
      <c r="C55" s="1">
        <v>-5.2</v>
      </c>
      <c r="D55" s="1">
        <v>-1.8</v>
      </c>
      <c r="E55" s="1">
        <v>8.0</v>
      </c>
      <c r="F55" s="1">
        <v>69.0</v>
      </c>
      <c r="G55" s="1">
        <f t="shared" ref="G55:I55" si="231">SUMPRODUCT($B55:$E55, INDEX($B$2:$E$4, G$10, 0))+ INDEX($F$2:$F$4,G$10,1)</f>
        <v>38.79773819</v>
      </c>
      <c r="H55" s="1">
        <f t="shared" si="231"/>
        <v>135.8805917</v>
      </c>
      <c r="I55" s="1">
        <f t="shared" si="231"/>
        <v>277.9257873</v>
      </c>
      <c r="J55" s="1">
        <f t="shared" ref="J55:L55" si="232">(G55-G$7)/(G$6-G$7)*2-1</f>
        <v>-0.01672167225</v>
      </c>
      <c r="K55" s="1">
        <f t="shared" si="232"/>
        <v>-0.1934269784</v>
      </c>
      <c r="L55" s="1">
        <f t="shared" si="232"/>
        <v>-0.1960977352</v>
      </c>
      <c r="M55" s="1">
        <f t="shared" ref="M55:O55" si="233">1/(1+EXP(-J55))</f>
        <v>0.4958196793</v>
      </c>
      <c r="N55" s="1">
        <f t="shared" si="233"/>
        <v>0.4517934617</v>
      </c>
      <c r="O55" s="1">
        <f t="shared" si="233"/>
        <v>0.4511320645</v>
      </c>
      <c r="P55" s="1">
        <f t="shared" si="13"/>
        <v>64.07564585</v>
      </c>
      <c r="Q55" s="1">
        <f t="shared" si="14"/>
        <v>24.24926376</v>
      </c>
      <c r="R55" s="1">
        <f t="shared" ref="R55:T55" si="234">SUMPRODUCT($M55:$O55, INDEX($I$2:$K$4, R$10, 0))+ INDEX($L$2:$L$4, R$10,1)</f>
        <v>6.869422464</v>
      </c>
      <c r="S55" s="1">
        <f t="shared" si="234"/>
        <v>-3.065293556</v>
      </c>
      <c r="T55" s="1">
        <f t="shared" si="234"/>
        <v>-0.1955474909</v>
      </c>
      <c r="U55" s="1">
        <f t="shared" ref="U55:W55" si="235">1/(1+EXP(-R55))</f>
        <v>0.9989620016</v>
      </c>
      <c r="V55" s="1">
        <f t="shared" si="235"/>
        <v>0.04456178032</v>
      </c>
      <c r="W55" s="1">
        <f t="shared" si="235"/>
        <v>0.4512683152</v>
      </c>
      <c r="X55" s="1">
        <f t="shared" si="17"/>
        <v>57.29563852</v>
      </c>
      <c r="Y55" s="1">
        <f t="shared" si="18"/>
        <v>136.9920776</v>
      </c>
      <c r="Z55" s="3">
        <f t="shared" si="19"/>
        <v>39</v>
      </c>
      <c r="AA55" s="3">
        <f t="shared" si="20"/>
        <v>1</v>
      </c>
    </row>
    <row r="56" ht="15.75" customHeight="1">
      <c r="B56" s="1">
        <v>47.6</v>
      </c>
      <c r="C56" s="1">
        <v>-3.6</v>
      </c>
      <c r="D56" s="1">
        <v>-3.3</v>
      </c>
      <c r="E56" s="1">
        <v>3.0</v>
      </c>
      <c r="F56" s="1">
        <v>69.0</v>
      </c>
      <c r="G56" s="1">
        <f t="shared" ref="G56:I56" si="236">SUMPRODUCT($B56:$E56, INDEX($B$2:$E$4, G$10, 0))+ INDEX($F$2:$F$4,G$10,1)</f>
        <v>28.32743099</v>
      </c>
      <c r="H56" s="1">
        <f t="shared" si="236"/>
        <v>132.7949887</v>
      </c>
      <c r="I56" s="1">
        <f t="shared" si="236"/>
        <v>308.2053605</v>
      </c>
      <c r="J56" s="1">
        <f t="shared" ref="J56:L56" si="237">(G56-G$7)/(G$6-G$7)*2-1</f>
        <v>-0.5815442014</v>
      </c>
      <c r="K56" s="1">
        <f t="shared" si="237"/>
        <v>-0.2422326312</v>
      </c>
      <c r="L56" s="1">
        <f t="shared" si="237"/>
        <v>0.02492914241</v>
      </c>
      <c r="M56" s="1">
        <f t="shared" ref="M56:O56" si="238">1/(1+EXP(-J56))</f>
        <v>0.3585773504</v>
      </c>
      <c r="N56" s="1">
        <f t="shared" si="238"/>
        <v>0.4397362274</v>
      </c>
      <c r="O56" s="1">
        <f t="shared" si="238"/>
        <v>0.5062319629</v>
      </c>
      <c r="P56" s="1">
        <f t="shared" si="13"/>
        <v>64.73737406</v>
      </c>
      <c r="Q56" s="1">
        <f t="shared" si="14"/>
        <v>18.16997987</v>
      </c>
      <c r="R56" s="1">
        <f t="shared" ref="R56:T56" si="239">SUMPRODUCT($M56:$O56, INDEX($I$2:$K$4, R$10, 0))+ INDEX($L$2:$L$4, R$10,1)</f>
        <v>6.69003206</v>
      </c>
      <c r="S56" s="1">
        <f t="shared" si="239"/>
        <v>-3.096614559</v>
      </c>
      <c r="T56" s="1">
        <f t="shared" si="239"/>
        <v>-0.6517359534</v>
      </c>
      <c r="U56" s="1">
        <f t="shared" ref="U56:W56" si="240">1/(1+EXP(-R56))</f>
        <v>0.9987583008</v>
      </c>
      <c r="V56" s="1">
        <f t="shared" si="240"/>
        <v>0.04324711725</v>
      </c>
      <c r="W56" s="1">
        <f t="shared" si="240"/>
        <v>0.3425984509</v>
      </c>
      <c r="X56" s="1">
        <f t="shared" si="17"/>
        <v>51.14849512</v>
      </c>
      <c r="Y56" s="1">
        <f t="shared" si="18"/>
        <v>318.6762264</v>
      </c>
      <c r="Z56" s="3">
        <f t="shared" si="19"/>
        <v>39</v>
      </c>
      <c r="AA56" s="3">
        <f t="shared" si="20"/>
        <v>1</v>
      </c>
    </row>
    <row r="57" ht="15.75" customHeight="1">
      <c r="B57" s="1">
        <v>52.4</v>
      </c>
      <c r="C57" s="1">
        <v>-6.4</v>
      </c>
      <c r="D57" s="1">
        <v>-2.5</v>
      </c>
      <c r="E57" s="1">
        <v>7.0</v>
      </c>
      <c r="F57" s="1">
        <v>69.0</v>
      </c>
      <c r="G57" s="1">
        <f t="shared" ref="G57:I57" si="241">SUMPRODUCT($B57:$E57, INDEX($B$2:$E$4, G$10, 0))+ INDEX($F$2:$F$4,G$10,1)</f>
        <v>46.3922734</v>
      </c>
      <c r="H57" s="1">
        <f t="shared" si="241"/>
        <v>177.2318663</v>
      </c>
      <c r="I57" s="1">
        <f t="shared" si="241"/>
        <v>374.9833024</v>
      </c>
      <c r="J57" s="1">
        <f t="shared" ref="J57:L57" si="242">(G57-G$7)/(G$6-G$7)*2-1</f>
        <v>0.3929668403</v>
      </c>
      <c r="K57" s="1">
        <f t="shared" si="242"/>
        <v>0.46063512</v>
      </c>
      <c r="L57" s="1">
        <f t="shared" si="242"/>
        <v>0.5123772283</v>
      </c>
      <c r="M57" s="1">
        <f t="shared" ref="M57:O57" si="243">1/(1+EXP(-J57))</f>
        <v>0.5969967012</v>
      </c>
      <c r="N57" s="1">
        <f t="shared" si="243"/>
        <v>0.6131648334</v>
      </c>
      <c r="O57" s="1">
        <f t="shared" si="243"/>
        <v>0.6253635867</v>
      </c>
      <c r="P57" s="1">
        <f t="shared" si="13"/>
        <v>79.29976005</v>
      </c>
      <c r="Q57" s="1">
        <f t="shared" si="14"/>
        <v>106.0850572</v>
      </c>
      <c r="R57" s="1">
        <f t="shared" ref="R57:T57" si="244">SUMPRODUCT($M57:$O57, INDEX($I$2:$K$4, R$10, 0))+ INDEX($L$2:$L$4, R$10,1)</f>
        <v>7.753026753</v>
      </c>
      <c r="S57" s="1">
        <f t="shared" si="244"/>
        <v>-2.921271816</v>
      </c>
      <c r="T57" s="1">
        <f t="shared" si="244"/>
        <v>1.925602674</v>
      </c>
      <c r="U57" s="1">
        <f t="shared" ref="U57:W57" si="245">1/(1+EXP(-R57))</f>
        <v>0.9995707436</v>
      </c>
      <c r="V57" s="1">
        <f t="shared" si="245"/>
        <v>0.05111198318</v>
      </c>
      <c r="W57" s="1">
        <f t="shared" si="245"/>
        <v>0.872761903</v>
      </c>
      <c r="X57" s="1">
        <f t="shared" si="17"/>
        <v>81.18269577</v>
      </c>
      <c r="Y57" s="1">
        <f t="shared" si="18"/>
        <v>148.4180763</v>
      </c>
      <c r="Z57" s="3">
        <f t="shared" si="19"/>
        <v>84</v>
      </c>
      <c r="AA57" s="3">
        <f t="shared" si="20"/>
        <v>1</v>
      </c>
    </row>
    <row r="58" ht="15.75" customHeight="1">
      <c r="B58" s="1">
        <v>52.4</v>
      </c>
      <c r="C58" s="1">
        <v>-6.3</v>
      </c>
      <c r="D58" s="1">
        <v>-4.5</v>
      </c>
      <c r="E58" s="1">
        <v>5.0</v>
      </c>
      <c r="F58" s="1">
        <v>69.0</v>
      </c>
      <c r="G58" s="1">
        <f t="shared" ref="G58:I58" si="246">SUMPRODUCT($B58:$E58, INDEX($B$2:$E$4, G$10, 0))+ INDEX($F$2:$F$4,G$10,1)</f>
        <v>35.58817047</v>
      </c>
      <c r="H58" s="1">
        <f t="shared" si="246"/>
        <v>154.2689946</v>
      </c>
      <c r="I58" s="1">
        <f t="shared" si="246"/>
        <v>335.0958289</v>
      </c>
      <c r="J58" s="1">
        <f t="shared" ref="J58:L58" si="247">(G58-G$7)/(G$6-G$7)*2-1</f>
        <v>-0.1898623572</v>
      </c>
      <c r="K58" s="1">
        <f t="shared" si="247"/>
        <v>0.09742638809</v>
      </c>
      <c r="L58" s="1">
        <f t="shared" si="247"/>
        <v>0.2212171232</v>
      </c>
      <c r="M58" s="1">
        <f t="shared" ref="M58:O58" si="248">1/(1+EXP(-J58))</f>
        <v>0.4526764841</v>
      </c>
      <c r="N58" s="1">
        <f t="shared" si="248"/>
        <v>0.5243373494</v>
      </c>
      <c r="O58" s="1">
        <f t="shared" si="248"/>
        <v>0.5550798435</v>
      </c>
      <c r="P58" s="1">
        <f t="shared" si="13"/>
        <v>71.05894345</v>
      </c>
      <c r="Q58" s="1">
        <f t="shared" si="14"/>
        <v>4.239248112</v>
      </c>
      <c r="R58" s="1">
        <f t="shared" ref="R58:T58" si="249">SUMPRODUCT($M58:$O58, INDEX($I$2:$K$4, R$10, 0))+ INDEX($L$2:$L$4, R$10,1)</f>
        <v>7.145458213</v>
      </c>
      <c r="S58" s="1">
        <f t="shared" si="249"/>
        <v>-3.021652748</v>
      </c>
      <c r="T58" s="1">
        <f t="shared" si="249"/>
        <v>0.4549320883</v>
      </c>
      <c r="U58" s="1">
        <f t="shared" ref="U58:W58" si="250">1/(1+EXP(-R58))</f>
        <v>0.9992121843</v>
      </c>
      <c r="V58" s="1">
        <f t="shared" si="250"/>
        <v>0.04645720463</v>
      </c>
      <c r="W58" s="1">
        <f t="shared" si="250"/>
        <v>0.6118112402</v>
      </c>
      <c r="X58" s="1">
        <f t="shared" si="17"/>
        <v>66.37482993</v>
      </c>
      <c r="Y58" s="1">
        <f t="shared" si="18"/>
        <v>6.891517898</v>
      </c>
      <c r="Z58" s="3">
        <f t="shared" si="19"/>
        <v>69</v>
      </c>
      <c r="AA58" s="3">
        <f t="shared" si="20"/>
        <v>0</v>
      </c>
    </row>
    <row r="59" ht="15.75" customHeight="1">
      <c r="B59" s="1">
        <v>52.4</v>
      </c>
      <c r="C59" s="1">
        <v>-5.9</v>
      </c>
      <c r="D59" s="1">
        <v>-4.5</v>
      </c>
      <c r="E59" s="1">
        <v>5.0</v>
      </c>
      <c r="F59" s="1">
        <v>69.0</v>
      </c>
      <c r="G59" s="1">
        <f t="shared" ref="G59:I59" si="251">SUMPRODUCT($B59:$E59, INDEX($B$2:$E$4, G$10, 0))+ INDEX($F$2:$F$4,G$10,1)</f>
        <v>34.52831614</v>
      </c>
      <c r="H59" s="1">
        <f t="shared" si="251"/>
        <v>151.6295047</v>
      </c>
      <c r="I59" s="1">
        <f t="shared" si="251"/>
        <v>333.1072481</v>
      </c>
      <c r="J59" s="1">
        <f t="shared" ref="J59:L59" si="252">(G59-G$7)/(G$6-G$7)*2-1</f>
        <v>-0.2470363817</v>
      </c>
      <c r="K59" s="1">
        <f t="shared" si="252"/>
        <v>0.05567700233</v>
      </c>
      <c r="L59" s="1">
        <f t="shared" si="252"/>
        <v>0.2067014029</v>
      </c>
      <c r="M59" s="1">
        <f t="shared" ref="M59:O59" si="253">1/(1+EXP(-J59))</f>
        <v>0.4385530805</v>
      </c>
      <c r="N59" s="1">
        <f t="shared" si="253"/>
        <v>0.513915656</v>
      </c>
      <c r="O59" s="1">
        <f t="shared" si="253"/>
        <v>0.5514921456</v>
      </c>
      <c r="P59" s="1">
        <f t="shared" si="13"/>
        <v>70.37263147</v>
      </c>
      <c r="Q59" s="1">
        <f t="shared" si="14"/>
        <v>1.884117166</v>
      </c>
      <c r="R59" s="1">
        <f t="shared" ref="R59:T59" si="254">SUMPRODUCT($M59:$O59, INDEX($I$2:$K$4, R$10, 0))+ INDEX($L$2:$L$4, R$10,1)</f>
        <v>7.089439538</v>
      </c>
      <c r="S59" s="1">
        <f t="shared" si="254"/>
        <v>-3.030917777</v>
      </c>
      <c r="T59" s="1">
        <f t="shared" si="254"/>
        <v>0.3180291593</v>
      </c>
      <c r="U59" s="1">
        <f t="shared" ref="U59:W59" si="255">1/(1+EXP(-R59))</f>
        <v>0.9991668302</v>
      </c>
      <c r="V59" s="1">
        <f t="shared" si="255"/>
        <v>0.04604849412</v>
      </c>
      <c r="W59" s="1">
        <f t="shared" si="255"/>
        <v>0.5788438682</v>
      </c>
      <c r="X59" s="1">
        <f t="shared" si="17"/>
        <v>64.50988148</v>
      </c>
      <c r="Y59" s="1">
        <f t="shared" si="18"/>
        <v>20.16116436</v>
      </c>
      <c r="Z59" s="3">
        <f t="shared" si="19"/>
        <v>69</v>
      </c>
      <c r="AA59" s="3">
        <f t="shared" si="20"/>
        <v>0</v>
      </c>
    </row>
    <row r="60" ht="15.75" customHeight="1">
      <c r="B60" s="1">
        <v>42.9</v>
      </c>
      <c r="C60" s="1">
        <v>-5.3</v>
      </c>
      <c r="D60" s="1">
        <v>-2.3</v>
      </c>
      <c r="E60" s="1">
        <v>7.0</v>
      </c>
      <c r="F60" s="1">
        <v>69.0</v>
      </c>
      <c r="G60" s="1">
        <f t="shared" ref="G60:I60" si="256">SUMPRODUCT($B60:$E60, INDEX($B$2:$E$4, G$10, 0))+ INDEX($F$2:$F$4,G$10,1)</f>
        <v>38.69920335</v>
      </c>
      <c r="H60" s="1">
        <f t="shared" si="256"/>
        <v>144.4203912</v>
      </c>
      <c r="I60" s="1">
        <f t="shared" si="256"/>
        <v>303.5496979</v>
      </c>
      <c r="J60" s="1">
        <f t="shared" ref="J60:L60" si="257">(G60-G$7)/(G$6-G$7)*2-1</f>
        <v>-0.02203715156</v>
      </c>
      <c r="K60" s="1">
        <f t="shared" si="257"/>
        <v>-0.05835111263</v>
      </c>
      <c r="L60" s="1">
        <f t="shared" si="257"/>
        <v>-0.00905504097</v>
      </c>
      <c r="M60" s="1">
        <f t="shared" ref="M60:O60" si="258">1/(1+EXP(-J60))</f>
        <v>0.4944909351</v>
      </c>
      <c r="N60" s="1">
        <f t="shared" si="258"/>
        <v>0.4854163595</v>
      </c>
      <c r="O60" s="1">
        <f t="shared" si="258"/>
        <v>0.4977362552</v>
      </c>
      <c r="P60" s="1">
        <f t="shared" si="13"/>
        <v>67.4820792</v>
      </c>
      <c r="Q60" s="1">
        <f t="shared" si="14"/>
        <v>2.304083554</v>
      </c>
      <c r="R60" s="1">
        <f t="shared" ref="R60:T60" si="259">SUMPRODUCT($M60:$O60, INDEX($I$2:$K$4, R$10, 0))+ INDEX($L$2:$L$4, R$10,1)</f>
        <v>7.030868843</v>
      </c>
      <c r="S60" s="1">
        <f t="shared" si="259"/>
        <v>-3.039333539</v>
      </c>
      <c r="T60" s="1">
        <f t="shared" si="259"/>
        <v>0.1879719805</v>
      </c>
      <c r="U60" s="1">
        <f t="shared" ref="U60:W60" si="260">1/(1+EXP(-R60))</f>
        <v>0.9991166178</v>
      </c>
      <c r="V60" s="1">
        <f t="shared" si="260"/>
        <v>0.04568021536</v>
      </c>
      <c r="W60" s="1">
        <f t="shared" si="260"/>
        <v>0.5468551135</v>
      </c>
      <c r="X60" s="1">
        <f t="shared" si="17"/>
        <v>62.70111905</v>
      </c>
      <c r="Y60" s="1">
        <f t="shared" si="18"/>
        <v>39.67590121</v>
      </c>
      <c r="Z60" s="3">
        <f t="shared" si="19"/>
        <v>69</v>
      </c>
      <c r="AA60" s="3">
        <f t="shared" si="20"/>
        <v>0</v>
      </c>
    </row>
    <row r="61" ht="15.75" customHeight="1">
      <c r="B61" s="1">
        <v>42.9</v>
      </c>
      <c r="C61" s="1">
        <v>-5.7</v>
      </c>
      <c r="D61" s="1">
        <v>-2.4</v>
      </c>
      <c r="E61" s="1">
        <v>7.0</v>
      </c>
      <c r="F61" s="1">
        <v>69.0</v>
      </c>
      <c r="G61" s="1">
        <f t="shared" ref="G61:I61" si="261">SUMPRODUCT($B61:$E61, INDEX($B$2:$E$4, G$10, 0))+ INDEX($F$2:$F$4,G$10,1)</f>
        <v>39.34450395</v>
      </c>
      <c r="H61" s="1">
        <f t="shared" si="261"/>
        <v>146.0415845</v>
      </c>
      <c r="I61" s="1">
        <f t="shared" si="261"/>
        <v>303.6262595</v>
      </c>
      <c r="J61" s="1">
        <f t="shared" ref="J61:L61" si="262">(G61-G$7)/(G$6-G$7)*2-1</f>
        <v>0.01277370069</v>
      </c>
      <c r="K61" s="1">
        <f t="shared" si="262"/>
        <v>-0.03270834666</v>
      </c>
      <c r="L61" s="1">
        <f t="shared" si="262"/>
        <v>-0.008496176333</v>
      </c>
      <c r="M61" s="1">
        <f t="shared" ref="M61:O61" si="263">1/(1+EXP(-J61))</f>
        <v>0.5031933818</v>
      </c>
      <c r="N61" s="1">
        <f t="shared" si="263"/>
        <v>0.4918236423</v>
      </c>
      <c r="O61" s="1">
        <f t="shared" si="263"/>
        <v>0.4978759687</v>
      </c>
      <c r="P61" s="1">
        <f t="shared" si="13"/>
        <v>67.79666632</v>
      </c>
      <c r="Q61" s="1">
        <f t="shared" si="14"/>
        <v>1.448011949</v>
      </c>
      <c r="R61" s="1">
        <f t="shared" ref="R61:T61" si="264">SUMPRODUCT($M61:$O61, INDEX($I$2:$K$4, R$10, 0))+ INDEX($L$2:$L$4, R$10,1)</f>
        <v>7.061033111</v>
      </c>
      <c r="S61" s="1">
        <f t="shared" si="264"/>
        <v>-3.034327045</v>
      </c>
      <c r="T61" s="1">
        <f t="shared" si="264"/>
        <v>0.2623993442</v>
      </c>
      <c r="U61" s="1">
        <f t="shared" ref="U61:W61" si="265">1/(1+EXP(-R61))</f>
        <v>0.999142844</v>
      </c>
      <c r="V61" s="1">
        <f t="shared" si="265"/>
        <v>0.04589896324</v>
      </c>
      <c r="W61" s="1">
        <f t="shared" si="265"/>
        <v>0.565226012</v>
      </c>
      <c r="X61" s="1">
        <f t="shared" si="17"/>
        <v>63.74007413</v>
      </c>
      <c r="Y61" s="1">
        <f t="shared" si="18"/>
        <v>27.66682015</v>
      </c>
      <c r="Z61" s="3">
        <f t="shared" si="19"/>
        <v>69</v>
      </c>
      <c r="AA61" s="3">
        <f t="shared" si="20"/>
        <v>0</v>
      </c>
    </row>
    <row r="62" ht="15.75" customHeight="1">
      <c r="B62" s="1">
        <v>52.4</v>
      </c>
      <c r="C62" s="1">
        <v>-3.6</v>
      </c>
      <c r="D62" s="1">
        <v>-2.5</v>
      </c>
      <c r="E62" s="1">
        <v>7.0</v>
      </c>
      <c r="F62" s="1">
        <v>69.0</v>
      </c>
      <c r="G62" s="1">
        <f t="shared" ref="G62:I62" si="266">SUMPRODUCT($B62:$E62, INDEX($B$2:$E$4, G$10, 0))+ INDEX($F$2:$F$4,G$10,1)</f>
        <v>38.97329313</v>
      </c>
      <c r="H62" s="1">
        <f t="shared" si="266"/>
        <v>158.7554368</v>
      </c>
      <c r="I62" s="1">
        <f t="shared" si="266"/>
        <v>361.0632365</v>
      </c>
      <c r="J62" s="1">
        <f t="shared" ref="J62:L62" si="267">(G62-G$7)/(G$6-G$7)*2-1</f>
        <v>-0.007251331103</v>
      </c>
      <c r="K62" s="1">
        <f t="shared" si="267"/>
        <v>0.1683894197</v>
      </c>
      <c r="L62" s="1">
        <f t="shared" si="267"/>
        <v>0.4107671866</v>
      </c>
      <c r="M62" s="1">
        <f t="shared" ref="M62:O62" si="268">1/(1+EXP(-J62))</f>
        <v>0.4981871752</v>
      </c>
      <c r="N62" s="1">
        <f t="shared" si="268"/>
        <v>0.5419981636</v>
      </c>
      <c r="O62" s="1">
        <f t="shared" si="268"/>
        <v>0.6012718215</v>
      </c>
      <c r="P62" s="1">
        <f t="shared" si="13"/>
        <v>74.60247113</v>
      </c>
      <c r="Q62" s="1">
        <f t="shared" si="14"/>
        <v>31.38768279</v>
      </c>
      <c r="R62" s="1">
        <f t="shared" ref="R62:T62" si="269">SUMPRODUCT($M62:$O62, INDEX($I$2:$K$4, R$10, 0))+ INDEX($L$2:$L$4, R$10,1)</f>
        <v>7.366681286</v>
      </c>
      <c r="S62" s="1">
        <f t="shared" si="269"/>
        <v>-2.985196158</v>
      </c>
      <c r="T62" s="1">
        <f t="shared" si="269"/>
        <v>0.9813310662</v>
      </c>
      <c r="U62" s="1">
        <f t="shared" ref="U62:W62" si="270">1/(1+EXP(-R62))</f>
        <v>0.9993684371</v>
      </c>
      <c r="V62" s="1">
        <f t="shared" si="270"/>
        <v>0.04809915993</v>
      </c>
      <c r="W62" s="1">
        <f t="shared" si="270"/>
        <v>0.7273722491</v>
      </c>
      <c r="X62" s="1">
        <f t="shared" si="17"/>
        <v>72.91880511</v>
      </c>
      <c r="Y62" s="1">
        <f t="shared" si="18"/>
        <v>15.35703351</v>
      </c>
      <c r="Z62" s="3">
        <f t="shared" si="19"/>
        <v>69</v>
      </c>
      <c r="AA62" s="3">
        <f t="shared" si="20"/>
        <v>0</v>
      </c>
    </row>
    <row r="63" ht="15.75" customHeight="1">
      <c r="B63" s="1">
        <v>33.3</v>
      </c>
      <c r="C63" s="1">
        <v>-3.3</v>
      </c>
      <c r="D63" s="1">
        <v>-1.3</v>
      </c>
      <c r="E63" s="1">
        <v>7.0</v>
      </c>
      <c r="F63" s="1">
        <v>69.0</v>
      </c>
      <c r="G63" s="1">
        <f t="shared" ref="G63:I63" si="271">SUMPRODUCT($B63:$E63, INDEX($B$2:$E$4, G$10, 0))+ INDEX($F$2:$F$4,G$10,1)</f>
        <v>31.87886372</v>
      </c>
      <c r="H63" s="1">
        <f t="shared" si="271"/>
        <v>113.5260218</v>
      </c>
      <c r="I63" s="1">
        <f t="shared" si="271"/>
        <v>242.2033185</v>
      </c>
      <c r="J63" s="1">
        <f t="shared" ref="J63:L63" si="272">(G63-G$7)/(G$6-G$7)*2-1</f>
        <v>-0.3899615498</v>
      </c>
      <c r="K63" s="1">
        <f t="shared" si="272"/>
        <v>-0.5470140698</v>
      </c>
      <c r="L63" s="1">
        <f t="shared" si="272"/>
        <v>-0.4568552333</v>
      </c>
      <c r="M63" s="1">
        <f t="shared" ref="M63:O63" si="273">1/(1+EXP(-J63))</f>
        <v>0.4037265568</v>
      </c>
      <c r="N63" s="1">
        <f t="shared" si="273"/>
        <v>0.3665574447</v>
      </c>
      <c r="O63" s="1">
        <f t="shared" si="273"/>
        <v>0.3877321146</v>
      </c>
      <c r="P63" s="1">
        <f t="shared" si="13"/>
        <v>57.00428388</v>
      </c>
      <c r="Q63" s="1">
        <f t="shared" si="14"/>
        <v>143.8972053</v>
      </c>
      <c r="R63" s="1">
        <f t="shared" ref="R63:T63" si="274">SUMPRODUCT($M63:$O63, INDEX($I$2:$K$4, R$10, 0))+ INDEX($L$2:$L$4, R$10,1)</f>
        <v>6.386302112</v>
      </c>
      <c r="S63" s="1">
        <f t="shared" si="274"/>
        <v>-3.144687798</v>
      </c>
      <c r="T63" s="1">
        <f t="shared" si="274"/>
        <v>-1.36503274</v>
      </c>
      <c r="U63" s="1">
        <f t="shared" ref="U63:W63" si="275">1/(1+EXP(-R63))</f>
        <v>0.998318359</v>
      </c>
      <c r="V63" s="1">
        <f t="shared" si="275"/>
        <v>0.04130110476</v>
      </c>
      <c r="W63" s="1">
        <f t="shared" si="275"/>
        <v>0.2034235675</v>
      </c>
      <c r="X63" s="1">
        <f t="shared" si="17"/>
        <v>43.26463531</v>
      </c>
      <c r="Y63" s="1">
        <f t="shared" si="18"/>
        <v>662.3089959</v>
      </c>
      <c r="Z63" s="3">
        <f t="shared" si="19"/>
        <v>39</v>
      </c>
      <c r="AA63" s="3">
        <f t="shared" si="20"/>
        <v>1</v>
      </c>
    </row>
    <row r="64" ht="15.75" customHeight="1">
      <c r="B64" s="1">
        <v>52.4</v>
      </c>
      <c r="C64" s="1">
        <v>-6.3</v>
      </c>
      <c r="D64" s="1">
        <v>-2.5</v>
      </c>
      <c r="E64" s="1">
        <v>7.0</v>
      </c>
      <c r="F64" s="1">
        <v>69.0</v>
      </c>
      <c r="G64" s="1">
        <f t="shared" ref="G64:I64" si="276">SUMPRODUCT($B64:$E64, INDEX($B$2:$E$4, G$10, 0))+ INDEX($F$2:$F$4,G$10,1)</f>
        <v>46.12730982</v>
      </c>
      <c r="H64" s="1">
        <f t="shared" si="276"/>
        <v>176.5719938</v>
      </c>
      <c r="I64" s="1">
        <f t="shared" si="276"/>
        <v>374.4861572</v>
      </c>
      <c r="J64" s="1">
        <f t="shared" ref="J64:L64" si="277">(G64-G$7)/(G$6-G$7)*2-1</f>
        <v>0.3786733342</v>
      </c>
      <c r="K64" s="1">
        <f t="shared" si="277"/>
        <v>0.4501977736</v>
      </c>
      <c r="L64" s="1">
        <f t="shared" si="277"/>
        <v>0.5087482983</v>
      </c>
      <c r="M64" s="1">
        <f t="shared" ref="M64:O64" si="278">1/(1+EXP(-J64))</f>
        <v>0.5935530875</v>
      </c>
      <c r="N64" s="1">
        <f t="shared" si="278"/>
        <v>0.6106862554</v>
      </c>
      <c r="O64" s="1">
        <f t="shared" si="278"/>
        <v>0.6245130006</v>
      </c>
      <c r="P64" s="1">
        <f t="shared" si="13"/>
        <v>79.13553263</v>
      </c>
      <c r="Q64" s="1">
        <f t="shared" si="14"/>
        <v>102.7290217</v>
      </c>
      <c r="R64" s="1">
        <f t="shared" ref="R64:T64" si="279">SUMPRODUCT($M64:$O64, INDEX($I$2:$K$4, R$10, 0))+ INDEX($L$2:$L$4, R$10,1)</f>
        <v>7.739542605</v>
      </c>
      <c r="S64" s="1">
        <f t="shared" si="279"/>
        <v>-2.923502813</v>
      </c>
      <c r="T64" s="1">
        <f t="shared" si="279"/>
        <v>1.892649919</v>
      </c>
      <c r="U64" s="1">
        <f t="shared" ref="U64:W64" si="280">1/(1+EXP(-R64))</f>
        <v>0.9995649188</v>
      </c>
      <c r="V64" s="1">
        <f t="shared" si="280"/>
        <v>0.05100388914</v>
      </c>
      <c r="W64" s="1">
        <f t="shared" si="280"/>
        <v>0.8690573775</v>
      </c>
      <c r="X64" s="1">
        <f t="shared" si="17"/>
        <v>80.97110668</v>
      </c>
      <c r="Y64" s="1">
        <f t="shared" si="18"/>
        <v>143.3073951</v>
      </c>
      <c r="Z64" s="3">
        <f t="shared" si="19"/>
        <v>84</v>
      </c>
      <c r="AA64" s="3">
        <f t="shared" si="20"/>
        <v>1</v>
      </c>
    </row>
    <row r="65" ht="15.75" customHeight="1">
      <c r="B65" s="1">
        <v>47.6</v>
      </c>
      <c r="C65" s="1">
        <v>-5.7</v>
      </c>
      <c r="D65" s="1">
        <v>-2.5</v>
      </c>
      <c r="E65" s="1">
        <v>7.0</v>
      </c>
      <c r="F65" s="1">
        <v>69.0</v>
      </c>
      <c r="G65" s="1">
        <f t="shared" ref="G65:I65" si="281">SUMPRODUCT($B65:$E65, INDEX($B$2:$E$4, G$10, 0))+ INDEX($F$2:$F$4,G$10,1)</f>
        <v>41.70422571</v>
      </c>
      <c r="H65" s="1">
        <f t="shared" si="281"/>
        <v>158.6728156</v>
      </c>
      <c r="I65" s="1">
        <f t="shared" si="281"/>
        <v>336.2414524</v>
      </c>
      <c r="J65" s="1">
        <f t="shared" ref="J65:L65" si="282">(G65-G$7)/(G$6-G$7)*2-1</f>
        <v>0.1400692984</v>
      </c>
      <c r="K65" s="1">
        <f t="shared" si="282"/>
        <v>0.1670825818</v>
      </c>
      <c r="L65" s="1">
        <f t="shared" si="282"/>
        <v>0.2295796443</v>
      </c>
      <c r="M65" s="1">
        <f t="shared" ref="M65:O65" si="283">1/(1+EXP(-J65))</f>
        <v>0.5349601851</v>
      </c>
      <c r="N65" s="1">
        <f t="shared" si="283"/>
        <v>0.5416737415</v>
      </c>
      <c r="O65" s="1">
        <f t="shared" si="283"/>
        <v>0.5571441408</v>
      </c>
      <c r="P65" s="1">
        <f t="shared" si="13"/>
        <v>72.79018394</v>
      </c>
      <c r="Q65" s="1">
        <f t="shared" si="14"/>
        <v>14.36549427</v>
      </c>
      <c r="R65" s="1">
        <f t="shared" ref="R65:T65" si="284">SUMPRODUCT($M65:$O65, INDEX($I$2:$K$4, R$10, 0))+ INDEX($L$2:$L$4, R$10,1)</f>
        <v>7.346371718</v>
      </c>
      <c r="S65" s="1">
        <f t="shared" si="284"/>
        <v>-2.987829973</v>
      </c>
      <c r="T65" s="1">
        <f t="shared" si="284"/>
        <v>0.9460275901</v>
      </c>
      <c r="U65" s="1">
        <f t="shared" ref="U65:W65" si="285">1/(1+EXP(-R65))</f>
        <v>0.9993554876</v>
      </c>
      <c r="V65" s="1">
        <f t="shared" si="285"/>
        <v>0.04797871246</v>
      </c>
      <c r="W65" s="1">
        <f t="shared" si="285"/>
        <v>0.720315593</v>
      </c>
      <c r="X65" s="1">
        <f t="shared" si="17"/>
        <v>72.51849731</v>
      </c>
      <c r="Y65" s="1">
        <f t="shared" si="18"/>
        <v>12.37982333</v>
      </c>
      <c r="Z65" s="3">
        <f t="shared" si="19"/>
        <v>69</v>
      </c>
      <c r="AA65" s="3">
        <f t="shared" si="20"/>
        <v>0</v>
      </c>
    </row>
    <row r="66" ht="15.75" customHeight="1">
      <c r="B66" s="1">
        <v>42.9</v>
      </c>
      <c r="C66" s="1">
        <v>-4.4</v>
      </c>
      <c r="D66" s="1">
        <v>-3.4</v>
      </c>
      <c r="E66" s="1">
        <v>5.0</v>
      </c>
      <c r="F66" s="1">
        <v>69.0</v>
      </c>
      <c r="G66" s="1">
        <f t="shared" ref="G66:I66" si="286">SUMPRODUCT($B66:$E66, INDEX($B$2:$E$4, G$10, 0))+ INDEX($F$2:$F$4,G$10,1)</f>
        <v>29.50637529</v>
      </c>
      <c r="H66" s="1">
        <f t="shared" si="286"/>
        <v>125.3432098</v>
      </c>
      <c r="I66" s="1">
        <f t="shared" si="286"/>
        <v>276.8932354</v>
      </c>
      <c r="J66" s="1">
        <f t="shared" ref="J66:L66" si="287">(G66-G$7)/(G$6-G$7)*2-1</f>
        <v>-0.5179458479</v>
      </c>
      <c r="K66" s="1">
        <f t="shared" si="287"/>
        <v>-0.360099038</v>
      </c>
      <c r="L66" s="1">
        <f t="shared" si="287"/>
        <v>-0.2036348861</v>
      </c>
      <c r="M66" s="1">
        <f t="shared" ref="M66:O66" si="288">1/(1+EXP(-J66))</f>
        <v>0.3733326885</v>
      </c>
      <c r="N66" s="1">
        <f t="shared" si="288"/>
        <v>0.4109355918</v>
      </c>
      <c r="O66" s="1">
        <f t="shared" si="288"/>
        <v>0.4492664721</v>
      </c>
      <c r="P66" s="1">
        <f t="shared" si="13"/>
        <v>61.11525301</v>
      </c>
      <c r="Q66" s="1">
        <f t="shared" si="14"/>
        <v>62.16923513</v>
      </c>
      <c r="R66" s="1">
        <f t="shared" ref="R66:T66" si="289">SUMPRODUCT($M66:$O66, INDEX($I$2:$K$4, R$10, 0))+ INDEX($L$2:$L$4, R$10,1)</f>
        <v>6.54298677</v>
      </c>
      <c r="S66" s="1">
        <f t="shared" si="289"/>
        <v>-3.120025878</v>
      </c>
      <c r="T66" s="1">
        <f t="shared" si="289"/>
        <v>-0.9960771701</v>
      </c>
      <c r="U66" s="1">
        <f t="shared" ref="U66:W66" si="290">1/(1+EXP(-R66))</f>
        <v>0.9985618906</v>
      </c>
      <c r="V66" s="1">
        <f t="shared" si="290"/>
        <v>0.04228872374</v>
      </c>
      <c r="W66" s="1">
        <f t="shared" si="290"/>
        <v>0.2697133953</v>
      </c>
      <c r="X66" s="1">
        <f t="shared" si="17"/>
        <v>47.02223264</v>
      </c>
      <c r="Y66" s="1">
        <f t="shared" si="18"/>
        <v>483.022258</v>
      </c>
      <c r="Z66" s="3">
        <f t="shared" si="19"/>
        <v>39</v>
      </c>
      <c r="AA66" s="3">
        <f t="shared" si="20"/>
        <v>1</v>
      </c>
    </row>
    <row r="67" ht="15.75" customHeight="1">
      <c r="B67" s="1">
        <v>38.1</v>
      </c>
      <c r="C67" s="1">
        <v>-5.0</v>
      </c>
      <c r="D67" s="1">
        <v>-0.6</v>
      </c>
      <c r="E67" s="1">
        <v>7.0</v>
      </c>
      <c r="F67" s="1">
        <v>69.0</v>
      </c>
      <c r="G67" s="1">
        <f t="shared" ref="G67:I67" si="291">SUMPRODUCT($B67:$E67, INDEX($B$2:$E$4, G$10, 0))+ INDEX($F$2:$F$4,G$10,1)</f>
        <v>42.1184233</v>
      </c>
      <c r="H67" s="1">
        <f t="shared" si="291"/>
        <v>145.8118739</v>
      </c>
      <c r="I67" s="1">
        <f t="shared" si="291"/>
        <v>299.3007549</v>
      </c>
      <c r="J67" s="1">
        <f t="shared" ref="J67:L67" si="292">(G67-G$7)/(G$6-G$7)*2-1</f>
        <v>0.1624132591</v>
      </c>
      <c r="K67" s="1">
        <f t="shared" si="292"/>
        <v>-0.03634172868</v>
      </c>
      <c r="L67" s="1">
        <f t="shared" si="292"/>
        <v>-0.04007035936</v>
      </c>
      <c r="M67" s="1">
        <f t="shared" ref="M67:O67" si="293">1/(1+EXP(-J67))</f>
        <v>0.5405142965</v>
      </c>
      <c r="N67" s="1">
        <f t="shared" si="293"/>
        <v>0.4909155676</v>
      </c>
      <c r="O67" s="1">
        <f t="shared" si="293"/>
        <v>0.4899837503</v>
      </c>
      <c r="P67" s="1">
        <f t="shared" si="13"/>
        <v>67.86199876</v>
      </c>
      <c r="Q67" s="1">
        <f t="shared" si="14"/>
        <v>1.295046826</v>
      </c>
      <c r="R67" s="1">
        <f t="shared" ref="R67:T67" si="294">SUMPRODUCT($M67:$O67, INDEX($I$2:$K$4, R$10, 0))+ INDEX($L$2:$L$4, R$10,1)</f>
        <v>7.116312341</v>
      </c>
      <c r="S67" s="1">
        <f t="shared" si="294"/>
        <v>-3.024752987</v>
      </c>
      <c r="T67" s="1">
        <f t="shared" si="294"/>
        <v>0.3992770436</v>
      </c>
      <c r="U67" s="1">
        <f t="shared" ref="U67:W67" si="295">1/(1+EXP(-R67))</f>
        <v>0.9991889037</v>
      </c>
      <c r="V67" s="1">
        <f t="shared" si="295"/>
        <v>0.0463200603</v>
      </c>
      <c r="W67" s="1">
        <f t="shared" si="295"/>
        <v>0.5985139497</v>
      </c>
      <c r="X67" s="1">
        <f t="shared" si="17"/>
        <v>65.62343341</v>
      </c>
      <c r="Y67" s="1">
        <f t="shared" si="18"/>
        <v>11.40120196</v>
      </c>
      <c r="Z67" s="3">
        <f t="shared" si="19"/>
        <v>69</v>
      </c>
      <c r="AA67" s="3">
        <f t="shared" si="20"/>
        <v>0</v>
      </c>
    </row>
    <row r="68" ht="15.75" customHeight="1">
      <c r="B68" s="1">
        <v>42.9</v>
      </c>
      <c r="C68" s="1">
        <v>-6.4</v>
      </c>
      <c r="D68" s="1">
        <v>-4.5</v>
      </c>
      <c r="E68" s="1">
        <v>5.0</v>
      </c>
      <c r="F68" s="1">
        <v>69.0</v>
      </c>
      <c r="G68" s="1">
        <f t="shared" ref="G68:I68" si="296">SUMPRODUCT($B68:$E68, INDEX($B$2:$E$4, G$10, 0))+ INDEX($F$2:$F$4,G$10,1)</f>
        <v>30.24555594</v>
      </c>
      <c r="H68" s="1">
        <f t="shared" si="296"/>
        <v>127.339396</v>
      </c>
      <c r="I68" s="1">
        <f t="shared" si="296"/>
        <v>265.8039286</v>
      </c>
      <c r="J68" s="1">
        <f t="shared" ref="J68:L68" si="297">(G68-G$7)/(G$6-G$7)*2-1</f>
        <v>-0.4780706201</v>
      </c>
      <c r="K68" s="1">
        <f t="shared" si="297"/>
        <v>-0.3285249268</v>
      </c>
      <c r="L68" s="1">
        <f t="shared" si="297"/>
        <v>-0.2845816966</v>
      </c>
      <c r="M68" s="1">
        <f t="shared" ref="M68:O68" si="298">1/(1+EXP(-J68))</f>
        <v>0.3827078236</v>
      </c>
      <c r="N68" s="1">
        <f t="shared" si="298"/>
        <v>0.4185995744</v>
      </c>
      <c r="O68" s="1">
        <f t="shared" si="298"/>
        <v>0.4293308719</v>
      </c>
      <c r="P68" s="1">
        <f t="shared" si="13"/>
        <v>60.43042862</v>
      </c>
      <c r="Q68" s="1">
        <f t="shared" si="14"/>
        <v>73.43755363</v>
      </c>
      <c r="R68" s="1">
        <f t="shared" ref="R68:T68" si="299">SUMPRODUCT($M68:$O68, INDEX($I$2:$K$4, R$10, 0))+ INDEX($L$2:$L$4, R$10,1)</f>
        <v>6.53505009</v>
      </c>
      <c r="S68" s="1">
        <f t="shared" si="299"/>
        <v>-3.121158191</v>
      </c>
      <c r="T68" s="1">
        <f t="shared" si="299"/>
        <v>-1.007695063</v>
      </c>
      <c r="U68" s="1">
        <f t="shared" ref="U68:W68" si="300">1/(1+EXP(-R68))</f>
        <v>0.9985504479</v>
      </c>
      <c r="V68" s="1">
        <f t="shared" si="300"/>
        <v>0.04224288839</v>
      </c>
      <c r="W68" s="1">
        <f t="shared" si="300"/>
        <v>0.2674311728</v>
      </c>
      <c r="X68" s="1">
        <f t="shared" si="17"/>
        <v>46.89243775</v>
      </c>
      <c r="Y68" s="1">
        <f t="shared" si="18"/>
        <v>488.7443086</v>
      </c>
      <c r="Z68" s="3">
        <f t="shared" si="19"/>
        <v>39</v>
      </c>
      <c r="AA68" s="3">
        <f t="shared" si="20"/>
        <v>1</v>
      </c>
    </row>
    <row r="69" ht="15.75" customHeight="1">
      <c r="B69" s="1">
        <v>47.6</v>
      </c>
      <c r="C69" s="1">
        <v>-5.7</v>
      </c>
      <c r="D69" s="1">
        <v>-3.2</v>
      </c>
      <c r="E69" s="1">
        <v>5.0</v>
      </c>
      <c r="F69" s="1">
        <v>69.0</v>
      </c>
      <c r="G69" s="1">
        <f t="shared" ref="G69:I69" si="301">SUMPRODUCT($B69:$E69, INDEX($B$2:$E$4, G$10, 0))+ INDEX($F$2:$F$4,G$10,1)</f>
        <v>36.55428478</v>
      </c>
      <c r="H69" s="1">
        <f t="shared" si="301"/>
        <v>149.6076732</v>
      </c>
      <c r="I69" s="1">
        <f t="shared" si="301"/>
        <v>321.7073736</v>
      </c>
      <c r="J69" s="1">
        <f t="shared" ref="J69:L69" si="302">(G69-G$7)/(G$6-G$7)*2-1</f>
        <v>-0.1377451539</v>
      </c>
      <c r="K69" s="1">
        <f t="shared" si="302"/>
        <v>0.02369725357</v>
      </c>
      <c r="L69" s="1">
        <f t="shared" si="302"/>
        <v>0.1234875922</v>
      </c>
      <c r="M69" s="1">
        <f t="shared" ref="M69:O69" si="303">1/(1+EXP(-J69))</f>
        <v>0.4656180571</v>
      </c>
      <c r="N69" s="1">
        <f t="shared" si="303"/>
        <v>0.5059240362</v>
      </c>
      <c r="O69" s="1">
        <f t="shared" si="303"/>
        <v>0.5308327268</v>
      </c>
      <c r="P69" s="1">
        <f t="shared" si="13"/>
        <v>69.42460233</v>
      </c>
      <c r="Q69" s="1">
        <f t="shared" si="14"/>
        <v>0.1802871378</v>
      </c>
      <c r="R69" s="1">
        <f t="shared" ref="R69:T69" si="304">SUMPRODUCT($M69:$O69, INDEX($I$2:$K$4, R$10, 0))+ INDEX($L$2:$L$4, R$10,1)</f>
        <v>7.083781058</v>
      </c>
      <c r="S69" s="1">
        <f t="shared" si="304"/>
        <v>-3.031341644</v>
      </c>
      <c r="T69" s="1">
        <f t="shared" si="304"/>
        <v>0.3095455266</v>
      </c>
      <c r="U69" s="1">
        <f t="shared" ref="U69:W69" si="305">1/(1+EXP(-R69))</f>
        <v>0.9991621063</v>
      </c>
      <c r="V69" s="1">
        <f t="shared" si="305"/>
        <v>0.04602987802</v>
      </c>
      <c r="W69" s="1">
        <f t="shared" si="305"/>
        <v>0.5767743255</v>
      </c>
      <c r="X69" s="1">
        <f t="shared" si="17"/>
        <v>64.39300908</v>
      </c>
      <c r="Y69" s="1">
        <f t="shared" si="18"/>
        <v>21.22436538</v>
      </c>
      <c r="Z69" s="3">
        <f t="shared" si="19"/>
        <v>69</v>
      </c>
      <c r="AA69" s="3">
        <f t="shared" si="20"/>
        <v>0</v>
      </c>
    </row>
    <row r="70" ht="15.75" customHeight="1">
      <c r="B70" s="1">
        <v>42.9</v>
      </c>
      <c r="C70" s="1">
        <v>-6.4</v>
      </c>
      <c r="D70" s="1">
        <v>-3.9</v>
      </c>
      <c r="E70" s="1">
        <v>5.0</v>
      </c>
      <c r="F70" s="1">
        <v>69.0</v>
      </c>
      <c r="G70" s="1">
        <f t="shared" ref="G70:I70" si="306">SUMPRODUCT($B70:$E70, INDEX($B$2:$E$4, G$10, 0))+ INDEX($F$2:$F$4,G$10,1)</f>
        <v>32.73287829</v>
      </c>
      <c r="H70" s="1">
        <f t="shared" si="306"/>
        <v>133.449176</v>
      </c>
      <c r="I70" s="1">
        <f t="shared" si="306"/>
        <v>277.2760437</v>
      </c>
      <c r="J70" s="1">
        <f t="shared" ref="J70:L70" si="307">(G70-G$7)/(G$6-G$7)*2-1</f>
        <v>-0.3438915867</v>
      </c>
      <c r="K70" s="1">
        <f t="shared" si="307"/>
        <v>-0.2318852081</v>
      </c>
      <c r="L70" s="1">
        <f t="shared" si="307"/>
        <v>-0.2008405629</v>
      </c>
      <c r="M70" s="1">
        <f t="shared" ref="M70:O70" si="308">1/(1+EXP(-J70))</f>
        <v>0.4148644749</v>
      </c>
      <c r="N70" s="1">
        <f t="shared" si="308"/>
        <v>0.4422870721</v>
      </c>
      <c r="O70" s="1">
        <f t="shared" si="308"/>
        <v>0.4499579582</v>
      </c>
      <c r="P70" s="1">
        <f t="shared" si="13"/>
        <v>62.64080464</v>
      </c>
      <c r="Q70" s="1">
        <f t="shared" si="14"/>
        <v>40.43936568</v>
      </c>
      <c r="R70" s="1">
        <f t="shared" ref="R70:T70" si="309">SUMPRODUCT($M70:$O70, INDEX($I$2:$K$4, R$10, 0))+ INDEX($L$2:$L$4, R$10,1)</f>
        <v>6.68853002</v>
      </c>
      <c r="S70" s="1">
        <f t="shared" si="309"/>
        <v>-3.095878315</v>
      </c>
      <c r="T70" s="1">
        <f t="shared" si="309"/>
        <v>-0.6368955073</v>
      </c>
      <c r="U70" s="1">
        <f t="shared" ref="U70:W70" si="310">1/(1+EXP(-R70))</f>
        <v>0.9987564367</v>
      </c>
      <c r="V70" s="1">
        <f t="shared" si="310"/>
        <v>0.04327759092</v>
      </c>
      <c r="W70" s="1">
        <f t="shared" si="310"/>
        <v>0.345948651</v>
      </c>
      <c r="X70" s="1">
        <f t="shared" si="17"/>
        <v>51.33756067</v>
      </c>
      <c r="Y70" s="1">
        <f t="shared" si="18"/>
        <v>311.9617631</v>
      </c>
      <c r="Z70" s="3">
        <f t="shared" si="19"/>
        <v>39</v>
      </c>
      <c r="AA70" s="3">
        <f t="shared" si="20"/>
        <v>1</v>
      </c>
    </row>
    <row r="71" ht="15.75" customHeight="1">
      <c r="B71" s="1">
        <v>52.4</v>
      </c>
      <c r="C71" s="1">
        <v>-6.4</v>
      </c>
      <c r="D71" s="1">
        <v>-3.7</v>
      </c>
      <c r="E71" s="1">
        <v>6.0</v>
      </c>
      <c r="F71" s="1">
        <v>69.0</v>
      </c>
      <c r="G71" s="1">
        <f t="shared" ref="G71:I71" si="311">SUMPRODUCT($B71:$E71, INDEX($B$2:$E$4, G$10, 0))+ INDEX($F$2:$F$4,G$10,1)</f>
        <v>40.29359628</v>
      </c>
      <c r="H71" s="1">
        <f t="shared" si="311"/>
        <v>164.0437733</v>
      </c>
      <c r="I71" s="1">
        <f t="shared" si="311"/>
        <v>351.4640999</v>
      </c>
      <c r="J71" s="1">
        <f t="shared" ref="J71:L71" si="312">(G71-G$7)/(G$6-G$7)*2-1</f>
        <v>0.06397265014</v>
      </c>
      <c r="K71" s="1">
        <f t="shared" si="312"/>
        <v>0.2520361877</v>
      </c>
      <c r="L71" s="1">
        <f t="shared" si="312"/>
        <v>0.3406979296</v>
      </c>
      <c r="M71" s="1">
        <f t="shared" ref="M71:O71" si="313">1/(1+EXP(-J71))</f>
        <v>0.5159877104</v>
      </c>
      <c r="N71" s="1">
        <f t="shared" si="313"/>
        <v>0.5626776125</v>
      </c>
      <c r="O71" s="1">
        <f t="shared" si="313"/>
        <v>0.5843600484</v>
      </c>
      <c r="P71" s="1">
        <f t="shared" si="13"/>
        <v>74.5746241</v>
      </c>
      <c r="Q71" s="1">
        <f t="shared" si="14"/>
        <v>31.07643388</v>
      </c>
      <c r="R71" s="1">
        <f t="shared" ref="R71:T71" si="314">SUMPRODUCT($M71:$O71, INDEX($I$2:$K$4, R$10, 0))+ INDEX($L$2:$L$4, R$10,1)</f>
        <v>7.40750355</v>
      </c>
      <c r="S71" s="1">
        <f t="shared" si="314"/>
        <v>-2.978339715</v>
      </c>
      <c r="T71" s="1">
        <f t="shared" si="314"/>
        <v>1.089571357</v>
      </c>
      <c r="U71" s="1">
        <f t="shared" ref="U71:W71" si="315">1/(1+EXP(-R71))</f>
        <v>0.9993936845</v>
      </c>
      <c r="V71" s="1">
        <f t="shared" si="315"/>
        <v>0.04841406094</v>
      </c>
      <c r="W71" s="1">
        <f t="shared" si="315"/>
        <v>0.7483009968</v>
      </c>
      <c r="X71" s="1">
        <f t="shared" si="17"/>
        <v>74.10447927</v>
      </c>
      <c r="Y71" s="1">
        <f t="shared" si="18"/>
        <v>26.05570864</v>
      </c>
      <c r="Z71" s="3">
        <f t="shared" si="19"/>
        <v>84</v>
      </c>
      <c r="AA71" s="3">
        <f t="shared" si="20"/>
        <v>1</v>
      </c>
    </row>
    <row r="72" ht="15.75" customHeight="1">
      <c r="B72" s="1">
        <v>47.6</v>
      </c>
      <c r="C72" s="1">
        <v>-5.7</v>
      </c>
      <c r="D72" s="1">
        <v>-3.7</v>
      </c>
      <c r="E72" s="1">
        <v>5.0</v>
      </c>
      <c r="F72" s="1">
        <v>69.0</v>
      </c>
      <c r="G72" s="1">
        <f t="shared" ref="G72:I72" si="316">SUMPRODUCT($B72:$E72, INDEX($B$2:$E$4, G$10, 0))+ INDEX($F$2:$F$4,G$10,1)</f>
        <v>34.48151615</v>
      </c>
      <c r="H72" s="1">
        <f t="shared" si="316"/>
        <v>144.5161898</v>
      </c>
      <c r="I72" s="1">
        <f t="shared" si="316"/>
        <v>312.1472776</v>
      </c>
      <c r="J72" s="1">
        <f t="shared" ref="J72:L72" si="317">(G72-G$7)/(G$6-G$7)*2-1</f>
        <v>-0.2495610151</v>
      </c>
      <c r="K72" s="1">
        <f t="shared" si="317"/>
        <v>-0.05683584537</v>
      </c>
      <c r="L72" s="1">
        <f t="shared" si="317"/>
        <v>0.05370331411</v>
      </c>
      <c r="M72" s="1">
        <f t="shared" ref="M72:O72" si="318">1/(1+EXP(-J72))</f>
        <v>0.4379315512</v>
      </c>
      <c r="N72" s="1">
        <f t="shared" si="318"/>
        <v>0.4857948624</v>
      </c>
      <c r="O72" s="1">
        <f t="shared" si="318"/>
        <v>0.5134226027</v>
      </c>
      <c r="P72" s="1">
        <f t="shared" si="13"/>
        <v>67.54757295</v>
      </c>
      <c r="Q72" s="1">
        <f t="shared" si="14"/>
        <v>2.10954435</v>
      </c>
      <c r="R72" s="1">
        <f t="shared" ref="R72:T72" si="319">SUMPRODUCT($M72:$O72, INDEX($I$2:$K$4, R$10, 0))+ INDEX($L$2:$L$4, R$10,1)</f>
        <v>6.952893593</v>
      </c>
      <c r="S72" s="1">
        <f t="shared" si="319"/>
        <v>-3.052905034</v>
      </c>
      <c r="T72" s="1">
        <f t="shared" si="319"/>
        <v>-0.006717727502</v>
      </c>
      <c r="U72" s="1">
        <f t="shared" ref="U72:W72" si="320">1/(1+EXP(-R72))</f>
        <v>0.9990450475</v>
      </c>
      <c r="V72" s="1">
        <f t="shared" si="320"/>
        <v>0.04509222044</v>
      </c>
      <c r="W72" s="1">
        <f t="shared" si="320"/>
        <v>0.4983205744</v>
      </c>
      <c r="X72" s="1">
        <f t="shared" si="17"/>
        <v>59.95591721</v>
      </c>
      <c r="Y72" s="1">
        <f t="shared" si="18"/>
        <v>81.79543359</v>
      </c>
      <c r="Z72" s="3">
        <f t="shared" si="19"/>
        <v>69</v>
      </c>
      <c r="AA72" s="3">
        <f t="shared" si="20"/>
        <v>0</v>
      </c>
    </row>
    <row r="73" ht="15.75" customHeight="1">
      <c r="B73" s="1">
        <v>33.3</v>
      </c>
      <c r="C73" s="1">
        <v>-5.0</v>
      </c>
      <c r="D73" s="1">
        <v>-0.6</v>
      </c>
      <c r="E73" s="1">
        <v>7.0</v>
      </c>
      <c r="F73" s="1">
        <v>69.0</v>
      </c>
      <c r="G73" s="1">
        <f t="shared" ref="G73:I73" si="321">SUMPRODUCT($B73:$E73, INDEX($B$2:$E$4, G$10, 0))+ INDEX($F$2:$F$4,G$10,1)</f>
        <v>39.28512068</v>
      </c>
      <c r="H73" s="1">
        <f t="shared" si="321"/>
        <v>131.8719306</v>
      </c>
      <c r="I73" s="1">
        <f t="shared" si="321"/>
        <v>264.0389213</v>
      </c>
      <c r="J73" s="1">
        <f t="shared" ref="J73:L73" si="322">(G73-G$7)/(G$6-G$7)*2-1</f>
        <v>0.00957026</v>
      </c>
      <c r="K73" s="1">
        <f t="shared" si="322"/>
        <v>-0.2568328418</v>
      </c>
      <c r="L73" s="1">
        <f t="shared" si="322"/>
        <v>-0.297465433</v>
      </c>
      <c r="M73" s="1">
        <f t="shared" ref="M73:O73" si="323">1/(1+EXP(-J73))</f>
        <v>0.5023925467</v>
      </c>
      <c r="N73" s="1">
        <f t="shared" si="323"/>
        <v>0.4361424246</v>
      </c>
      <c r="O73" s="1">
        <f t="shared" si="323"/>
        <v>0.4261771958</v>
      </c>
      <c r="P73" s="1">
        <f t="shared" si="13"/>
        <v>62.40042428</v>
      </c>
      <c r="Q73" s="1">
        <f t="shared" si="14"/>
        <v>43.55439975</v>
      </c>
      <c r="R73" s="1">
        <f t="shared" ref="R73:T73" si="324">SUMPRODUCT($M73:$O73, INDEX($I$2:$K$4, R$10, 0))+ INDEX($L$2:$L$4, R$10,1)</f>
        <v>6.799197617</v>
      </c>
      <c r="S73" s="1">
        <f t="shared" si="324"/>
        <v>-3.076478615</v>
      </c>
      <c r="T73" s="1">
        <f t="shared" si="324"/>
        <v>-0.3610378659</v>
      </c>
      <c r="U73" s="1">
        <f t="shared" ref="U73:W73" si="325">1/(1+EXP(-R73))</f>
        <v>0.9988865719</v>
      </c>
      <c r="V73" s="1">
        <f t="shared" si="325"/>
        <v>0.04408798342</v>
      </c>
      <c r="W73" s="1">
        <f t="shared" si="325"/>
        <v>0.4107083511</v>
      </c>
      <c r="X73" s="1">
        <f t="shared" si="17"/>
        <v>55.00183361</v>
      </c>
      <c r="Y73" s="1">
        <f t="shared" si="18"/>
        <v>195.9486624</v>
      </c>
      <c r="Z73" s="3">
        <f t="shared" si="19"/>
        <v>39</v>
      </c>
      <c r="AA73" s="3">
        <f t="shared" si="20"/>
        <v>1</v>
      </c>
    </row>
    <row r="74" ht="15.75" customHeight="1">
      <c r="B74" s="1">
        <v>38.1</v>
      </c>
      <c r="C74" s="1">
        <v>-6.9</v>
      </c>
      <c r="D74" s="1">
        <v>-0.6</v>
      </c>
      <c r="E74" s="1">
        <v>7.0</v>
      </c>
      <c r="F74" s="1">
        <v>69.0</v>
      </c>
      <c r="G74" s="1">
        <f t="shared" ref="G74:I74" si="326">SUMPRODUCT($B74:$E74, INDEX($B$2:$E$4, G$10, 0))+ INDEX($F$2:$F$4,G$10,1)</f>
        <v>47.15273135</v>
      </c>
      <c r="H74" s="1">
        <f t="shared" si="326"/>
        <v>158.349451</v>
      </c>
      <c r="I74" s="1">
        <f t="shared" si="326"/>
        <v>308.7465139</v>
      </c>
      <c r="J74" s="1">
        <f t="shared" ref="J74:L74" si="327">(G74-G$7)/(G$6-G$7)*2-1</f>
        <v>0.4339898754</v>
      </c>
      <c r="K74" s="1">
        <f t="shared" si="327"/>
        <v>0.1619678537</v>
      </c>
      <c r="L74" s="1">
        <f t="shared" si="327"/>
        <v>0.02887931182</v>
      </c>
      <c r="M74" s="1">
        <f t="shared" ref="M74:O74" si="328">1/(1+EXP(-J74))</f>
        <v>0.6068260103</v>
      </c>
      <c r="N74" s="1">
        <f t="shared" si="328"/>
        <v>0.5404036742</v>
      </c>
      <c r="O74" s="1">
        <f t="shared" si="328"/>
        <v>0.5072193262</v>
      </c>
      <c r="P74" s="1">
        <f t="shared" si="13"/>
        <v>71.12119862</v>
      </c>
      <c r="Q74" s="1">
        <f t="shared" si="14"/>
        <v>4.499483597</v>
      </c>
      <c r="R74" s="1">
        <f t="shared" ref="R74:T74" si="329">SUMPRODUCT($M74:$O74, INDEX($I$2:$K$4, R$10, 0))+ INDEX($L$2:$L$4, R$10,1)</f>
        <v>7.381250022</v>
      </c>
      <c r="S74" s="1">
        <f t="shared" si="329"/>
        <v>-2.980943339</v>
      </c>
      <c r="T74" s="1">
        <f t="shared" si="329"/>
        <v>1.046700649</v>
      </c>
      <c r="U74" s="1">
        <f t="shared" ref="U74:W74" si="330">1/(1+EXP(-R74))</f>
        <v>0.9993775658</v>
      </c>
      <c r="V74" s="1">
        <f t="shared" si="330"/>
        <v>0.04829425258</v>
      </c>
      <c r="W74" s="1">
        <f t="shared" si="330"/>
        <v>0.74014083</v>
      </c>
      <c r="X74" s="1">
        <f t="shared" si="17"/>
        <v>73.64218631</v>
      </c>
      <c r="Y74" s="1">
        <f t="shared" si="18"/>
        <v>21.54989369</v>
      </c>
      <c r="Z74" s="3">
        <f t="shared" si="19"/>
        <v>69</v>
      </c>
      <c r="AA74" s="3">
        <f t="shared" si="20"/>
        <v>0</v>
      </c>
    </row>
    <row r="75" ht="15.75" customHeight="1">
      <c r="B75" s="1">
        <v>52.4</v>
      </c>
      <c r="C75" s="1">
        <v>-4.9</v>
      </c>
      <c r="D75" s="1">
        <v>-1.8</v>
      </c>
      <c r="E75" s="1">
        <v>7.0</v>
      </c>
      <c r="F75" s="1">
        <v>69.0</v>
      </c>
      <c r="G75" s="1">
        <f t="shared" ref="G75:I75" si="331">SUMPRODUCT($B75:$E75, INDEX($B$2:$E$4, G$10, 0))+ INDEX($F$2:$F$4,G$10,1)</f>
        <v>45.31969576</v>
      </c>
      <c r="H75" s="1">
        <f t="shared" si="331"/>
        <v>174.4618558</v>
      </c>
      <c r="I75" s="1">
        <f t="shared" si="331"/>
        <v>380.9102585</v>
      </c>
      <c r="J75" s="1">
        <f t="shared" ref="J75:L75" si="332">(G75-G$7)/(G$6-G$7)*2-1</f>
        <v>0.3351064542</v>
      </c>
      <c r="K75" s="1">
        <f t="shared" si="332"/>
        <v>0.4168212619</v>
      </c>
      <c r="L75" s="1">
        <f t="shared" si="332"/>
        <v>0.5556412667</v>
      </c>
      <c r="M75" s="1">
        <f t="shared" ref="M75:O75" si="333">1/(1+EXP(-J75))</f>
        <v>0.5830013346</v>
      </c>
      <c r="N75" s="1">
        <f t="shared" si="333"/>
        <v>0.6027223561</v>
      </c>
      <c r="O75" s="1">
        <f t="shared" si="333"/>
        <v>0.6354434149</v>
      </c>
      <c r="P75" s="1">
        <f t="shared" si="13"/>
        <v>79.32651018</v>
      </c>
      <c r="Q75" s="1">
        <f t="shared" si="14"/>
        <v>106.6368126</v>
      </c>
      <c r="R75" s="1">
        <f t="shared" ref="R75:T75" si="334">SUMPRODUCT($M75:$O75, INDEX($I$2:$K$4, R$10, 0))+ INDEX($L$2:$L$4, R$10,1)</f>
        <v>7.725759933</v>
      </c>
      <c r="S75" s="1">
        <f t="shared" si="334"/>
        <v>-2.925895124</v>
      </c>
      <c r="T75" s="1">
        <f t="shared" si="334"/>
        <v>1.854263624</v>
      </c>
      <c r="U75" s="1">
        <f t="shared" ref="U75:W75" si="335">1/(1+EXP(-R75))</f>
        <v>0.9995588833</v>
      </c>
      <c r="V75" s="1">
        <f t="shared" si="335"/>
        <v>0.05088821961</v>
      </c>
      <c r="W75" s="1">
        <f t="shared" si="335"/>
        <v>0.8646269245</v>
      </c>
      <c r="X75" s="1">
        <f t="shared" si="17"/>
        <v>80.71850996</v>
      </c>
      <c r="Y75" s="1">
        <f t="shared" si="18"/>
        <v>137.3234757</v>
      </c>
      <c r="Z75" s="3">
        <f t="shared" si="19"/>
        <v>84</v>
      </c>
      <c r="AA75" s="3">
        <f t="shared" si="20"/>
        <v>1</v>
      </c>
    </row>
    <row r="76" ht="15.75" customHeight="1">
      <c r="B76" s="1">
        <v>38.1</v>
      </c>
      <c r="C76" s="1">
        <v>-5.1</v>
      </c>
      <c r="D76" s="1">
        <v>-2.6</v>
      </c>
      <c r="E76" s="1">
        <v>7.0</v>
      </c>
      <c r="F76" s="1">
        <v>69.0</v>
      </c>
      <c r="G76" s="1">
        <f t="shared" ref="G76:I76" si="336">SUMPRODUCT($B76:$E76, INDEX($B$2:$E$4, G$10, 0))+ INDEX($F$2:$F$4,G$10,1)</f>
        <v>34.09231239</v>
      </c>
      <c r="H76" s="1">
        <f t="shared" si="336"/>
        <v>126.105813</v>
      </c>
      <c r="I76" s="1">
        <f t="shared" si="336"/>
        <v>261.5575163</v>
      </c>
      <c r="J76" s="1">
        <f t="shared" ref="J76:L76" si="337">(G76-G$7)/(G$6-G$7)*2-1</f>
        <v>-0.2705566796</v>
      </c>
      <c r="K76" s="1">
        <f t="shared" si="337"/>
        <v>-0.348036778</v>
      </c>
      <c r="L76" s="1">
        <f t="shared" si="337"/>
        <v>-0.3155785415</v>
      </c>
      <c r="M76" s="1">
        <f t="shared" ref="M76:O76" si="338">1/(1+EXP(-J76))</f>
        <v>0.4327704361</v>
      </c>
      <c r="N76" s="1">
        <f t="shared" si="338"/>
        <v>0.4138585781</v>
      </c>
      <c r="O76" s="1">
        <f t="shared" si="338"/>
        <v>0.4217536675</v>
      </c>
      <c r="P76" s="1">
        <f t="shared" si="13"/>
        <v>60.57040073</v>
      </c>
      <c r="Q76" s="1">
        <f t="shared" si="14"/>
        <v>71.05814379</v>
      </c>
      <c r="R76" s="1">
        <f t="shared" ref="R76:T76" si="339">SUMPRODUCT($M76:$O76, INDEX($I$2:$K$4, R$10, 0))+ INDEX($L$2:$L$4, R$10,1)</f>
        <v>6.608493201</v>
      </c>
      <c r="S76" s="1">
        <f t="shared" si="339"/>
        <v>-3.108422738</v>
      </c>
      <c r="T76" s="1">
        <f t="shared" si="339"/>
        <v>-0.8273713817</v>
      </c>
      <c r="U76" s="1">
        <f t="shared" ref="U76:W76" si="340">1/(1+EXP(-R76))</f>
        <v>0.9986529539</v>
      </c>
      <c r="V76" s="1">
        <f t="shared" si="340"/>
        <v>0.04276115918</v>
      </c>
      <c r="W76" s="1">
        <f t="shared" si="340"/>
        <v>0.3042011644</v>
      </c>
      <c r="X76" s="1">
        <f t="shared" si="17"/>
        <v>48.97528504</v>
      </c>
      <c r="Y76" s="1">
        <f t="shared" si="18"/>
        <v>400.9892091</v>
      </c>
      <c r="Z76" s="3">
        <f t="shared" si="19"/>
        <v>39</v>
      </c>
      <c r="AA76" s="3">
        <f t="shared" si="20"/>
        <v>1</v>
      </c>
    </row>
    <row r="77" ht="15.75" customHeight="1">
      <c r="B77" s="1">
        <v>42.9</v>
      </c>
      <c r="C77" s="1">
        <v>-4.5</v>
      </c>
      <c r="D77" s="1">
        <v>-2.5</v>
      </c>
      <c r="E77" s="1">
        <v>7.0</v>
      </c>
      <c r="F77" s="1">
        <v>69.0</v>
      </c>
      <c r="G77" s="1">
        <f t="shared" ref="G77:I77" si="341">SUMPRODUCT($B77:$E77, INDEX($B$2:$E$4, G$10, 0))+ INDEX($F$2:$F$4,G$10,1)</f>
        <v>35.75038725</v>
      </c>
      <c r="H77" s="1">
        <f t="shared" si="341"/>
        <v>137.1048181</v>
      </c>
      <c r="I77" s="1">
        <f t="shared" si="341"/>
        <v>295.7484978</v>
      </c>
      <c r="J77" s="1">
        <f t="shared" ref="J77:L77" si="342">(G77-G$7)/(G$6-G$7)*2-1</f>
        <v>-0.181111545</v>
      </c>
      <c r="K77" s="1">
        <f t="shared" si="342"/>
        <v>-0.1740631237</v>
      </c>
      <c r="L77" s="1">
        <f t="shared" si="342"/>
        <v>-0.06600019269</v>
      </c>
      <c r="M77" s="1">
        <f t="shared" ref="M77:O77" si="343">1/(1+EXP(-J77))</f>
        <v>0.4548454739</v>
      </c>
      <c r="N77" s="1">
        <f t="shared" si="343"/>
        <v>0.4565937572</v>
      </c>
      <c r="O77" s="1">
        <f t="shared" si="343"/>
        <v>0.4835059388</v>
      </c>
      <c r="P77" s="1">
        <f t="shared" si="13"/>
        <v>65.35168716</v>
      </c>
      <c r="Q77" s="1">
        <f t="shared" si="14"/>
        <v>13.31018658</v>
      </c>
      <c r="R77" s="1">
        <f t="shared" ref="R77:T77" si="344">SUMPRODUCT($M77:$O77, INDEX($I$2:$K$4, R$10, 0))+ INDEX($L$2:$L$4, R$10,1)</f>
        <v>6.865791847</v>
      </c>
      <c r="S77" s="1">
        <f t="shared" si="344"/>
        <v>-3.06660524</v>
      </c>
      <c r="T77" s="1">
        <f t="shared" si="344"/>
        <v>-0.2139635991</v>
      </c>
      <c r="U77" s="1">
        <f t="shared" ref="U77:W77" si="345">1/(1+EXP(-R77))</f>
        <v>0.9989582301</v>
      </c>
      <c r="V77" s="1">
        <f t="shared" si="345"/>
        <v>0.04450596737</v>
      </c>
      <c r="W77" s="1">
        <f t="shared" si="345"/>
        <v>0.4467122399</v>
      </c>
      <c r="X77" s="1">
        <f t="shared" si="17"/>
        <v>57.03796196</v>
      </c>
      <c r="Y77" s="1">
        <f t="shared" si="18"/>
        <v>143.0903541</v>
      </c>
      <c r="Z77" s="3">
        <f t="shared" si="19"/>
        <v>39</v>
      </c>
      <c r="AA77" s="3">
        <f t="shared" si="20"/>
        <v>1</v>
      </c>
    </row>
    <row r="78" ht="15.75" customHeight="1">
      <c r="B78" s="1">
        <v>33.3</v>
      </c>
      <c r="C78" s="1">
        <v>-3.3</v>
      </c>
      <c r="D78" s="1">
        <v>-0.6</v>
      </c>
      <c r="E78" s="1">
        <v>7.0</v>
      </c>
      <c r="F78" s="1">
        <v>69.0</v>
      </c>
      <c r="G78" s="1">
        <f t="shared" ref="G78:I78" si="346">SUMPRODUCT($B78:$E78, INDEX($B$2:$E$4, G$10, 0))+ INDEX($F$2:$F$4,G$10,1)</f>
        <v>34.7807398</v>
      </c>
      <c r="H78" s="1">
        <f t="shared" si="346"/>
        <v>120.6540985</v>
      </c>
      <c r="I78" s="1">
        <f t="shared" si="346"/>
        <v>255.5874528</v>
      </c>
      <c r="J78" s="1">
        <f t="shared" ref="J78:L78" si="347">(G78-G$7)/(G$6-G$7)*2-1</f>
        <v>-0.2334193441</v>
      </c>
      <c r="K78" s="1">
        <f t="shared" si="347"/>
        <v>-0.4342677313</v>
      </c>
      <c r="L78" s="1">
        <f t="shared" si="347"/>
        <v>-0.359157244</v>
      </c>
      <c r="M78" s="1">
        <f t="shared" ref="M78:O78" si="348">1/(1+EXP(-J78))</f>
        <v>0.4419086816</v>
      </c>
      <c r="N78" s="1">
        <f t="shared" si="348"/>
        <v>0.3931076986</v>
      </c>
      <c r="O78" s="1">
        <f t="shared" si="348"/>
        <v>0.4111635887</v>
      </c>
      <c r="P78" s="1">
        <f t="shared" si="13"/>
        <v>59.52687334</v>
      </c>
      <c r="Q78" s="1">
        <f t="shared" si="14"/>
        <v>89.74012868</v>
      </c>
      <c r="R78" s="1">
        <f t="shared" ref="R78:T78" si="349">SUMPRODUCT($M78:$O78, INDEX($I$2:$K$4, R$10, 0))+ INDEX($L$2:$L$4, R$10,1)</f>
        <v>6.563197847</v>
      </c>
      <c r="S78" s="1">
        <f t="shared" si="349"/>
        <v>-3.115529991</v>
      </c>
      <c r="T78" s="1">
        <f t="shared" si="349"/>
        <v>-0.937678552</v>
      </c>
      <c r="U78" s="1">
        <f t="shared" ref="U78:W78" si="350">1/(1+EXP(-R78))</f>
        <v>0.998590624</v>
      </c>
      <c r="V78" s="1">
        <f t="shared" si="350"/>
        <v>0.0424711841</v>
      </c>
      <c r="W78" s="1">
        <f t="shared" si="350"/>
        <v>0.2813695027</v>
      </c>
      <c r="X78" s="1">
        <f t="shared" si="17"/>
        <v>47.68303001</v>
      </c>
      <c r="Y78" s="1">
        <f t="shared" si="18"/>
        <v>454.4132096</v>
      </c>
      <c r="Z78" s="3">
        <f t="shared" si="19"/>
        <v>39</v>
      </c>
      <c r="AA78" s="3">
        <f t="shared" si="20"/>
        <v>1</v>
      </c>
    </row>
    <row r="79" ht="15.75" customHeight="1">
      <c r="B79" s="1">
        <v>52.4</v>
      </c>
      <c r="C79" s="1">
        <v>-5.2</v>
      </c>
      <c r="D79" s="1">
        <v>-3.8</v>
      </c>
      <c r="E79" s="1">
        <v>5.0</v>
      </c>
      <c r="F79" s="1">
        <v>69.0</v>
      </c>
      <c r="G79" s="1">
        <f t="shared" ref="G79:I79" si="351">SUMPRODUCT($B79:$E79, INDEX($B$2:$E$4, G$10, 0))+ INDEX($F$2:$F$4,G$10,1)</f>
        <v>35.57544715</v>
      </c>
      <c r="H79" s="1">
        <f t="shared" si="351"/>
        <v>154.138474</v>
      </c>
      <c r="I79" s="1">
        <f t="shared" si="351"/>
        <v>343.0113659</v>
      </c>
      <c r="J79" s="1">
        <f t="shared" ref="J79:L79" si="352">(G79-G$7)/(G$6-G$7)*2-1</f>
        <v>-0.1905487189</v>
      </c>
      <c r="K79" s="1">
        <f t="shared" si="352"/>
        <v>0.09536191576</v>
      </c>
      <c r="L79" s="1">
        <f t="shared" si="352"/>
        <v>0.2789968818</v>
      </c>
      <c r="M79" s="1">
        <f t="shared" ref="M79:O79" si="353">1/(1+EXP(-J79))</f>
        <v>0.4525064363</v>
      </c>
      <c r="N79" s="1">
        <f t="shared" si="353"/>
        <v>0.5238224285</v>
      </c>
      <c r="O79" s="1">
        <f t="shared" si="353"/>
        <v>0.569300279</v>
      </c>
      <c r="P79" s="1">
        <f t="shared" si="13"/>
        <v>71.78213853</v>
      </c>
      <c r="Q79" s="1">
        <f t="shared" si="14"/>
        <v>7.740294817</v>
      </c>
      <c r="R79" s="1">
        <f t="shared" ref="R79:T79" si="354">SUMPRODUCT($M79:$O79, INDEX($I$2:$K$4, R$10, 0))+ INDEX($L$2:$L$4, R$10,1)</f>
        <v>7.173796186</v>
      </c>
      <c r="S79" s="1">
        <f t="shared" si="354"/>
        <v>-3.017082023</v>
      </c>
      <c r="T79" s="1">
        <f t="shared" si="354"/>
        <v>0.5192281196</v>
      </c>
      <c r="U79" s="1">
        <f t="shared" ref="U79:W79" si="355">1/(1+EXP(-R79))</f>
        <v>0.9992341792</v>
      </c>
      <c r="V79" s="1">
        <f t="shared" si="355"/>
        <v>0.04666010313</v>
      </c>
      <c r="W79" s="1">
        <f t="shared" si="355"/>
        <v>0.6269672571</v>
      </c>
      <c r="X79" s="1">
        <f t="shared" si="17"/>
        <v>67.23270169</v>
      </c>
      <c r="Y79" s="1">
        <f t="shared" si="18"/>
        <v>3.123343309</v>
      </c>
      <c r="Z79" s="3">
        <f t="shared" si="19"/>
        <v>69</v>
      </c>
      <c r="AA79" s="3">
        <f t="shared" si="20"/>
        <v>0</v>
      </c>
    </row>
    <row r="80" ht="15.75" customHeight="1">
      <c r="B80" s="1">
        <v>57.1</v>
      </c>
      <c r="C80" s="1">
        <v>-3.9</v>
      </c>
      <c r="D80" s="1">
        <v>-3.0</v>
      </c>
      <c r="E80" s="1">
        <v>3.0</v>
      </c>
      <c r="F80" s="1">
        <v>69.0</v>
      </c>
      <c r="G80" s="1">
        <f t="shared" ref="G80:I80" si="356">SUMPRODUCT($B80:$E80, INDEX($B$2:$E$4, G$10, 0))+ INDEX($F$2:$F$4,G$10,1)</f>
        <v>35.97356102</v>
      </c>
      <c r="H80" s="1">
        <f t="shared" si="356"/>
        <v>165.4189673</v>
      </c>
      <c r="I80" s="1">
        <f t="shared" si="356"/>
        <v>385.2218992</v>
      </c>
      <c r="J80" s="1">
        <f t="shared" ref="J80:L80" si="357">(G80-G$7)/(G$6-G$7)*2-1</f>
        <v>-0.1690723972</v>
      </c>
      <c r="K80" s="1">
        <f t="shared" si="357"/>
        <v>0.2737879289</v>
      </c>
      <c r="L80" s="1">
        <f t="shared" si="357"/>
        <v>0.5871142493</v>
      </c>
      <c r="M80" s="1">
        <f t="shared" ref="M80:O80" si="358">1/(1+EXP(-J80))</f>
        <v>0.4578323015</v>
      </c>
      <c r="N80" s="1">
        <f t="shared" si="358"/>
        <v>0.5680225986</v>
      </c>
      <c r="O80" s="1">
        <f t="shared" si="358"/>
        <v>0.6427027469</v>
      </c>
      <c r="P80" s="1">
        <f t="shared" si="13"/>
        <v>76.98781697</v>
      </c>
      <c r="Q80" s="1">
        <f t="shared" si="14"/>
        <v>63.80521993</v>
      </c>
      <c r="R80" s="1">
        <f t="shared" ref="R80:T80" si="359">SUMPRODUCT($M80:$O80, INDEX($I$2:$K$4, R$10, 0))+ INDEX($L$2:$L$4, R$10,1)</f>
        <v>7.425317184</v>
      </c>
      <c r="S80" s="1">
        <f t="shared" si="359"/>
        <v>-2.976492515</v>
      </c>
      <c r="T80" s="1">
        <f t="shared" si="359"/>
        <v>1.115085851</v>
      </c>
      <c r="U80" s="1">
        <f t="shared" ref="U80:W80" si="360">1/(1+EXP(-R80))</f>
        <v>0.9994043832</v>
      </c>
      <c r="V80" s="1">
        <f t="shared" si="360"/>
        <v>0.04849923276</v>
      </c>
      <c r="W80" s="1">
        <f t="shared" si="360"/>
        <v>0.7530760551</v>
      </c>
      <c r="X80" s="1">
        <f t="shared" si="17"/>
        <v>74.37550466</v>
      </c>
      <c r="Y80" s="1">
        <f t="shared" si="18"/>
        <v>28.89605034</v>
      </c>
      <c r="Z80" s="3">
        <f t="shared" si="19"/>
        <v>84</v>
      </c>
      <c r="AA80" s="3">
        <f t="shared" si="20"/>
        <v>1</v>
      </c>
    </row>
    <row r="81" ht="15.75" customHeight="1">
      <c r="B81" s="1">
        <v>52.4</v>
      </c>
      <c r="C81" s="1">
        <v>-4.7</v>
      </c>
      <c r="D81" s="1">
        <v>-2.5</v>
      </c>
      <c r="E81" s="1">
        <v>8.0</v>
      </c>
      <c r="F81" s="1">
        <v>69.0</v>
      </c>
      <c r="G81" s="1">
        <f t="shared" ref="G81:I81" si="361">SUMPRODUCT($B81:$E81, INDEX($B$2:$E$4, G$10, 0))+ INDEX($F$2:$F$4,G$10,1)</f>
        <v>43.01192495</v>
      </c>
      <c r="H81" s="1">
        <f t="shared" si="361"/>
        <v>166.982567</v>
      </c>
      <c r="I81" s="1">
        <f t="shared" si="361"/>
        <v>367.1068061</v>
      </c>
      <c r="J81" s="1">
        <f t="shared" ref="J81:L81" si="362">(G81-G$7)/(G$6-G$7)*2-1</f>
        <v>0.2106133596</v>
      </c>
      <c r="K81" s="1">
        <f t="shared" si="362"/>
        <v>0.2985197254</v>
      </c>
      <c r="L81" s="1">
        <f t="shared" si="362"/>
        <v>0.4548824487</v>
      </c>
      <c r="M81" s="1">
        <f t="shared" ref="M81:O81" si="363">1/(1+EXP(-J81))</f>
        <v>0.5524595664</v>
      </c>
      <c r="N81" s="1">
        <f t="shared" si="363"/>
        <v>0.5740806116</v>
      </c>
      <c r="O81" s="1">
        <f t="shared" si="363"/>
        <v>0.6117994508</v>
      </c>
      <c r="P81" s="1">
        <f t="shared" si="13"/>
        <v>76.83390098</v>
      </c>
      <c r="Q81" s="1">
        <f t="shared" si="14"/>
        <v>61.37000457</v>
      </c>
      <c r="R81" s="1">
        <f t="shared" ref="R81:T81" si="364">SUMPRODUCT($M81:$O81, INDEX($I$2:$K$4, R$10, 0))+ INDEX($L$2:$L$4, R$10,1)</f>
        <v>7.559328349</v>
      </c>
      <c r="S81" s="1">
        <f t="shared" si="364"/>
        <v>-2.953226656</v>
      </c>
      <c r="T81" s="1">
        <f t="shared" si="364"/>
        <v>1.452084669</v>
      </c>
      <c r="U81" s="1">
        <f t="shared" ref="U81:W81" si="365">1/(1+EXP(-R81))</f>
        <v>0.9994790463</v>
      </c>
      <c r="V81" s="1">
        <f t="shared" si="365"/>
        <v>0.04958423214</v>
      </c>
      <c r="W81" s="1">
        <f t="shared" si="365"/>
        <v>0.8103190592</v>
      </c>
      <c r="X81" s="1">
        <f t="shared" si="17"/>
        <v>77.62582031</v>
      </c>
      <c r="Y81" s="1">
        <f t="shared" si="18"/>
        <v>74.404776</v>
      </c>
      <c r="Z81" s="3">
        <f t="shared" si="19"/>
        <v>84</v>
      </c>
      <c r="AA81" s="3">
        <f t="shared" si="20"/>
        <v>1</v>
      </c>
    </row>
    <row r="82" ht="15.75" customHeight="1">
      <c r="B82" s="1">
        <v>38.1</v>
      </c>
      <c r="C82" s="1">
        <v>-6.8</v>
      </c>
      <c r="D82" s="1">
        <v>-2.5</v>
      </c>
      <c r="E82" s="1">
        <v>7.0</v>
      </c>
      <c r="F82" s="1">
        <v>69.0</v>
      </c>
      <c r="G82" s="1">
        <f t="shared" ref="G82:I82" si="366">SUMPRODUCT($B82:$E82, INDEX($B$2:$E$4, G$10, 0))+ INDEX($F$2:$F$4,G$10,1)</f>
        <v>39.01124699</v>
      </c>
      <c r="H82" s="1">
        <f t="shared" si="366"/>
        <v>138.3419418</v>
      </c>
      <c r="I82" s="1">
        <f t="shared" si="366"/>
        <v>271.9210041</v>
      </c>
      <c r="J82" s="1">
        <f t="shared" ref="J82:L82" si="367">(G82-G$7)/(G$6-G$7)*2-1</f>
        <v>-0.005203903281</v>
      </c>
      <c r="K82" s="1">
        <f t="shared" si="367"/>
        <v>-0.1544952687</v>
      </c>
      <c r="L82" s="1">
        <f t="shared" si="367"/>
        <v>-0.2399298749</v>
      </c>
      <c r="M82" s="1">
        <f t="shared" ref="M82:O82" si="368">1/(1+EXP(-J82))</f>
        <v>0.4986990271</v>
      </c>
      <c r="N82" s="1">
        <f t="shared" si="368"/>
        <v>0.4614528252</v>
      </c>
      <c r="O82" s="1">
        <f t="shared" si="368"/>
        <v>0.440303632</v>
      </c>
      <c r="P82" s="1">
        <f t="shared" si="13"/>
        <v>63.83675963</v>
      </c>
      <c r="Q82" s="1">
        <f t="shared" si="14"/>
        <v>26.6590511</v>
      </c>
      <c r="R82" s="1">
        <f t="shared" ref="R82:T82" si="369">SUMPRODUCT($M82:$O82, INDEX($I$2:$K$4, R$10, 0))+ INDEX($L$2:$L$4, R$10,1)</f>
        <v>6.871660885</v>
      </c>
      <c r="S82" s="1">
        <f t="shared" si="369"/>
        <v>-3.064901566</v>
      </c>
      <c r="T82" s="1">
        <f t="shared" si="369"/>
        <v>-0.1849957037</v>
      </c>
      <c r="U82" s="1">
        <f t="shared" ref="U82:W82" si="370">1/(1+EXP(-R82))</f>
        <v>0.99896432</v>
      </c>
      <c r="V82" s="1">
        <f t="shared" si="370"/>
        <v>0.04457847268</v>
      </c>
      <c r="W82" s="1">
        <f t="shared" si="370"/>
        <v>0.4538825239</v>
      </c>
      <c r="X82" s="1">
        <f t="shared" si="17"/>
        <v>57.4429948</v>
      </c>
      <c r="Y82" s="1">
        <f t="shared" si="18"/>
        <v>133.5643692</v>
      </c>
      <c r="Z82" s="3">
        <f t="shared" si="19"/>
        <v>39</v>
      </c>
      <c r="AA82" s="3">
        <f t="shared" si="20"/>
        <v>1</v>
      </c>
    </row>
    <row r="83" ht="15.75" customHeight="1">
      <c r="B83" s="1">
        <v>52.4</v>
      </c>
      <c r="C83" s="1">
        <v>-5.4</v>
      </c>
      <c r="D83" s="1">
        <v>-2.6</v>
      </c>
      <c r="E83" s="1">
        <v>7.0</v>
      </c>
      <c r="F83" s="1">
        <v>69.0</v>
      </c>
      <c r="G83" s="1">
        <f t="shared" ref="G83:I83" si="371">SUMPRODUCT($B83:$E83, INDEX($B$2:$E$4, G$10, 0))+ INDEX($F$2:$F$4,G$10,1)</f>
        <v>43.32808387</v>
      </c>
      <c r="H83" s="1">
        <f t="shared" si="371"/>
        <v>169.6148448</v>
      </c>
      <c r="I83" s="1">
        <f t="shared" si="371"/>
        <v>368.0998311</v>
      </c>
      <c r="J83" s="1">
        <f t="shared" ref="J83:L83" si="372">(G83-G$7)/(G$6-G$7)*2-1</f>
        <v>0.2276686069</v>
      </c>
      <c r="K83" s="1">
        <f t="shared" si="372"/>
        <v>0.3401550358</v>
      </c>
      <c r="L83" s="1">
        <f t="shared" si="372"/>
        <v>0.4621310721</v>
      </c>
      <c r="M83" s="1">
        <f t="shared" ref="M83:O83" si="373">1/(1+EXP(-J83))</f>
        <v>0.5566725705</v>
      </c>
      <c r="N83" s="1">
        <f t="shared" si="373"/>
        <v>0.5842281825</v>
      </c>
      <c r="O83" s="1">
        <f t="shared" si="373"/>
        <v>0.6135196038</v>
      </c>
      <c r="P83" s="1">
        <f t="shared" si="13"/>
        <v>77.28113953</v>
      </c>
      <c r="Q83" s="1">
        <f t="shared" si="14"/>
        <v>68.57727187</v>
      </c>
      <c r="R83" s="1">
        <f t="shared" ref="R83:T83" si="374">SUMPRODUCT($M83:$O83, INDEX($I$2:$K$4, R$10, 0))+ INDEX($L$2:$L$4, R$10,1)</f>
        <v>7.591368823</v>
      </c>
      <c r="S83" s="1">
        <f t="shared" si="374"/>
        <v>-2.948003442</v>
      </c>
      <c r="T83" s="1">
        <f t="shared" si="374"/>
        <v>1.531200584</v>
      </c>
      <c r="U83" s="1">
        <f t="shared" ref="U83:W83" si="375">1/(1+EXP(-R83))</f>
        <v>0.9994954651</v>
      </c>
      <c r="V83" s="1">
        <f t="shared" si="375"/>
        <v>0.04983095932</v>
      </c>
      <c r="W83" s="1">
        <f t="shared" si="375"/>
        <v>0.822181906</v>
      </c>
      <c r="X83" s="1">
        <f t="shared" si="17"/>
        <v>78.30012774</v>
      </c>
      <c r="Y83" s="1">
        <f t="shared" si="18"/>
        <v>86.49237605</v>
      </c>
      <c r="Z83" s="3">
        <f t="shared" si="19"/>
        <v>84</v>
      </c>
      <c r="AA83" s="3">
        <f t="shared" si="20"/>
        <v>1</v>
      </c>
    </row>
    <row r="84" ht="15.75" customHeight="1">
      <c r="B84" s="1">
        <v>52.4</v>
      </c>
      <c r="C84" s="1">
        <v>-6.8</v>
      </c>
      <c r="D84" s="1">
        <v>-4.5</v>
      </c>
      <c r="E84" s="1">
        <v>5.0</v>
      </c>
      <c r="F84" s="1">
        <v>69.0</v>
      </c>
      <c r="G84" s="1">
        <f t="shared" ref="G84:I84" si="376">SUMPRODUCT($B84:$E84, INDEX($B$2:$E$4, G$10, 0))+ INDEX($F$2:$F$4,G$10,1)</f>
        <v>36.91298837</v>
      </c>
      <c r="H84" s="1">
        <f t="shared" si="376"/>
        <v>157.568357</v>
      </c>
      <c r="I84" s="1">
        <f t="shared" si="376"/>
        <v>337.581555</v>
      </c>
      <c r="J84" s="1">
        <f t="shared" ref="J84:L84" si="377">(G84-G$7)/(G$6-G$7)*2-1</f>
        <v>-0.1183948266</v>
      </c>
      <c r="K84" s="1">
        <f t="shared" si="377"/>
        <v>0.1496131203</v>
      </c>
      <c r="L84" s="1">
        <f t="shared" si="377"/>
        <v>0.2393617735</v>
      </c>
      <c r="M84" s="1">
        <f t="shared" ref="M84:O84" si="378">1/(1+EXP(-J84))</f>
        <v>0.4704358195</v>
      </c>
      <c r="N84" s="1">
        <f t="shared" si="378"/>
        <v>0.537333666</v>
      </c>
      <c r="O84" s="1">
        <f t="shared" si="378"/>
        <v>0.5595563624</v>
      </c>
      <c r="P84" s="1">
        <f t="shared" si="13"/>
        <v>71.91691553</v>
      </c>
      <c r="Q84" s="1">
        <f t="shared" si="14"/>
        <v>8.508396206</v>
      </c>
      <c r="R84" s="1">
        <f t="shared" ref="R84:T84" si="379">SUMPRODUCT($M84:$O84, INDEX($I$2:$K$4, R$10, 0))+ INDEX($L$2:$L$4, R$10,1)</f>
        <v>7.215610616</v>
      </c>
      <c r="S84" s="1">
        <f t="shared" si="379"/>
        <v>-3.010048739</v>
      </c>
      <c r="T84" s="1">
        <f t="shared" si="379"/>
        <v>0.6263721621</v>
      </c>
      <c r="U84" s="1">
        <f t="shared" ref="U84:W84" si="380">1/(1+EXP(-R84))</f>
        <v>0.9992655182</v>
      </c>
      <c r="V84" s="1">
        <f t="shared" si="380"/>
        <v>0.04697396372</v>
      </c>
      <c r="W84" s="1">
        <f t="shared" si="380"/>
        <v>0.6516664066</v>
      </c>
      <c r="X84" s="1">
        <f t="shared" si="17"/>
        <v>68.63013007</v>
      </c>
      <c r="Y84" s="1">
        <f t="shared" si="18"/>
        <v>0.1368037657</v>
      </c>
      <c r="Z84" s="3">
        <f t="shared" si="19"/>
        <v>69</v>
      </c>
      <c r="AA84" s="3">
        <f t="shared" si="20"/>
        <v>0</v>
      </c>
    </row>
    <row r="85" ht="15.75" customHeight="1">
      <c r="B85" s="1">
        <v>52.4</v>
      </c>
      <c r="C85" s="1">
        <v>-4.7</v>
      </c>
      <c r="D85" s="1">
        <v>-2.5</v>
      </c>
      <c r="E85" s="1">
        <v>8.0</v>
      </c>
      <c r="F85" s="1">
        <v>69.0</v>
      </c>
      <c r="G85" s="1">
        <f t="shared" ref="G85:I85" si="381">SUMPRODUCT($B85:$E85, INDEX($B$2:$E$4, G$10, 0))+ INDEX($F$2:$F$4,G$10,1)</f>
        <v>43.01192495</v>
      </c>
      <c r="H85" s="1">
        <f t="shared" si="381"/>
        <v>166.982567</v>
      </c>
      <c r="I85" s="1">
        <f t="shared" si="381"/>
        <v>367.1068061</v>
      </c>
      <c r="J85" s="1">
        <f t="shared" ref="J85:L85" si="382">(G85-G$7)/(G$6-G$7)*2-1</f>
        <v>0.2106133596</v>
      </c>
      <c r="K85" s="1">
        <f t="shared" si="382"/>
        <v>0.2985197254</v>
      </c>
      <c r="L85" s="1">
        <f t="shared" si="382"/>
        <v>0.4548824487</v>
      </c>
      <c r="M85" s="1">
        <f t="shared" ref="M85:O85" si="383">1/(1+EXP(-J85))</f>
        <v>0.5524595664</v>
      </c>
      <c r="N85" s="1">
        <f t="shared" si="383"/>
        <v>0.5740806116</v>
      </c>
      <c r="O85" s="1">
        <f t="shared" si="383"/>
        <v>0.6117994508</v>
      </c>
      <c r="P85" s="1">
        <f t="shared" si="13"/>
        <v>76.83390098</v>
      </c>
      <c r="Q85" s="1">
        <f t="shared" si="14"/>
        <v>61.37000457</v>
      </c>
      <c r="R85" s="1">
        <f t="shared" ref="R85:T85" si="384">SUMPRODUCT($M85:$O85, INDEX($I$2:$K$4, R$10, 0))+ INDEX($L$2:$L$4, R$10,1)</f>
        <v>7.559328349</v>
      </c>
      <c r="S85" s="1">
        <f t="shared" si="384"/>
        <v>-2.953226656</v>
      </c>
      <c r="T85" s="1">
        <f t="shared" si="384"/>
        <v>1.452084669</v>
      </c>
      <c r="U85" s="1">
        <f t="shared" ref="U85:W85" si="385">1/(1+EXP(-R85))</f>
        <v>0.9994790463</v>
      </c>
      <c r="V85" s="1">
        <f t="shared" si="385"/>
        <v>0.04958423214</v>
      </c>
      <c r="W85" s="1">
        <f t="shared" si="385"/>
        <v>0.8103190592</v>
      </c>
      <c r="X85" s="1">
        <f t="shared" si="17"/>
        <v>77.62582031</v>
      </c>
      <c r="Y85" s="1">
        <f t="shared" si="18"/>
        <v>74.404776</v>
      </c>
      <c r="Z85" s="3">
        <f t="shared" si="19"/>
        <v>84</v>
      </c>
      <c r="AA85" s="3">
        <f t="shared" si="20"/>
        <v>1</v>
      </c>
    </row>
    <row r="86" ht="15.75" customHeight="1">
      <c r="B86" s="1">
        <v>42.9</v>
      </c>
      <c r="C86" s="1">
        <v>-4.7</v>
      </c>
      <c r="D86" s="1">
        <v>-0.6</v>
      </c>
      <c r="E86" s="1">
        <v>7.0</v>
      </c>
      <c r="F86" s="1">
        <v>69.0</v>
      </c>
      <c r="G86" s="1">
        <f t="shared" ref="G86:I86" si="386">SUMPRODUCT($B86:$E86, INDEX($B$2:$E$4, G$10, 0))+ INDEX($F$2:$F$4,G$10,1)</f>
        <v>44.15683518</v>
      </c>
      <c r="H86" s="1">
        <f t="shared" si="386"/>
        <v>157.7721998</v>
      </c>
      <c r="I86" s="1">
        <f t="shared" si="386"/>
        <v>333.0711528</v>
      </c>
      <c r="J86" s="1">
        <f t="shared" ref="J86:L86" si="387">(G86-G$7)/(G$6-G$7)*2-1</f>
        <v>0.2723757398</v>
      </c>
      <c r="K86" s="1">
        <f t="shared" si="387"/>
        <v>0.1528373451</v>
      </c>
      <c r="L86" s="1">
        <f t="shared" si="387"/>
        <v>0.206437924</v>
      </c>
      <c r="M86" s="1">
        <f t="shared" ref="M86:O86" si="388">1/(1+EXP(-J86))</f>
        <v>0.5676760524</v>
      </c>
      <c r="N86" s="1">
        <f t="shared" si="388"/>
        <v>0.5381351311</v>
      </c>
      <c r="O86" s="1">
        <f t="shared" si="388"/>
        <v>0.5514269736</v>
      </c>
      <c r="P86" s="1">
        <f t="shared" si="13"/>
        <v>72.82872726</v>
      </c>
      <c r="Q86" s="1">
        <f t="shared" si="14"/>
        <v>14.65915246</v>
      </c>
      <c r="R86" s="1">
        <f t="shared" ref="R86:T86" si="389">SUMPRODUCT($M86:$O86, INDEX($I$2:$K$4, R$10, 0))+ INDEX($L$2:$L$4, R$10,1)</f>
        <v>7.391894048</v>
      </c>
      <c r="S86" s="1">
        <f t="shared" si="389"/>
        <v>-2.97990547</v>
      </c>
      <c r="T86" s="1">
        <f t="shared" si="389"/>
        <v>1.058024231</v>
      </c>
      <c r="U86" s="1">
        <f t="shared" ref="U86:W86" si="390">1/(1+EXP(-R86))</f>
        <v>0.9993841518</v>
      </c>
      <c r="V86" s="1">
        <f t="shared" si="390"/>
        <v>0.04834197737</v>
      </c>
      <c r="W86" s="1">
        <f t="shared" si="390"/>
        <v>0.7423127922</v>
      </c>
      <c r="X86" s="1">
        <f t="shared" si="17"/>
        <v>73.76578022</v>
      </c>
      <c r="Y86" s="1">
        <f t="shared" si="18"/>
        <v>22.71266113</v>
      </c>
      <c r="Z86" s="3">
        <f t="shared" si="19"/>
        <v>69</v>
      </c>
      <c r="AA86" s="3">
        <f t="shared" si="20"/>
        <v>0</v>
      </c>
    </row>
    <row r="87" ht="15.75" customHeight="1">
      <c r="B87" s="1">
        <v>38.1</v>
      </c>
      <c r="C87" s="1">
        <v>-5.7</v>
      </c>
      <c r="D87" s="1">
        <v>-0.6</v>
      </c>
      <c r="E87" s="1">
        <v>7.0</v>
      </c>
      <c r="F87" s="1">
        <v>69.0</v>
      </c>
      <c r="G87" s="1">
        <f t="shared" ref="G87:I87" si="391">SUMPRODUCT($B87:$E87, INDEX($B$2:$E$4, G$10, 0))+ INDEX($F$2:$F$4,G$10,1)</f>
        <v>43.97316837</v>
      </c>
      <c r="H87" s="1">
        <f t="shared" si="391"/>
        <v>150.4309813</v>
      </c>
      <c r="I87" s="1">
        <f t="shared" si="391"/>
        <v>302.7807714</v>
      </c>
      <c r="J87" s="1">
        <f t="shared" ref="J87:L87" si="392">(G87-G$7)/(G$6-G$7)*2-1</f>
        <v>0.2624678019</v>
      </c>
      <c r="K87" s="1">
        <f t="shared" si="392"/>
        <v>0.0367196964</v>
      </c>
      <c r="L87" s="1">
        <f t="shared" si="392"/>
        <v>-0.01466784893</v>
      </c>
      <c r="M87" s="1">
        <f t="shared" ref="M87:O87" si="393">1/(1+EXP(-J87))</f>
        <v>0.5652428351</v>
      </c>
      <c r="N87" s="1">
        <f t="shared" si="393"/>
        <v>0.5091788928</v>
      </c>
      <c r="O87" s="1">
        <f t="shared" si="393"/>
        <v>0.4963331035</v>
      </c>
      <c r="P87" s="1">
        <f t="shared" si="13"/>
        <v>69.06765851</v>
      </c>
      <c r="Q87" s="1">
        <f t="shared" si="14"/>
        <v>0.004577674246</v>
      </c>
      <c r="R87" s="1">
        <f t="shared" ref="R87:T87" si="394">SUMPRODUCT($M87:$O87, INDEX($I$2:$K$4, R$10, 0))+ INDEX($L$2:$L$4, R$10,1)</f>
        <v>7.214568186</v>
      </c>
      <c r="S87" s="1">
        <f t="shared" si="394"/>
        <v>-3.008503009</v>
      </c>
      <c r="T87" s="1">
        <f t="shared" si="394"/>
        <v>0.639381663</v>
      </c>
      <c r="U87" s="1">
        <f t="shared" ref="U87:W87" si="395">1/(1+EXP(-R87))</f>
        <v>0.9992647527</v>
      </c>
      <c r="V87" s="1">
        <f t="shared" si="395"/>
        <v>0.04704321053</v>
      </c>
      <c r="W87" s="1">
        <f t="shared" si="395"/>
        <v>0.6546136713</v>
      </c>
      <c r="X87" s="1">
        <f t="shared" si="17"/>
        <v>68.79784481</v>
      </c>
      <c r="Y87" s="1">
        <f t="shared" si="18"/>
        <v>0.04086672143</v>
      </c>
      <c r="Z87" s="3">
        <f t="shared" si="19"/>
        <v>69</v>
      </c>
      <c r="AA87" s="3">
        <f t="shared" si="20"/>
        <v>0</v>
      </c>
    </row>
    <row r="88" ht="15.75" customHeight="1">
      <c r="B88" s="1">
        <v>52.4</v>
      </c>
      <c r="C88" s="1">
        <v>-5.9</v>
      </c>
      <c r="D88" s="1">
        <v>-4.5</v>
      </c>
      <c r="E88" s="1">
        <v>5.0</v>
      </c>
      <c r="F88" s="1">
        <v>69.0</v>
      </c>
      <c r="G88" s="1">
        <f t="shared" ref="G88:I88" si="396">SUMPRODUCT($B88:$E88, INDEX($B$2:$E$4, G$10, 0))+ INDEX($F$2:$F$4,G$10,1)</f>
        <v>34.52831614</v>
      </c>
      <c r="H88" s="1">
        <f t="shared" si="396"/>
        <v>151.6295047</v>
      </c>
      <c r="I88" s="1">
        <f t="shared" si="396"/>
        <v>333.1072481</v>
      </c>
      <c r="J88" s="1">
        <f t="shared" ref="J88:L88" si="397">(G88-G$7)/(G$6-G$7)*2-1</f>
        <v>-0.2470363817</v>
      </c>
      <c r="K88" s="1">
        <f t="shared" si="397"/>
        <v>0.05567700233</v>
      </c>
      <c r="L88" s="1">
        <f t="shared" si="397"/>
        <v>0.2067014029</v>
      </c>
      <c r="M88" s="1">
        <f t="shared" ref="M88:O88" si="398">1/(1+EXP(-J88))</f>
        <v>0.4385530805</v>
      </c>
      <c r="N88" s="1">
        <f t="shared" si="398"/>
        <v>0.513915656</v>
      </c>
      <c r="O88" s="1">
        <f t="shared" si="398"/>
        <v>0.5514921456</v>
      </c>
      <c r="P88" s="1">
        <f t="shared" si="13"/>
        <v>70.37263147</v>
      </c>
      <c r="Q88" s="1">
        <f t="shared" si="14"/>
        <v>1.884117166</v>
      </c>
      <c r="R88" s="1">
        <f t="shared" ref="R88:T88" si="399">SUMPRODUCT($M88:$O88, INDEX($I$2:$K$4, R$10, 0))+ INDEX($L$2:$L$4, R$10,1)</f>
        <v>7.089439538</v>
      </c>
      <c r="S88" s="1">
        <f t="shared" si="399"/>
        <v>-3.030917777</v>
      </c>
      <c r="T88" s="1">
        <f t="shared" si="399"/>
        <v>0.3180291593</v>
      </c>
      <c r="U88" s="1">
        <f t="shared" ref="U88:W88" si="400">1/(1+EXP(-R88))</f>
        <v>0.9991668302</v>
      </c>
      <c r="V88" s="1">
        <f t="shared" si="400"/>
        <v>0.04604849412</v>
      </c>
      <c r="W88" s="1">
        <f t="shared" si="400"/>
        <v>0.5788438682</v>
      </c>
      <c r="X88" s="1">
        <f t="shared" si="17"/>
        <v>64.50988148</v>
      </c>
      <c r="Y88" s="1">
        <f t="shared" si="18"/>
        <v>20.16116436</v>
      </c>
      <c r="Z88" s="3">
        <f t="shared" si="19"/>
        <v>69</v>
      </c>
      <c r="AA88" s="3">
        <f t="shared" si="20"/>
        <v>0</v>
      </c>
    </row>
    <row r="89" ht="15.75" customHeight="1">
      <c r="B89" s="1">
        <v>47.6</v>
      </c>
      <c r="C89" s="1">
        <v>-4.3</v>
      </c>
      <c r="D89" s="1">
        <v>-2.4</v>
      </c>
      <c r="E89" s="1">
        <v>7.0</v>
      </c>
      <c r="F89" s="1">
        <v>69.0</v>
      </c>
      <c r="G89" s="1">
        <f t="shared" ref="G89:I89" si="401">SUMPRODUCT($B89:$E89, INDEX($B$2:$E$4, G$10, 0))+ INDEX($F$2:$F$4,G$10,1)</f>
        <v>38.4092893</v>
      </c>
      <c r="H89" s="1">
        <f t="shared" si="401"/>
        <v>150.4528976</v>
      </c>
      <c r="I89" s="1">
        <f t="shared" si="401"/>
        <v>331.1934386</v>
      </c>
      <c r="J89" s="1">
        <f t="shared" ref="J89:L89" si="402">(G89-G$7)/(G$6-G$7)*2-1</f>
        <v>-0.03767661509</v>
      </c>
      <c r="K89" s="1">
        <f t="shared" si="402"/>
        <v>0.03706635143</v>
      </c>
      <c r="L89" s="1">
        <f t="shared" si="402"/>
        <v>0.192731479</v>
      </c>
      <c r="M89" s="1">
        <f t="shared" ref="M89:O89" si="403">1/(1+EXP(-J89))</f>
        <v>0.4905819603</v>
      </c>
      <c r="N89" s="1">
        <f t="shared" si="403"/>
        <v>0.509265527</v>
      </c>
      <c r="O89" s="1">
        <f t="shared" si="403"/>
        <v>0.5480342739</v>
      </c>
      <c r="P89" s="1">
        <f t="shared" si="13"/>
        <v>70.75639612</v>
      </c>
      <c r="Q89" s="1">
        <f t="shared" si="14"/>
        <v>3.084927313</v>
      </c>
      <c r="R89" s="1">
        <f t="shared" ref="R89:T89" si="404">SUMPRODUCT($M89:$O89, INDEX($I$2:$K$4, R$10, 0))+ INDEX($L$2:$L$4, R$10,1)</f>
        <v>7.175540759</v>
      </c>
      <c r="S89" s="1">
        <f t="shared" si="404"/>
        <v>-3.01610561</v>
      </c>
      <c r="T89" s="1">
        <f t="shared" si="404"/>
        <v>0.5278436855</v>
      </c>
      <c r="U89" s="1">
        <f t="shared" ref="U89:W89" si="405">1/(1+EXP(-R89))</f>
        <v>0.999235513</v>
      </c>
      <c r="V89" s="1">
        <f t="shared" si="405"/>
        <v>0.04670355608</v>
      </c>
      <c r="W89" s="1">
        <f t="shared" si="405"/>
        <v>0.6289800456</v>
      </c>
      <c r="X89" s="1">
        <f t="shared" si="17"/>
        <v>67.34714273</v>
      </c>
      <c r="Y89" s="1">
        <f t="shared" si="18"/>
        <v>2.731937141</v>
      </c>
      <c r="Z89" s="3">
        <f t="shared" si="19"/>
        <v>69</v>
      </c>
      <c r="AA89" s="3">
        <f t="shared" si="20"/>
        <v>0</v>
      </c>
    </row>
    <row r="90" ht="15.75" customHeight="1">
      <c r="B90" s="1">
        <v>47.6</v>
      </c>
      <c r="C90" s="1">
        <v>-5.6</v>
      </c>
      <c r="D90" s="1">
        <v>-3.8</v>
      </c>
      <c r="E90" s="1">
        <v>5.0</v>
      </c>
      <c r="F90" s="1">
        <v>69.0</v>
      </c>
      <c r="G90" s="1">
        <f t="shared" ref="G90:I90" si="406">SUMPRODUCT($B90:$E90, INDEX($B$2:$E$4, G$10, 0))+ INDEX($F$2:$F$4,G$10,1)</f>
        <v>33.80199885</v>
      </c>
      <c r="H90" s="1">
        <f t="shared" si="406"/>
        <v>142.8380207</v>
      </c>
      <c r="I90" s="1">
        <f t="shared" si="406"/>
        <v>309.7381132</v>
      </c>
      <c r="J90" s="1">
        <f t="shared" ref="J90:L90" si="407">(G90-G$7)/(G$6-G$7)*2-1</f>
        <v>-0.2862176935</v>
      </c>
      <c r="K90" s="1">
        <f t="shared" si="407"/>
        <v>-0.08337981159</v>
      </c>
      <c r="L90" s="1">
        <f t="shared" si="407"/>
        <v>0.03611752844</v>
      </c>
      <c r="M90" s="1">
        <f t="shared" ref="M90:O90" si="408">1/(1+EXP(-J90))</f>
        <v>0.4289300894</v>
      </c>
      <c r="N90" s="1">
        <f t="shared" si="408"/>
        <v>0.4791671152</v>
      </c>
      <c r="O90" s="1">
        <f t="shared" si="408"/>
        <v>0.5090284007</v>
      </c>
      <c r="P90" s="1">
        <f t="shared" si="13"/>
        <v>67.00079811</v>
      </c>
      <c r="Q90" s="1">
        <f t="shared" si="14"/>
        <v>3.99680821</v>
      </c>
      <c r="R90" s="1">
        <f t="shared" ref="R90:T90" si="409">SUMPRODUCT($M90:$O90, INDEX($I$2:$K$4, R$10, 0))+ INDEX($L$2:$L$4, R$10,1)</f>
        <v>6.912818002</v>
      </c>
      <c r="S90" s="1">
        <f t="shared" si="409"/>
        <v>-3.059515614</v>
      </c>
      <c r="T90" s="1">
        <f t="shared" si="409"/>
        <v>-0.1039313296</v>
      </c>
      <c r="U90" s="1">
        <f t="shared" ref="U90:W90" si="410">1/(1+EXP(-R90))</f>
        <v>0.9990060389</v>
      </c>
      <c r="V90" s="1">
        <f t="shared" si="410"/>
        <v>0.0448084305</v>
      </c>
      <c r="W90" s="1">
        <f t="shared" si="410"/>
        <v>0.4740405306</v>
      </c>
      <c r="X90" s="1">
        <f t="shared" si="17"/>
        <v>58.58288253</v>
      </c>
      <c r="Y90" s="1">
        <f t="shared" si="18"/>
        <v>108.5163364</v>
      </c>
      <c r="Z90" s="3">
        <f t="shared" si="19"/>
        <v>39</v>
      </c>
      <c r="AA90" s="3">
        <f t="shared" si="20"/>
        <v>1</v>
      </c>
    </row>
    <row r="91" ht="15.75" customHeight="1">
      <c r="B91" s="1">
        <v>47.6</v>
      </c>
      <c r="C91" s="1">
        <v>-5.6</v>
      </c>
      <c r="D91" s="1">
        <v>-0.6</v>
      </c>
      <c r="E91" s="1">
        <v>7.0</v>
      </c>
      <c r="F91" s="1">
        <v>69.0</v>
      </c>
      <c r="G91" s="1">
        <f t="shared" ref="G91:I91" si="411">SUMPRODUCT($B91:$E91, INDEX($B$2:$E$4, G$10, 0))+ INDEX($F$2:$F$4,G$10,1)</f>
        <v>49.3157829</v>
      </c>
      <c r="H91" s="1">
        <f t="shared" si="411"/>
        <v>177.3605799</v>
      </c>
      <c r="I91" s="1">
        <f t="shared" si="411"/>
        <v>372.0726717</v>
      </c>
      <c r="J91" s="1">
        <f t="shared" ref="J91:L91" si="412">(G91-G$7)/(G$6-G$7)*2-1</f>
        <v>0.5506760648</v>
      </c>
      <c r="K91" s="1">
        <f t="shared" si="412"/>
        <v>0.4626710113</v>
      </c>
      <c r="L91" s="1">
        <f t="shared" si="412"/>
        <v>0.4911309708</v>
      </c>
      <c r="M91" s="1">
        <f t="shared" ref="M91:O91" si="413">1/(1+EXP(-J91))</f>
        <v>0.634292429</v>
      </c>
      <c r="N91" s="1">
        <f t="shared" si="413"/>
        <v>0.6136476227</v>
      </c>
      <c r="O91" s="1">
        <f t="shared" si="413"/>
        <v>0.620372824</v>
      </c>
      <c r="P91" s="1">
        <f t="shared" si="13"/>
        <v>79.55712212</v>
      </c>
      <c r="Q91" s="1">
        <f t="shared" si="14"/>
        <v>111.4528275</v>
      </c>
      <c r="R91" s="1">
        <f t="shared" ref="R91:T91" si="414">SUMPRODUCT($M91:$O91, INDEX($I$2:$K$4, R$10, 0))+ INDEX($L$2:$L$4, R$10,1)</f>
        <v>7.817076249</v>
      </c>
      <c r="S91" s="1">
        <f t="shared" si="414"/>
        <v>-2.910285828</v>
      </c>
      <c r="T91" s="1">
        <f t="shared" si="414"/>
        <v>2.083122142</v>
      </c>
      <c r="U91" s="1">
        <f t="shared" ref="U91:W91" si="415">1/(1+EXP(-R91))</f>
        <v>0.9995973645</v>
      </c>
      <c r="V91" s="1">
        <f t="shared" si="415"/>
        <v>0.05164743383</v>
      </c>
      <c r="W91" s="1">
        <f t="shared" si="415"/>
        <v>0.889251885</v>
      </c>
      <c r="X91" s="1">
        <f t="shared" si="17"/>
        <v>82.12631389</v>
      </c>
      <c r="Y91" s="1">
        <f t="shared" si="18"/>
        <v>172.3001165</v>
      </c>
      <c r="Z91" s="3">
        <f t="shared" si="19"/>
        <v>84</v>
      </c>
      <c r="AA91" s="3">
        <f t="shared" si="20"/>
        <v>1</v>
      </c>
    </row>
    <row r="92" ht="15.75" customHeight="1">
      <c r="B92" s="1">
        <v>52.4</v>
      </c>
      <c r="C92" s="1">
        <v>-6.4</v>
      </c>
      <c r="D92" s="1">
        <v>-0.4</v>
      </c>
      <c r="E92" s="1">
        <v>7.0</v>
      </c>
      <c r="F92" s="1">
        <v>69.0</v>
      </c>
      <c r="G92" s="1">
        <f t="shared" ref="G92:I92" si="416">SUMPRODUCT($B92:$E92, INDEX($B$2:$E$4, G$10, 0))+ INDEX($F$2:$F$4,G$10,1)</f>
        <v>55.09790163</v>
      </c>
      <c r="H92" s="1">
        <f t="shared" si="416"/>
        <v>198.6160963</v>
      </c>
      <c r="I92" s="1">
        <f t="shared" si="416"/>
        <v>415.1357053</v>
      </c>
      <c r="J92" s="1">
        <f t="shared" ref="J92:L92" si="417">(G92-G$7)/(G$6-G$7)*2-1</f>
        <v>0.8625934574</v>
      </c>
      <c r="K92" s="1">
        <f t="shared" si="417"/>
        <v>0.7988741355</v>
      </c>
      <c r="L92" s="1">
        <f t="shared" si="417"/>
        <v>0.8054711962</v>
      </c>
      <c r="M92" s="1">
        <f t="shared" ref="M92:O92" si="418">1/(1+EXP(-J92))</f>
        <v>0.703202217</v>
      </c>
      <c r="N92" s="1">
        <f t="shared" si="418"/>
        <v>0.6897335963</v>
      </c>
      <c r="O92" s="1">
        <f t="shared" si="418"/>
        <v>0.6911436049</v>
      </c>
      <c r="P92" s="1">
        <f t="shared" si="13"/>
        <v>86.42851128</v>
      </c>
      <c r="Q92" s="1">
        <f t="shared" si="14"/>
        <v>303.7530055</v>
      </c>
      <c r="R92" s="1">
        <f t="shared" ref="R92:T92" si="419">SUMPRODUCT($M92:$O92, INDEX($I$2:$K$4, R$10, 0))+ INDEX($L$2:$L$4, R$10,1)</f>
        <v>8.251728235</v>
      </c>
      <c r="S92" s="1">
        <f t="shared" si="419"/>
        <v>-2.839099203</v>
      </c>
      <c r="T92" s="1">
        <f t="shared" si="419"/>
        <v>3.130771477</v>
      </c>
      <c r="U92" s="1">
        <f t="shared" ref="U92:W92" si="420">1/(1+EXP(-R92))</f>
        <v>0.9997392606</v>
      </c>
      <c r="V92" s="1">
        <f t="shared" si="420"/>
        <v>0.05524753625</v>
      </c>
      <c r="W92" s="1">
        <f t="shared" si="420"/>
        <v>0.958144343</v>
      </c>
      <c r="X92" s="1">
        <f t="shared" si="17"/>
        <v>86.11323159</v>
      </c>
      <c r="Y92" s="1">
        <f t="shared" si="18"/>
        <v>292.8626954</v>
      </c>
      <c r="Z92" s="3">
        <f t="shared" si="19"/>
        <v>84</v>
      </c>
      <c r="AA92" s="3">
        <f t="shared" si="20"/>
        <v>1</v>
      </c>
    </row>
    <row r="93" ht="15.75" customHeight="1">
      <c r="B93" s="1">
        <v>42.9</v>
      </c>
      <c r="C93" s="1">
        <v>-5.1</v>
      </c>
      <c r="D93" s="1">
        <v>-2.3</v>
      </c>
      <c r="E93" s="1">
        <v>8.0</v>
      </c>
      <c r="F93" s="1">
        <v>69.0</v>
      </c>
      <c r="G93" s="1">
        <f t="shared" ref="G93:I93" si="421">SUMPRODUCT($B93:$E93, INDEX($B$2:$E$4, G$10, 0))+ INDEX($F$2:$F$4,G$10,1)</f>
        <v>39.29330861</v>
      </c>
      <c r="H93" s="1">
        <f t="shared" si="421"/>
        <v>144.0691791</v>
      </c>
      <c r="I93" s="1">
        <f t="shared" si="421"/>
        <v>303.1303797</v>
      </c>
      <c r="J93" s="1">
        <f t="shared" ref="J93:L93" si="422">(G93-G$7)/(G$6-G$7)*2-1</f>
        <v>0.01001195951</v>
      </c>
      <c r="K93" s="1">
        <f t="shared" si="422"/>
        <v>-0.06390631065</v>
      </c>
      <c r="L93" s="1">
        <f t="shared" si="422"/>
        <v>-0.01211586967</v>
      </c>
      <c r="M93" s="1">
        <f t="shared" ref="M93:O93" si="423">1/(1+EXP(-J93))</f>
        <v>0.502502969</v>
      </c>
      <c r="N93" s="1">
        <f t="shared" si="423"/>
        <v>0.4840288575</v>
      </c>
      <c r="O93" s="1">
        <f t="shared" si="423"/>
        <v>0.4969710696</v>
      </c>
      <c r="P93" s="1">
        <f t="shared" si="13"/>
        <v>67.50915097</v>
      </c>
      <c r="Q93" s="1">
        <f t="shared" si="14"/>
        <v>2.222630827</v>
      </c>
      <c r="R93" s="1">
        <f t="shared" ref="R93:T93" si="424">SUMPRODUCT($M93:$O93, INDEX($I$2:$K$4, R$10, 0))+ INDEX($L$2:$L$4, R$10,1)</f>
        <v>7.042308962</v>
      </c>
      <c r="S93" s="1">
        <f t="shared" si="424"/>
        <v>-3.037344708</v>
      </c>
      <c r="T93" s="1">
        <f t="shared" si="424"/>
        <v>0.2158179808</v>
      </c>
      <c r="U93" s="1">
        <f t="shared" ref="U93:W93" si="425">1/(1+EXP(-R93))</f>
        <v>0.9991266574</v>
      </c>
      <c r="V93" s="1">
        <f t="shared" si="425"/>
        <v>0.04576699395</v>
      </c>
      <c r="W93" s="1">
        <f t="shared" si="425"/>
        <v>0.5537460444</v>
      </c>
      <c r="X93" s="1">
        <f t="shared" si="17"/>
        <v>63.09098766</v>
      </c>
      <c r="Y93" s="1">
        <f t="shared" si="18"/>
        <v>34.91642685</v>
      </c>
      <c r="Z93" s="3">
        <f t="shared" si="19"/>
        <v>69</v>
      </c>
      <c r="AA93" s="3">
        <f t="shared" si="20"/>
        <v>0</v>
      </c>
    </row>
    <row r="94" ht="15.75" customHeight="1">
      <c r="B94" s="1">
        <v>38.1</v>
      </c>
      <c r="C94" s="1">
        <v>-3.3</v>
      </c>
      <c r="D94" s="1">
        <v>-2.2</v>
      </c>
      <c r="E94" s="1">
        <v>8.0</v>
      </c>
      <c r="F94" s="1">
        <v>69.0</v>
      </c>
      <c r="G94" s="1">
        <f t="shared" ref="G94:I94" si="426">SUMPRODUCT($B94:$E94, INDEX($B$2:$E$4, G$10, 0))+ INDEX($F$2:$F$4,G$10,1)</f>
        <v>32.10521525</v>
      </c>
      <c r="H94" s="1">
        <f t="shared" si="426"/>
        <v>119.2698279</v>
      </c>
      <c r="I94" s="1">
        <f t="shared" si="426"/>
        <v>260.8319516</v>
      </c>
      <c r="J94" s="1">
        <f t="shared" ref="J94:L94" si="427">(G94-G$7)/(G$6-G$7)*2-1</f>
        <v>-0.3777509775</v>
      </c>
      <c r="K94" s="1">
        <f t="shared" si="427"/>
        <v>-0.4561630399</v>
      </c>
      <c r="L94" s="1">
        <f t="shared" si="427"/>
        <v>-0.3208748288</v>
      </c>
      <c r="M94" s="1">
        <f t="shared" ref="M94:O94" si="428">1/(1+EXP(-J94))</f>
        <v>0.4066694483</v>
      </c>
      <c r="N94" s="1">
        <f t="shared" si="428"/>
        <v>0.3878964512</v>
      </c>
      <c r="O94" s="1">
        <f t="shared" si="428"/>
        <v>0.4204625602</v>
      </c>
      <c r="P94" s="1">
        <f t="shared" si="13"/>
        <v>59.38149656</v>
      </c>
      <c r="Q94" s="1">
        <f t="shared" si="14"/>
        <v>92.51560845</v>
      </c>
      <c r="R94" s="1">
        <f t="shared" ref="R94:T94" si="429">SUMPRODUCT($M94:$O94, INDEX($I$2:$K$4, R$10, 0))+ INDEX($L$2:$L$4, R$10,1)</f>
        <v>6.50281173</v>
      </c>
      <c r="S94" s="1">
        <f t="shared" si="429"/>
        <v>-3.125879348</v>
      </c>
      <c r="T94" s="1">
        <f t="shared" si="429"/>
        <v>-1.088465494</v>
      </c>
      <c r="U94" s="1">
        <f t="shared" ref="U94:W94" si="430">1/(1+EXP(-R94))</f>
        <v>0.9985030264</v>
      </c>
      <c r="V94" s="1">
        <f t="shared" si="430"/>
        <v>0.0420522901</v>
      </c>
      <c r="W94" s="1">
        <f t="shared" si="430"/>
        <v>0.251907346</v>
      </c>
      <c r="X94" s="1">
        <f t="shared" si="17"/>
        <v>46.01393936</v>
      </c>
      <c r="Y94" s="1">
        <f t="shared" si="18"/>
        <v>528.358984</v>
      </c>
      <c r="Z94" s="3">
        <f t="shared" si="19"/>
        <v>39</v>
      </c>
      <c r="AA94" s="3">
        <f t="shared" si="20"/>
        <v>1</v>
      </c>
    </row>
    <row r="95" ht="15.75" customHeight="1">
      <c r="B95" s="1">
        <v>47.6</v>
      </c>
      <c r="C95" s="1">
        <v>-4.4</v>
      </c>
      <c r="D95" s="1">
        <v>-2.7</v>
      </c>
      <c r="E95" s="1">
        <v>7.0</v>
      </c>
      <c r="F95" s="1">
        <v>69.0</v>
      </c>
      <c r="G95" s="1">
        <f t="shared" ref="G95:I95" si="431">SUMPRODUCT($B95:$E95, INDEX($B$2:$E$4, G$10, 0))+ INDEX($F$2:$F$4,G$10,1)</f>
        <v>37.4305917</v>
      </c>
      <c r="H95" s="1">
        <f t="shared" si="431"/>
        <v>148.05788</v>
      </c>
      <c r="I95" s="1">
        <f t="shared" si="431"/>
        <v>325.9545263</v>
      </c>
      <c r="J95" s="1">
        <f t="shared" ref="J95:L95" si="432">(G95-G$7)/(G$6-G$7)*2-1</f>
        <v>-0.09047262569</v>
      </c>
      <c r="K95" s="1">
        <f t="shared" si="432"/>
        <v>-0.0008161614934</v>
      </c>
      <c r="L95" s="1">
        <f t="shared" si="432"/>
        <v>0.1544898423</v>
      </c>
      <c r="M95" s="1">
        <f t="shared" ref="M95:O95" si="433">1/(1+EXP(-J95))</f>
        <v>0.477397259</v>
      </c>
      <c r="N95" s="1">
        <f t="shared" si="433"/>
        <v>0.4997959596</v>
      </c>
      <c r="O95" s="1">
        <f t="shared" si="433"/>
        <v>0.5385458262</v>
      </c>
      <c r="P95" s="1">
        <f t="shared" si="13"/>
        <v>69.80359506</v>
      </c>
      <c r="Q95" s="1">
        <f t="shared" si="14"/>
        <v>0.6457650235</v>
      </c>
      <c r="R95" s="1">
        <f t="shared" ref="R95:T95" si="434">SUMPRODUCT($M95:$O95, INDEX($I$2:$K$4, R$10, 0))+ INDEX($L$2:$L$4, R$10,1)</f>
        <v>7.110940398</v>
      </c>
      <c r="S95" s="1">
        <f t="shared" si="434"/>
        <v>-3.02674091</v>
      </c>
      <c r="T95" s="1">
        <f t="shared" si="434"/>
        <v>0.3721158833</v>
      </c>
      <c r="U95" s="1">
        <f t="shared" ref="U95:W95" si="435">1/(1+EXP(-R95))</f>
        <v>0.9991845384</v>
      </c>
      <c r="V95" s="1">
        <f t="shared" si="435"/>
        <v>0.04623232391</v>
      </c>
      <c r="W95" s="1">
        <f t="shared" si="435"/>
        <v>0.5919701513</v>
      </c>
      <c r="X95" s="1">
        <f t="shared" si="17"/>
        <v>65.25310776</v>
      </c>
      <c r="Y95" s="1">
        <f t="shared" si="18"/>
        <v>14.03920144</v>
      </c>
      <c r="Z95" s="3">
        <f t="shared" si="19"/>
        <v>69</v>
      </c>
      <c r="AA95" s="3">
        <f t="shared" si="20"/>
        <v>0</v>
      </c>
    </row>
    <row r="96" ht="15.75" customHeight="1">
      <c r="B96" s="1">
        <v>33.3</v>
      </c>
      <c r="C96" s="1">
        <v>-3.5</v>
      </c>
      <c r="D96" s="1">
        <v>-1.3</v>
      </c>
      <c r="E96" s="1">
        <v>7.0</v>
      </c>
      <c r="F96" s="1">
        <v>69.0</v>
      </c>
      <c r="G96" s="1">
        <f t="shared" ref="G96:I96" si="436">SUMPRODUCT($B96:$E96, INDEX($B$2:$E$4, G$10, 0))+ INDEX($F$2:$F$4,G$10,1)</f>
        <v>32.40879088</v>
      </c>
      <c r="H96" s="1">
        <f t="shared" si="436"/>
        <v>114.8457667</v>
      </c>
      <c r="I96" s="1">
        <f t="shared" si="436"/>
        <v>243.1976089</v>
      </c>
      <c r="J96" s="1">
        <f t="shared" ref="J96:L96" si="437">(G96-G$7)/(G$6-G$7)*2-1</f>
        <v>-0.3613745375</v>
      </c>
      <c r="K96" s="1">
        <f t="shared" si="437"/>
        <v>-0.5261393769</v>
      </c>
      <c r="L96" s="1">
        <f t="shared" si="437"/>
        <v>-0.4495973732</v>
      </c>
      <c r="M96" s="1">
        <f t="shared" ref="M96:O96" si="438">1/(1+EXP(-J96))</f>
        <v>0.4106268699</v>
      </c>
      <c r="N96" s="1">
        <f t="shared" si="438"/>
        <v>0.3714177663</v>
      </c>
      <c r="O96" s="1">
        <f t="shared" si="438"/>
        <v>0.3894564985</v>
      </c>
      <c r="P96" s="1">
        <f t="shared" si="13"/>
        <v>57.33125379</v>
      </c>
      <c r="Q96" s="1">
        <f t="shared" si="14"/>
        <v>136.1596382</v>
      </c>
      <c r="R96" s="1">
        <f t="shared" ref="R96:T96" si="439">SUMPRODUCT($M96:$O96, INDEX($I$2:$K$4, R$10, 0))+ INDEX($L$2:$L$4, R$10,1)</f>
        <v>6.413152443</v>
      </c>
      <c r="S96" s="1">
        <f t="shared" si="439"/>
        <v>-3.140244415</v>
      </c>
      <c r="T96" s="1">
        <f t="shared" si="439"/>
        <v>-1.299438035</v>
      </c>
      <c r="U96" s="1">
        <f t="shared" ref="U96:W96" si="440">1/(1+EXP(-R96))</f>
        <v>0.9983628379</v>
      </c>
      <c r="V96" s="1">
        <f t="shared" si="440"/>
        <v>0.04147740099</v>
      </c>
      <c r="W96" s="1">
        <f t="shared" si="440"/>
        <v>0.2142596099</v>
      </c>
      <c r="X96" s="1">
        <f t="shared" si="17"/>
        <v>43.87941976</v>
      </c>
      <c r="Y96" s="1">
        <f t="shared" si="18"/>
        <v>631.0435515</v>
      </c>
      <c r="Z96" s="3">
        <f t="shared" si="19"/>
        <v>39</v>
      </c>
      <c r="AA96" s="3">
        <f t="shared" si="20"/>
        <v>1</v>
      </c>
    </row>
    <row r="97" ht="15.75" customHeight="1">
      <c r="B97" s="1">
        <v>42.9</v>
      </c>
      <c r="C97" s="1">
        <v>-4.9</v>
      </c>
      <c r="D97" s="1">
        <v>-2.7</v>
      </c>
      <c r="E97" s="1">
        <v>7.0</v>
      </c>
      <c r="F97" s="1">
        <v>69.0</v>
      </c>
      <c r="G97" s="1">
        <f t="shared" ref="G97:I97" si="441">SUMPRODUCT($B97:$E97, INDEX($B$2:$E$4, G$10, 0))+ INDEX($F$2:$F$4,G$10,1)</f>
        <v>35.98113412</v>
      </c>
      <c r="H97" s="1">
        <f t="shared" si="441"/>
        <v>137.7077146</v>
      </c>
      <c r="I97" s="1">
        <f t="shared" si="441"/>
        <v>293.9130403</v>
      </c>
      <c r="J97" s="1">
        <f t="shared" ref="J97:L97" si="442">(G97-G$7)/(G$6-G$7)*2-1</f>
        <v>-0.168663865</v>
      </c>
      <c r="K97" s="1">
        <f t="shared" si="442"/>
        <v>-0.1645269775</v>
      </c>
      <c r="L97" s="1">
        <f t="shared" si="442"/>
        <v>-0.07939818366</v>
      </c>
      <c r="M97" s="1">
        <f t="shared" ref="M97:O97" si="443">1/(1+EXP(-J97))</f>
        <v>0.4579337099</v>
      </c>
      <c r="N97" s="1">
        <f t="shared" si="443"/>
        <v>0.4589607885</v>
      </c>
      <c r="O97" s="1">
        <f t="shared" si="443"/>
        <v>0.4801608753</v>
      </c>
      <c r="P97" s="1">
        <f t="shared" si="13"/>
        <v>65.28926036</v>
      </c>
      <c r="Q97" s="1">
        <f t="shared" si="14"/>
        <v>13.76958864</v>
      </c>
      <c r="R97" s="1">
        <f t="shared" ref="R97:T97" si="444">SUMPRODUCT($M97:$O97, INDEX($I$2:$K$4, R$10, 0))+ INDEX($L$2:$L$4, R$10,1)</f>
        <v>6.869592661</v>
      </c>
      <c r="S97" s="1">
        <f t="shared" si="444"/>
        <v>-3.065942745</v>
      </c>
      <c r="T97" s="1">
        <f t="shared" si="444"/>
        <v>-0.203242888</v>
      </c>
      <c r="U97" s="1">
        <f t="shared" ref="U97:W97" si="445">1/(1+EXP(-R97))</f>
        <v>0.998962178</v>
      </c>
      <c r="V97" s="1">
        <f t="shared" si="445"/>
        <v>0.04453414858</v>
      </c>
      <c r="W97" s="1">
        <f t="shared" si="445"/>
        <v>0.4493634646</v>
      </c>
      <c r="X97" s="1">
        <f t="shared" si="17"/>
        <v>57.18779295</v>
      </c>
      <c r="Y97" s="1">
        <f t="shared" si="18"/>
        <v>139.5282354</v>
      </c>
      <c r="Z97" s="3">
        <f t="shared" si="19"/>
        <v>39</v>
      </c>
      <c r="AA97" s="3">
        <f t="shared" si="20"/>
        <v>1</v>
      </c>
    </row>
    <row r="98" ht="15.75" customHeight="1">
      <c r="B98" s="1">
        <v>33.3</v>
      </c>
      <c r="C98" s="1">
        <v>-3.9</v>
      </c>
      <c r="D98" s="1">
        <v>-0.4</v>
      </c>
      <c r="E98" s="1">
        <v>7.0</v>
      </c>
      <c r="F98" s="1">
        <v>69.0</v>
      </c>
      <c r="G98" s="1">
        <f t="shared" ref="G98:I98" si="446">SUMPRODUCT($B98:$E98, INDEX($B$2:$E$4, G$10, 0))+ INDEX($F$2:$F$4,G$10,1)</f>
        <v>37.19962873</v>
      </c>
      <c r="H98" s="1">
        <f t="shared" si="446"/>
        <v>126.6499267</v>
      </c>
      <c r="I98" s="1">
        <f t="shared" si="446"/>
        <v>262.3943624</v>
      </c>
      <c r="J98" s="1">
        <f t="shared" ref="J98:L98" si="447">(G98-G$7)/(G$6-G$7)*2-1</f>
        <v>-0.1029319629</v>
      </c>
      <c r="K98" s="1">
        <f t="shared" si="447"/>
        <v>-0.3394304131</v>
      </c>
      <c r="L98" s="1">
        <f t="shared" si="447"/>
        <v>-0.3094699524</v>
      </c>
      <c r="M98" s="1">
        <f t="shared" ref="M98:O98" si="448">1/(1+EXP(-J98))</f>
        <v>0.4742897053</v>
      </c>
      <c r="N98" s="1">
        <f t="shared" si="448"/>
        <v>0.4159478432</v>
      </c>
      <c r="O98" s="1">
        <f t="shared" si="448"/>
        <v>0.4232441227</v>
      </c>
      <c r="P98" s="1">
        <f t="shared" si="13"/>
        <v>61.26996075</v>
      </c>
      <c r="Q98" s="1">
        <f t="shared" si="14"/>
        <v>59.75350687</v>
      </c>
      <c r="R98" s="1">
        <f t="shared" ref="R98:T98" si="449">SUMPRODUCT($M98:$O98, INDEX($I$2:$K$4, R$10, 0))+ INDEX($L$2:$L$4, R$10,1)</f>
        <v>6.697590883</v>
      </c>
      <c r="S98" s="1">
        <f t="shared" si="449"/>
        <v>-3.093324369</v>
      </c>
      <c r="T98" s="1">
        <f t="shared" si="449"/>
        <v>-0.6107178506</v>
      </c>
      <c r="U98" s="1">
        <f t="shared" ref="U98:W98" si="450">1/(1+EXP(-R98))</f>
        <v>0.9987676397</v>
      </c>
      <c r="V98" s="1">
        <f t="shared" si="450"/>
        <v>0.0433834596</v>
      </c>
      <c r="W98" s="1">
        <f t="shared" si="450"/>
        <v>0.3518954639</v>
      </c>
      <c r="X98" s="1">
        <f t="shared" si="17"/>
        <v>51.67505538</v>
      </c>
      <c r="Y98" s="1">
        <f t="shared" si="18"/>
        <v>300.1537062</v>
      </c>
      <c r="Z98" s="3">
        <f t="shared" si="19"/>
        <v>39</v>
      </c>
      <c r="AA98" s="3">
        <f t="shared" si="20"/>
        <v>1</v>
      </c>
    </row>
    <row r="99" ht="15.75" customHeight="1">
      <c r="B99" s="1">
        <v>38.1</v>
      </c>
      <c r="C99" s="1">
        <v>-5.8</v>
      </c>
      <c r="D99" s="1">
        <v>-0.6</v>
      </c>
      <c r="E99" s="1">
        <v>7.0</v>
      </c>
      <c r="F99" s="1">
        <v>69.0</v>
      </c>
      <c r="G99" s="1">
        <f t="shared" ref="G99:I99" si="451">SUMPRODUCT($B99:$E99, INDEX($B$2:$E$4, G$10, 0))+ INDEX($F$2:$F$4,G$10,1)</f>
        <v>44.23813195</v>
      </c>
      <c r="H99" s="1">
        <f t="shared" si="451"/>
        <v>151.0908537</v>
      </c>
      <c r="I99" s="1">
        <f t="shared" si="451"/>
        <v>303.2779166</v>
      </c>
      <c r="J99" s="1">
        <f t="shared" ref="J99:L99" si="452">(G99-G$7)/(G$6-G$7)*2-1</f>
        <v>0.2767613081</v>
      </c>
      <c r="K99" s="1">
        <f t="shared" si="452"/>
        <v>0.04715704285</v>
      </c>
      <c r="L99" s="1">
        <f t="shared" si="452"/>
        <v>-0.01103891887</v>
      </c>
      <c r="M99" s="1">
        <f t="shared" ref="M99:O99" si="453">1/(1+EXP(-J99))</f>
        <v>0.5687520373</v>
      </c>
      <c r="N99" s="1">
        <f t="shared" si="453"/>
        <v>0.5117870765</v>
      </c>
      <c r="O99" s="1">
        <f t="shared" si="453"/>
        <v>0.4972402983</v>
      </c>
      <c r="P99" s="1">
        <f t="shared" si="13"/>
        <v>69.23956133</v>
      </c>
      <c r="Q99" s="1">
        <f t="shared" si="14"/>
        <v>0.05738963292</v>
      </c>
      <c r="R99" s="1">
        <f t="shared" ref="R99:T99" si="454">SUMPRODUCT($M99:$O99, INDEX($I$2:$K$4, R$10, 0))+ INDEX($L$2:$L$4, R$10,1)</f>
        <v>7.22855711</v>
      </c>
      <c r="S99" s="1">
        <f t="shared" si="454"/>
        <v>-3.006189676</v>
      </c>
      <c r="T99" s="1">
        <f t="shared" si="454"/>
        <v>0.6735662552</v>
      </c>
      <c r="U99" s="1">
        <f t="shared" ref="U99:W99" si="455">1/(1+EXP(-R99))</f>
        <v>0.999274959</v>
      </c>
      <c r="V99" s="1">
        <f t="shared" si="455"/>
        <v>0.0471470263</v>
      </c>
      <c r="W99" s="1">
        <f t="shared" si="455"/>
        <v>0.6623012429</v>
      </c>
      <c r="X99" s="1">
        <f t="shared" si="17"/>
        <v>69.23299746</v>
      </c>
      <c r="Y99" s="1">
        <f t="shared" si="18"/>
        <v>0.05428781597</v>
      </c>
      <c r="Z99" s="3">
        <f t="shared" si="19"/>
        <v>69</v>
      </c>
      <c r="AA99" s="3">
        <f t="shared" si="20"/>
        <v>0</v>
      </c>
    </row>
    <row r="100" ht="15.75" customHeight="1">
      <c r="B100" s="1">
        <v>42.9</v>
      </c>
      <c r="C100" s="1">
        <v>-4.7</v>
      </c>
      <c r="D100" s="1">
        <v>-0.6</v>
      </c>
      <c r="E100" s="1">
        <v>7.0</v>
      </c>
      <c r="F100" s="1">
        <v>69.0</v>
      </c>
      <c r="G100" s="1">
        <f t="shared" ref="G100:I100" si="456">SUMPRODUCT($B100:$E100, INDEX($B$2:$E$4, G$10, 0))+ INDEX($F$2:$F$4,G$10,1)</f>
        <v>44.15683518</v>
      </c>
      <c r="H100" s="1">
        <f t="shared" si="456"/>
        <v>157.7721998</v>
      </c>
      <c r="I100" s="1">
        <f t="shared" si="456"/>
        <v>333.0711528</v>
      </c>
      <c r="J100" s="1">
        <f t="shared" ref="J100:L100" si="457">(G100-G$7)/(G$6-G$7)*2-1</f>
        <v>0.2723757398</v>
      </c>
      <c r="K100" s="1">
        <f t="shared" si="457"/>
        <v>0.1528373451</v>
      </c>
      <c r="L100" s="1">
        <f t="shared" si="457"/>
        <v>0.206437924</v>
      </c>
      <c r="M100" s="1">
        <f t="shared" ref="M100:O100" si="458">1/(1+EXP(-J100))</f>
        <v>0.5676760524</v>
      </c>
      <c r="N100" s="1">
        <f t="shared" si="458"/>
        <v>0.5381351311</v>
      </c>
      <c r="O100" s="1">
        <f t="shared" si="458"/>
        <v>0.5514269736</v>
      </c>
      <c r="P100" s="1">
        <f t="shared" si="13"/>
        <v>72.82872726</v>
      </c>
      <c r="Q100" s="1">
        <f t="shared" si="14"/>
        <v>14.65915246</v>
      </c>
      <c r="R100" s="1">
        <f t="shared" ref="R100:T100" si="459">SUMPRODUCT($M100:$O100, INDEX($I$2:$K$4, R$10, 0))+ INDEX($L$2:$L$4, R$10,1)</f>
        <v>7.391894048</v>
      </c>
      <c r="S100" s="1">
        <f t="shared" si="459"/>
        <v>-2.97990547</v>
      </c>
      <c r="T100" s="1">
        <f t="shared" si="459"/>
        <v>1.058024231</v>
      </c>
      <c r="U100" s="1">
        <f t="shared" ref="U100:W100" si="460">1/(1+EXP(-R100))</f>
        <v>0.9993841518</v>
      </c>
      <c r="V100" s="1">
        <f t="shared" si="460"/>
        <v>0.04834197737</v>
      </c>
      <c r="W100" s="1">
        <f t="shared" si="460"/>
        <v>0.7423127922</v>
      </c>
      <c r="X100" s="1">
        <f t="shared" si="17"/>
        <v>73.76578022</v>
      </c>
      <c r="Y100" s="1">
        <f t="shared" si="18"/>
        <v>22.71266113</v>
      </c>
      <c r="Z100" s="3">
        <f t="shared" si="19"/>
        <v>69</v>
      </c>
      <c r="AA100" s="3">
        <f t="shared" si="20"/>
        <v>0</v>
      </c>
    </row>
    <row r="101" ht="15.75" customHeight="1">
      <c r="B101" s="1">
        <v>47.6</v>
      </c>
      <c r="C101" s="1">
        <v>-6.8</v>
      </c>
      <c r="D101" s="1">
        <v>-2.4</v>
      </c>
      <c r="E101" s="1">
        <v>8.0</v>
      </c>
      <c r="F101" s="1">
        <v>69.0</v>
      </c>
      <c r="G101" s="1">
        <f t="shared" ref="G101:I101" si="461">SUMPRODUCT($B101:$E101, INDEX($B$2:$E$4, G$10, 0))+ INDEX($F$2:$F$4,G$10,1)</f>
        <v>46.15741126</v>
      </c>
      <c r="H101" s="1">
        <f t="shared" si="461"/>
        <v>167.9182424</v>
      </c>
      <c r="I101" s="1">
        <f t="shared" si="461"/>
        <v>344.1970411</v>
      </c>
      <c r="J101" s="1">
        <f t="shared" ref="J101:L101" si="462">(G101-G$7)/(G$6-G$7)*2-1</f>
        <v>0.3802971613</v>
      </c>
      <c r="K101" s="1">
        <f t="shared" si="462"/>
        <v>0.3133195073</v>
      </c>
      <c r="L101" s="1">
        <f t="shared" si="462"/>
        <v>0.287651762</v>
      </c>
      <c r="M101" s="1">
        <f t="shared" ref="M101:O101" si="463">1/(1+EXP(-J101))</f>
        <v>0.5939447726</v>
      </c>
      <c r="N101" s="1">
        <f t="shared" si="463"/>
        <v>0.5776953077</v>
      </c>
      <c r="O101" s="1">
        <f t="shared" si="463"/>
        <v>0.5714211484</v>
      </c>
      <c r="P101" s="1">
        <f t="shared" si="13"/>
        <v>75.39724717</v>
      </c>
      <c r="Q101" s="1">
        <f t="shared" si="14"/>
        <v>40.92477135</v>
      </c>
      <c r="R101" s="1">
        <f t="shared" ref="R101:T101" si="464">SUMPRODUCT($M101:$O101, INDEX($I$2:$K$4, R$10, 0))+ INDEX($L$2:$L$4, R$10,1)</f>
        <v>7.563956074</v>
      </c>
      <c r="S101" s="1">
        <f t="shared" si="464"/>
        <v>-2.95176216</v>
      </c>
      <c r="T101" s="1">
        <f t="shared" si="464"/>
        <v>1.476915916</v>
      </c>
      <c r="U101" s="1">
        <f t="shared" ref="U101:W101" si="465">1/(1+EXP(-R101))</f>
        <v>0.9994814503</v>
      </c>
      <c r="V101" s="1">
        <f t="shared" si="465"/>
        <v>0.04965329301</v>
      </c>
      <c r="W101" s="1">
        <f t="shared" si="465"/>
        <v>0.8141062961</v>
      </c>
      <c r="X101" s="1">
        <f t="shared" si="17"/>
        <v>77.8407379</v>
      </c>
      <c r="Y101" s="1">
        <f t="shared" si="18"/>
        <v>78.15864654</v>
      </c>
      <c r="Z101" s="3">
        <f t="shared" si="19"/>
        <v>84</v>
      </c>
      <c r="AA101" s="3">
        <f t="shared" si="20"/>
        <v>1</v>
      </c>
    </row>
    <row r="102" ht="15.75" customHeight="1">
      <c r="B102" s="1">
        <v>38.1</v>
      </c>
      <c r="C102" s="1">
        <v>-6.9</v>
      </c>
      <c r="D102" s="1">
        <v>-2.3</v>
      </c>
      <c r="E102" s="1">
        <v>8.0</v>
      </c>
      <c r="F102" s="1">
        <v>69.0</v>
      </c>
      <c r="G102" s="1">
        <f t="shared" ref="G102:I102" si="466">SUMPRODUCT($B102:$E102, INDEX($B$2:$E$4, G$10, 0))+ INDEX($F$2:$F$4,G$10,1)</f>
        <v>41.22935045</v>
      </c>
      <c r="H102" s="1">
        <f t="shared" si="466"/>
        <v>142.0069405</v>
      </c>
      <c r="I102" s="1">
        <f t="shared" si="466"/>
        <v>276.8171599</v>
      </c>
      <c r="J102" s="1">
        <f t="shared" ref="J102:L102" si="467">(G102-G$7)/(G$6-G$7)*2-1</f>
        <v>0.1144520706</v>
      </c>
      <c r="K102" s="1">
        <f t="shared" si="467"/>
        <v>-0.09652518784</v>
      </c>
      <c r="L102" s="1">
        <f t="shared" si="467"/>
        <v>-0.2041902022</v>
      </c>
      <c r="M102" s="1">
        <f t="shared" ref="M102:O102" si="468">1/(1+EXP(-J102))</f>
        <v>0.5285818244</v>
      </c>
      <c r="N102" s="1">
        <f t="shared" si="468"/>
        <v>0.4758874218</v>
      </c>
      <c r="O102" s="1">
        <f t="shared" si="468"/>
        <v>0.4491290763</v>
      </c>
      <c r="P102" s="1">
        <f t="shared" si="13"/>
        <v>65.12742051</v>
      </c>
      <c r="Q102" s="1">
        <f t="shared" si="14"/>
        <v>14.9968719</v>
      </c>
      <c r="R102" s="1">
        <f t="shared" ref="R102:T102" si="469">SUMPRODUCT($M102:$O102, INDEX($I$2:$K$4, R$10, 0))+ INDEX($L$2:$L$4, R$10,1)</f>
        <v>6.977646276</v>
      </c>
      <c r="S102" s="1">
        <f t="shared" si="469"/>
        <v>-3.047306511</v>
      </c>
      <c r="T102" s="1">
        <f t="shared" si="469"/>
        <v>0.072474564</v>
      </c>
      <c r="U102" s="1">
        <f t="shared" ref="U102:W102" si="470">1/(1+EXP(-R102))</f>
        <v>0.9990683733</v>
      </c>
      <c r="V102" s="1">
        <f t="shared" si="470"/>
        <v>0.04533390163</v>
      </c>
      <c r="W102" s="1">
        <f t="shared" si="470"/>
        <v>0.5181107144</v>
      </c>
      <c r="X102" s="1">
        <f t="shared" si="17"/>
        <v>61.0752598</v>
      </c>
      <c r="Y102" s="1">
        <f t="shared" si="18"/>
        <v>62.80150722</v>
      </c>
      <c r="Z102" s="3">
        <f t="shared" si="19"/>
        <v>69</v>
      </c>
      <c r="AA102" s="3">
        <f t="shared" si="20"/>
        <v>0</v>
      </c>
    </row>
    <row r="103" ht="15.75" customHeight="1">
      <c r="B103" s="1">
        <v>60.4</v>
      </c>
      <c r="C103" s="1">
        <v>-5.7</v>
      </c>
      <c r="D103" s="1">
        <v>-4.7</v>
      </c>
      <c r="E103" s="1">
        <v>5.0</v>
      </c>
      <c r="F103" s="1">
        <v>69.0</v>
      </c>
      <c r="G103" s="1">
        <f t="shared" ref="G103:I103" si="471">SUMPRODUCT($B103:$E103, INDEX($B$2:$E$4, G$10, 0))+ INDEX($F$2:$F$4,G$10,1)</f>
        <v>37.89145257</v>
      </c>
      <c r="H103" s="1">
        <f t="shared" si="471"/>
        <v>171.5064052</v>
      </c>
      <c r="I103" s="1">
        <f t="shared" si="471"/>
        <v>387.0586419</v>
      </c>
      <c r="J103" s="1">
        <f t="shared" ref="J103:L103" si="472">(G103-G$7)/(G$6-G$7)*2-1</f>
        <v>-0.06561140663</v>
      </c>
      <c r="K103" s="1">
        <f t="shared" si="472"/>
        <v>0.3700742584</v>
      </c>
      <c r="L103" s="1">
        <f t="shared" si="472"/>
        <v>0.6005216209</v>
      </c>
      <c r="M103" s="1">
        <f t="shared" ref="M103:O103" si="473">1/(1+EXP(-J103))</f>
        <v>0.4836030301</v>
      </c>
      <c r="N103" s="1">
        <f t="shared" si="473"/>
        <v>0.5914769218</v>
      </c>
      <c r="O103" s="1">
        <f t="shared" si="473"/>
        <v>0.6457756358</v>
      </c>
      <c r="P103" s="1">
        <f t="shared" si="13"/>
        <v>78.1907404</v>
      </c>
      <c r="Q103" s="1">
        <f t="shared" si="14"/>
        <v>84.46970909</v>
      </c>
      <c r="R103" s="1">
        <f t="shared" ref="R103:T103" si="474">SUMPRODUCT($M103:$O103, INDEX($I$2:$K$4, R$10, 0))+ INDEX($L$2:$L$4, R$10,1)</f>
        <v>7.529090114</v>
      </c>
      <c r="S103" s="1">
        <f t="shared" si="474"/>
        <v>-2.959344572</v>
      </c>
      <c r="T103" s="1">
        <f t="shared" si="474"/>
        <v>1.370541341</v>
      </c>
      <c r="U103" s="1">
        <f t="shared" ref="U103:W103" si="475">1/(1+EXP(-R103))</f>
        <v>0.9994630616</v>
      </c>
      <c r="V103" s="1">
        <f t="shared" si="475"/>
        <v>0.04929671468</v>
      </c>
      <c r="W103" s="1">
        <f t="shared" si="475"/>
        <v>0.7974676013</v>
      </c>
      <c r="X103" s="1">
        <f t="shared" si="17"/>
        <v>76.89468907</v>
      </c>
      <c r="Y103" s="1">
        <f t="shared" si="18"/>
        <v>62.32611549</v>
      </c>
      <c r="Z103" s="3">
        <f t="shared" si="19"/>
        <v>84</v>
      </c>
      <c r="AA103" s="3">
        <f t="shared" si="20"/>
        <v>1</v>
      </c>
    </row>
    <row r="104" ht="15.75" customHeight="1">
      <c r="B104" s="1">
        <v>55.6</v>
      </c>
      <c r="C104" s="1">
        <v>-5.6</v>
      </c>
      <c r="D104" s="1">
        <v>-4.5</v>
      </c>
      <c r="E104" s="1">
        <v>5.0</v>
      </c>
      <c r="F104" s="1">
        <v>69.0</v>
      </c>
      <c r="G104" s="1">
        <f t="shared" ref="G104:I104" si="476">SUMPRODUCT($B104:$E104, INDEX($B$2:$E$4, G$10, 0))+ INDEX($F$2:$F$4,G$10,1)</f>
        <v>35.62229381</v>
      </c>
      <c r="H104" s="1">
        <f t="shared" si="476"/>
        <v>158.9431828</v>
      </c>
      <c r="I104" s="1">
        <f t="shared" si="476"/>
        <v>355.1237015</v>
      </c>
      <c r="J104" s="1">
        <f t="shared" ref="J104:L104" si="477">(G104-G$7)/(G$6-G$7)*2-1</f>
        <v>-0.1880215674</v>
      </c>
      <c r="K104" s="1">
        <f t="shared" si="477"/>
        <v>0.1713590384</v>
      </c>
      <c r="L104" s="1">
        <f t="shared" si="477"/>
        <v>0.3674113285</v>
      </c>
      <c r="M104" s="1">
        <f t="shared" ref="M104:O104" si="478">1/(1+EXP(-J104))</f>
        <v>0.4531325987</v>
      </c>
      <c r="N104" s="1">
        <f t="shared" si="478"/>
        <v>0.5427352379</v>
      </c>
      <c r="O104" s="1">
        <f t="shared" si="478"/>
        <v>0.5908333164</v>
      </c>
      <c r="P104" s="1">
        <f t="shared" si="13"/>
        <v>73.47290186</v>
      </c>
      <c r="Q104" s="1">
        <f t="shared" si="14"/>
        <v>20.00685108</v>
      </c>
      <c r="R104" s="1">
        <f t="shared" ref="R104:T104" si="479">SUMPRODUCT($M104:$O104, INDEX($I$2:$K$4, R$10, 0))+ INDEX($L$2:$L$4, R$10,1)</f>
        <v>7.257540423</v>
      </c>
      <c r="S104" s="1">
        <f t="shared" si="479"/>
        <v>-3.003596227</v>
      </c>
      <c r="T104" s="1">
        <f t="shared" si="479"/>
        <v>0.7192606165</v>
      </c>
      <c r="U104" s="1">
        <f t="shared" ref="U104:W104" si="480">1/(1+EXP(-R104))</f>
        <v>0.9992956569</v>
      </c>
      <c r="V104" s="1">
        <f t="shared" si="480"/>
        <v>0.04726367181</v>
      </c>
      <c r="W104" s="1">
        <f t="shared" si="480"/>
        <v>0.672444179</v>
      </c>
      <c r="X104" s="1">
        <f t="shared" si="17"/>
        <v>69.80658263</v>
      </c>
      <c r="Y104" s="1">
        <f t="shared" si="18"/>
        <v>0.6505755433</v>
      </c>
      <c r="Z104" s="3">
        <f t="shared" si="19"/>
        <v>69</v>
      </c>
      <c r="AA104" s="3">
        <f t="shared" si="20"/>
        <v>0</v>
      </c>
    </row>
    <row r="105" ht="15.75" customHeight="1">
      <c r="B105" s="1">
        <v>55.6</v>
      </c>
      <c r="C105" s="1">
        <v>-5.6</v>
      </c>
      <c r="D105" s="1">
        <v>-4.5</v>
      </c>
      <c r="E105" s="1">
        <v>5.0</v>
      </c>
      <c r="F105" s="1">
        <v>69.0</v>
      </c>
      <c r="G105" s="1">
        <f t="shared" ref="G105:I105" si="481">SUMPRODUCT($B105:$E105, INDEX($B$2:$E$4, G$10, 0))+ INDEX($F$2:$F$4,G$10,1)</f>
        <v>35.62229381</v>
      </c>
      <c r="H105" s="1">
        <f t="shared" si="481"/>
        <v>158.9431828</v>
      </c>
      <c r="I105" s="1">
        <f t="shared" si="481"/>
        <v>355.1237015</v>
      </c>
      <c r="J105" s="1">
        <f t="shared" ref="J105:L105" si="482">(G105-G$7)/(G$6-G$7)*2-1</f>
        <v>-0.1880215674</v>
      </c>
      <c r="K105" s="1">
        <f t="shared" si="482"/>
        <v>0.1713590384</v>
      </c>
      <c r="L105" s="1">
        <f t="shared" si="482"/>
        <v>0.3674113285</v>
      </c>
      <c r="M105" s="1">
        <f t="shared" ref="M105:O105" si="483">1/(1+EXP(-J105))</f>
        <v>0.4531325987</v>
      </c>
      <c r="N105" s="1">
        <f t="shared" si="483"/>
        <v>0.5427352379</v>
      </c>
      <c r="O105" s="1">
        <f t="shared" si="483"/>
        <v>0.5908333164</v>
      </c>
      <c r="P105" s="1">
        <f t="shared" si="13"/>
        <v>73.47290186</v>
      </c>
      <c r="Q105" s="1">
        <f t="shared" si="14"/>
        <v>20.00685108</v>
      </c>
      <c r="R105" s="1">
        <f t="shared" ref="R105:T105" si="484">SUMPRODUCT($M105:$O105, INDEX($I$2:$K$4, R$10, 0))+ INDEX($L$2:$L$4, R$10,1)</f>
        <v>7.257540423</v>
      </c>
      <c r="S105" s="1">
        <f t="shared" si="484"/>
        <v>-3.003596227</v>
      </c>
      <c r="T105" s="1">
        <f t="shared" si="484"/>
        <v>0.7192606165</v>
      </c>
      <c r="U105" s="1">
        <f t="shared" ref="U105:W105" si="485">1/(1+EXP(-R105))</f>
        <v>0.9992956569</v>
      </c>
      <c r="V105" s="1">
        <f t="shared" si="485"/>
        <v>0.04726367181</v>
      </c>
      <c r="W105" s="1">
        <f t="shared" si="485"/>
        <v>0.672444179</v>
      </c>
      <c r="X105" s="1">
        <f t="shared" si="17"/>
        <v>69.80658263</v>
      </c>
      <c r="Y105" s="1">
        <f t="shared" si="18"/>
        <v>0.6505755433</v>
      </c>
      <c r="Z105" s="3">
        <f t="shared" si="19"/>
        <v>69</v>
      </c>
      <c r="AA105" s="3">
        <f t="shared" si="20"/>
        <v>0</v>
      </c>
    </row>
    <row r="106" ht="15.75" customHeight="1">
      <c r="B106" s="1">
        <v>60.4</v>
      </c>
      <c r="C106" s="1">
        <v>-6.2</v>
      </c>
      <c r="D106" s="1">
        <v>-3.9</v>
      </c>
      <c r="E106" s="1">
        <v>6.0</v>
      </c>
      <c r="F106" s="1">
        <v>84.0</v>
      </c>
      <c r="G106" s="1">
        <f t="shared" ref="G106:I106" si="486">SUMPRODUCT($B106:$E106, INDEX($B$2:$E$4, G$10, 0))+ INDEX($F$2:$F$4,G$10,1)</f>
        <v>43.6567327</v>
      </c>
      <c r="H106" s="1">
        <f t="shared" si="486"/>
        <v>183.9206739</v>
      </c>
      <c r="I106" s="1">
        <f t="shared" si="486"/>
        <v>405.4154937</v>
      </c>
      <c r="J106" s="1">
        <f t="shared" ref="J106:L106" si="487">(G106-G$7)/(G$6-G$7)*2-1</f>
        <v>0.2453976252</v>
      </c>
      <c r="K106" s="1">
        <f t="shared" si="487"/>
        <v>0.5664334438</v>
      </c>
      <c r="L106" s="1">
        <f t="shared" si="487"/>
        <v>0.7345181475</v>
      </c>
      <c r="M106" s="1">
        <f t="shared" ref="M106:O106" si="488">1/(1+EXP(-J106))</f>
        <v>0.5610433773</v>
      </c>
      <c r="N106" s="1">
        <f t="shared" si="488"/>
        <v>0.6379398043</v>
      </c>
      <c r="O106" s="1">
        <f t="shared" si="488"/>
        <v>0.6757959648</v>
      </c>
      <c r="P106" s="1">
        <f t="shared" si="13"/>
        <v>82.1763248</v>
      </c>
      <c r="Q106" s="1">
        <f t="shared" si="14"/>
        <v>3.325791249</v>
      </c>
      <c r="R106" s="1">
        <f t="shared" ref="R106:T106" si="489">SUMPRODUCT($M106:$O106, INDEX($I$2:$K$4, R$10, 0))+ INDEX($L$2:$L$4, R$10,1)</f>
        <v>7.836655086</v>
      </c>
      <c r="S106" s="1">
        <f t="shared" si="489"/>
        <v>-2.908455902</v>
      </c>
      <c r="T106" s="1">
        <f t="shared" si="489"/>
        <v>2.117065056</v>
      </c>
      <c r="U106" s="1">
        <f t="shared" ref="U106:W106" si="490">1/(1+EXP(-R106))</f>
        <v>0.9996051679</v>
      </c>
      <c r="V106" s="1">
        <f t="shared" si="490"/>
        <v>0.05173713711</v>
      </c>
      <c r="W106" s="1">
        <f t="shared" si="490"/>
        <v>0.8925507811</v>
      </c>
      <c r="X106" s="1">
        <f t="shared" si="17"/>
        <v>82.31456088</v>
      </c>
      <c r="Y106" s="1">
        <f t="shared" si="18"/>
        <v>2.840705019</v>
      </c>
      <c r="Z106" s="3">
        <f t="shared" si="19"/>
        <v>84</v>
      </c>
      <c r="AA106" s="3">
        <f t="shared" si="20"/>
        <v>0</v>
      </c>
    </row>
    <row r="107" ht="15.75" customHeight="1">
      <c r="B107" s="1">
        <v>55.6</v>
      </c>
      <c r="C107" s="1">
        <v>-6.6</v>
      </c>
      <c r="D107" s="1">
        <v>-4.3</v>
      </c>
      <c r="E107" s="1">
        <v>6.0</v>
      </c>
      <c r="F107" s="1">
        <v>84.0</v>
      </c>
      <c r="G107" s="1">
        <f t="shared" ref="G107:I107" si="491">SUMPRODUCT($B107:$E107, INDEX($B$2:$E$4, G$10, 0))+ INDEX($F$2:$F$4,G$10,1)</f>
        <v>40.22506951</v>
      </c>
      <c r="H107" s="1">
        <f t="shared" si="491"/>
        <v>168.5470338</v>
      </c>
      <c r="I107" s="1">
        <f t="shared" si="491"/>
        <v>364.4941642</v>
      </c>
      <c r="J107" s="1">
        <f t="shared" ref="J107:L107" si="492">(G107-G$7)/(G$6-G$7)*2-1</f>
        <v>0.06027596166</v>
      </c>
      <c r="K107" s="1">
        <f t="shared" si="492"/>
        <v>0.3232652373</v>
      </c>
      <c r="L107" s="1">
        <f t="shared" si="492"/>
        <v>0.4358113718</v>
      </c>
      <c r="M107" s="1">
        <f t="shared" ref="M107:O107" si="493">1/(1+EXP(-J107))</f>
        <v>0.5150644297</v>
      </c>
      <c r="N107" s="1">
        <f t="shared" si="493"/>
        <v>0.5801198087</v>
      </c>
      <c r="O107" s="1">
        <f t="shared" si="493"/>
        <v>0.6072605132</v>
      </c>
      <c r="P107" s="1">
        <f t="shared" si="13"/>
        <v>76.27212525</v>
      </c>
      <c r="Q107" s="1">
        <f t="shared" si="14"/>
        <v>59.72004808</v>
      </c>
      <c r="R107" s="1">
        <f t="shared" ref="R107:T107" si="494">SUMPRODUCT($M107:$O107, INDEX($I$2:$K$4, R$10, 0))+ INDEX($L$2:$L$4, R$10,1)</f>
        <v>7.488129835</v>
      </c>
      <c r="S107" s="1">
        <f t="shared" si="494"/>
        <v>-2.965381144</v>
      </c>
      <c r="T107" s="1">
        <f t="shared" si="494"/>
        <v>1.281330652</v>
      </c>
      <c r="U107" s="1">
        <f t="shared" ref="U107:W107" si="495">1/(1+EXP(-R107))</f>
        <v>0.9994406244</v>
      </c>
      <c r="V107" s="1">
        <f t="shared" si="495"/>
        <v>0.04901456984</v>
      </c>
      <c r="W107" s="1">
        <f t="shared" si="495"/>
        <v>0.7826761977</v>
      </c>
      <c r="X107" s="1">
        <f t="shared" si="17"/>
        <v>76.05471415</v>
      </c>
      <c r="Y107" s="1">
        <f t="shared" si="18"/>
        <v>63.12756731</v>
      </c>
      <c r="Z107" s="3">
        <f t="shared" si="19"/>
        <v>84</v>
      </c>
      <c r="AA107" s="3">
        <f t="shared" si="20"/>
        <v>0</v>
      </c>
    </row>
    <row r="108" ht="15.75" customHeight="1">
      <c r="B108" s="1">
        <v>46.1</v>
      </c>
      <c r="C108" s="1">
        <v>-7.4</v>
      </c>
      <c r="D108" s="1">
        <v>-0.4</v>
      </c>
      <c r="E108" s="1">
        <v>9.0</v>
      </c>
      <c r="F108" s="1">
        <v>84.0</v>
      </c>
      <c r="G108" s="1">
        <f t="shared" ref="G108:I108" si="496">SUMPRODUCT($B108:$E108, INDEX($B$2:$E$4, G$10, 0))+ INDEX($F$2:$F$4,G$10,1)</f>
        <v>56.2768926</v>
      </c>
      <c r="H108" s="1">
        <f t="shared" si="496"/>
        <v>188.8557113</v>
      </c>
      <c r="I108" s="1">
        <f t="shared" si="496"/>
        <v>374.9759454</v>
      </c>
      <c r="J108" s="1">
        <f t="shared" ref="J108:L108" si="497">(G108-G$7)/(G$6-G$7)*2-1</f>
        <v>0.9261943289</v>
      </c>
      <c r="K108" s="1">
        <f t="shared" si="497"/>
        <v>0.6444920037</v>
      </c>
      <c r="L108" s="1">
        <f t="shared" si="497"/>
        <v>0.5123235255</v>
      </c>
      <c r="M108" s="1">
        <f t="shared" ref="M108:O108" si="498">1/(1+EXP(-J108))</f>
        <v>0.7163025599</v>
      </c>
      <c r="N108" s="1">
        <f t="shared" si="498"/>
        <v>0.6557681771</v>
      </c>
      <c r="O108" s="1">
        <f t="shared" si="498"/>
        <v>0.6253510049</v>
      </c>
      <c r="P108" s="1">
        <f t="shared" si="13"/>
        <v>82.17115458</v>
      </c>
      <c r="Q108" s="1">
        <f t="shared" si="14"/>
        <v>3.344675557</v>
      </c>
      <c r="R108" s="1">
        <f t="shared" ref="R108:T108" si="499">SUMPRODUCT($M108:$O108, INDEX($I$2:$K$4, R$10, 0))+ INDEX($L$2:$L$4, R$10,1)</f>
        <v>8.07273514</v>
      </c>
      <c r="S108" s="1">
        <f t="shared" si="499"/>
        <v>-2.86768415</v>
      </c>
      <c r="T108" s="1">
        <f t="shared" si="499"/>
        <v>2.710661823</v>
      </c>
      <c r="U108" s="1">
        <f t="shared" ref="U108:W108" si="500">1/(1+EXP(-R108))</f>
        <v>0.9996881683</v>
      </c>
      <c r="V108" s="1">
        <f t="shared" si="500"/>
        <v>0.05377436699</v>
      </c>
      <c r="W108" s="1">
        <f t="shared" si="500"/>
        <v>0.93765285</v>
      </c>
      <c r="X108" s="1">
        <f t="shared" si="17"/>
        <v>84.91418312</v>
      </c>
      <c r="Y108" s="1">
        <f t="shared" si="18"/>
        <v>0.8357307795</v>
      </c>
      <c r="Z108" s="3">
        <f t="shared" si="19"/>
        <v>84</v>
      </c>
      <c r="AA108" s="3">
        <f t="shared" si="20"/>
        <v>0</v>
      </c>
    </row>
    <row r="109" ht="15.75" customHeight="1">
      <c r="B109" s="1">
        <v>55.6</v>
      </c>
      <c r="C109" s="1">
        <v>-5.8</v>
      </c>
      <c r="D109" s="1">
        <v>-0.4</v>
      </c>
      <c r="E109" s="1">
        <v>9.0</v>
      </c>
      <c r="F109" s="1">
        <v>84.0</v>
      </c>
      <c r="G109" s="1">
        <f t="shared" ref="G109:I109" si="501">SUMPRODUCT($B109:$E109, INDEX($B$2:$E$4, G$10, 0))+ INDEX($F$2:$F$4,G$10,1)</f>
        <v>57.64505341</v>
      </c>
      <c r="H109" s="1">
        <f t="shared" si="501"/>
        <v>205.8872227</v>
      </c>
      <c r="I109" s="1">
        <f t="shared" si="501"/>
        <v>436.8106676</v>
      </c>
      <c r="J109" s="1">
        <f t="shared" ref="J109:L109" si="502">(G109-G$7)/(G$6-G$7)*2-1</f>
        <v>1</v>
      </c>
      <c r="K109" s="1">
        <f t="shared" si="502"/>
        <v>0.913883122</v>
      </c>
      <c r="L109" s="1">
        <f t="shared" si="502"/>
        <v>0.9636883944</v>
      </c>
      <c r="M109" s="1">
        <f t="shared" ref="M109:O109" si="503">1/(1+EXP(-J109))</f>
        <v>0.7310585786</v>
      </c>
      <c r="N109" s="1">
        <f t="shared" si="503"/>
        <v>0.713794112</v>
      </c>
      <c r="O109" s="1">
        <f t="shared" si="503"/>
        <v>0.723859675</v>
      </c>
      <c r="P109" s="1">
        <f t="shared" si="13"/>
        <v>89.22166909</v>
      </c>
      <c r="Q109" s="1">
        <f t="shared" si="14"/>
        <v>27.26582805</v>
      </c>
      <c r="R109" s="1">
        <f t="shared" ref="R109:T109" si="504">SUMPRODUCT($M109:$O109, INDEX($I$2:$K$4, R$10, 0))+ INDEX($L$2:$L$4, R$10,1)</f>
        <v>8.422716843</v>
      </c>
      <c r="S109" s="1">
        <f t="shared" si="504"/>
        <v>-2.811070016</v>
      </c>
      <c r="T109" s="1">
        <f t="shared" si="504"/>
        <v>3.540352812</v>
      </c>
      <c r="U109" s="1">
        <f t="shared" ref="U109:W109" si="505">1/(1+EXP(-R109))</f>
        <v>0.9997802317</v>
      </c>
      <c r="V109" s="1">
        <f t="shared" si="505"/>
        <v>0.05672889633</v>
      </c>
      <c r="W109" s="1">
        <f t="shared" si="505"/>
        <v>0.9718143776</v>
      </c>
      <c r="X109" s="1">
        <f t="shared" si="17"/>
        <v>86.92938937</v>
      </c>
      <c r="Y109" s="1">
        <f t="shared" si="18"/>
        <v>8.581322098</v>
      </c>
      <c r="Z109" s="3">
        <f t="shared" si="19"/>
        <v>84</v>
      </c>
      <c r="AA109" s="3">
        <f t="shared" si="20"/>
        <v>0</v>
      </c>
    </row>
    <row r="110" ht="15.75" customHeight="1">
      <c r="B110" s="1">
        <v>60.4</v>
      </c>
      <c r="C110" s="1">
        <v>-6.2</v>
      </c>
      <c r="D110" s="1">
        <v>-3.8</v>
      </c>
      <c r="E110" s="1">
        <v>6.0</v>
      </c>
      <c r="F110" s="1">
        <v>84.0</v>
      </c>
      <c r="G110" s="1">
        <f t="shared" ref="G110:I110" si="506">SUMPRODUCT($B110:$E110, INDEX($B$2:$E$4, G$10, 0))+ INDEX($F$2:$F$4,G$10,1)</f>
        <v>44.07128643</v>
      </c>
      <c r="H110" s="1">
        <f t="shared" si="506"/>
        <v>184.9389705</v>
      </c>
      <c r="I110" s="1">
        <f t="shared" si="506"/>
        <v>407.3275129</v>
      </c>
      <c r="J110" s="1">
        <f t="shared" ref="J110:L110" si="507">(G110-G$7)/(G$6-G$7)*2-1</f>
        <v>0.2677607975</v>
      </c>
      <c r="K110" s="1">
        <f t="shared" si="507"/>
        <v>0.5825400635</v>
      </c>
      <c r="L110" s="1">
        <f t="shared" si="507"/>
        <v>0.7484750032</v>
      </c>
      <c r="M110" s="1">
        <f t="shared" ref="M110:O110" si="508">1/(1+EXP(-J110))</f>
        <v>0.5665431016</v>
      </c>
      <c r="N110" s="1">
        <f t="shared" si="508"/>
        <v>0.6416516653</v>
      </c>
      <c r="O110" s="1">
        <f t="shared" si="508"/>
        <v>0.6788463192</v>
      </c>
      <c r="P110" s="1">
        <f t="shared" si="13"/>
        <v>82.51943047</v>
      </c>
      <c r="Q110" s="1">
        <f t="shared" si="14"/>
        <v>2.19208612</v>
      </c>
      <c r="R110" s="1">
        <f t="shared" ref="R110:T110" si="509">SUMPRODUCT($M110:$O110, INDEX($I$2:$K$4, R$10, 0))+ INDEX($L$2:$L$4, R$10,1)</f>
        <v>7.861233812</v>
      </c>
      <c r="S110" s="1">
        <f t="shared" si="509"/>
        <v>-2.904401226</v>
      </c>
      <c r="T110" s="1">
        <f t="shared" si="509"/>
        <v>2.176513424</v>
      </c>
      <c r="U110" s="1">
        <f t="shared" ref="U110:W110" si="510">1/(1+EXP(-R110))</f>
        <v>0.9996147504</v>
      </c>
      <c r="V110" s="1">
        <f t="shared" si="510"/>
        <v>0.05193642314</v>
      </c>
      <c r="W110" s="1">
        <f t="shared" si="510"/>
        <v>0.8981204927</v>
      </c>
      <c r="X110" s="1">
        <f t="shared" si="17"/>
        <v>82.63388661</v>
      </c>
      <c r="Y110" s="1">
        <f t="shared" si="18"/>
        <v>1.866265799</v>
      </c>
      <c r="Z110" s="3">
        <f t="shared" si="19"/>
        <v>84</v>
      </c>
      <c r="AA110" s="3">
        <f t="shared" si="20"/>
        <v>0</v>
      </c>
    </row>
    <row r="111" ht="15.75" customHeight="1">
      <c r="B111" s="1">
        <v>41.3</v>
      </c>
      <c r="C111" s="1">
        <v>-6.3</v>
      </c>
      <c r="D111" s="1">
        <v>-2.3</v>
      </c>
      <c r="E111" s="1">
        <v>8.0</v>
      </c>
      <c r="F111" s="1">
        <v>84.0</v>
      </c>
      <c r="G111" s="1">
        <f t="shared" ref="G111:I111" si="511">SUMPRODUCT($B111:$E111, INDEX($B$2:$E$4, G$10, 0))+ INDEX($F$2:$F$4,G$10,1)</f>
        <v>41.52843738</v>
      </c>
      <c r="H111" s="1">
        <f t="shared" si="511"/>
        <v>147.3410011</v>
      </c>
      <c r="I111" s="1">
        <f t="shared" si="511"/>
        <v>297.3421777</v>
      </c>
      <c r="J111" s="1">
        <f t="shared" ref="J111:L111" si="512">(G111-G$7)/(G$6-G$7)*2-1</f>
        <v>0.1305863666</v>
      </c>
      <c r="K111" s="1">
        <f t="shared" si="512"/>
        <v>-0.01215519107</v>
      </c>
      <c r="L111" s="1">
        <f t="shared" si="512"/>
        <v>-0.0543670668</v>
      </c>
      <c r="M111" s="1">
        <f t="shared" ref="M111:O111" si="513">1/(1+EXP(-J111))</f>
        <v>0.5326002777</v>
      </c>
      <c r="N111" s="1">
        <f t="shared" si="513"/>
        <v>0.4969612396</v>
      </c>
      <c r="O111" s="1">
        <f t="shared" si="513"/>
        <v>0.4864115802</v>
      </c>
      <c r="P111" s="1">
        <f t="shared" si="13"/>
        <v>67.74839856</v>
      </c>
      <c r="Q111" s="1">
        <f t="shared" si="14"/>
        <v>264.1145493</v>
      </c>
      <c r="R111" s="1">
        <f t="shared" ref="R111:T111" si="514">SUMPRODUCT($M111:$O111, INDEX($I$2:$K$4, R$10, 0))+ INDEX($L$2:$L$4, R$10,1)</f>
        <v>7.105255158</v>
      </c>
      <c r="S111" s="1">
        <f t="shared" si="514"/>
        <v>-3.026687733</v>
      </c>
      <c r="T111" s="1">
        <f t="shared" si="514"/>
        <v>0.3745409225</v>
      </c>
      <c r="U111" s="1">
        <f t="shared" ref="U111:W111" si="515">1/(1+EXP(-R111))</f>
        <v>0.9991798929</v>
      </c>
      <c r="V111" s="1">
        <f t="shared" si="515"/>
        <v>0.04623466884</v>
      </c>
      <c r="W111" s="1">
        <f t="shared" si="515"/>
        <v>0.592555768</v>
      </c>
      <c r="X111" s="1">
        <f t="shared" si="17"/>
        <v>65.28599636</v>
      </c>
      <c r="Y111" s="1">
        <f t="shared" si="18"/>
        <v>350.2139321</v>
      </c>
      <c r="Z111" s="3">
        <f t="shared" si="19"/>
        <v>69</v>
      </c>
      <c r="AA111" s="3">
        <f t="shared" si="20"/>
        <v>1</v>
      </c>
    </row>
    <row r="112" ht="15.75" customHeight="1">
      <c r="B112" s="1">
        <v>50.9</v>
      </c>
      <c r="C112" s="1">
        <v>-6.0</v>
      </c>
      <c r="D112" s="1">
        <v>-2.5</v>
      </c>
      <c r="E112" s="1">
        <v>7.0</v>
      </c>
      <c r="F112" s="1">
        <v>84.0</v>
      </c>
      <c r="G112" s="1">
        <f t="shared" ref="G112:I112" si="516">SUMPRODUCT($B112:$E112, INDEX($B$2:$E$4, G$10, 0))+ INDEX($F$2:$F$4,G$10,1)</f>
        <v>44.44701201</v>
      </c>
      <c r="H112" s="1">
        <f t="shared" si="516"/>
        <v>170.2361441</v>
      </c>
      <c r="I112" s="1">
        <f t="shared" si="516"/>
        <v>361.9753986</v>
      </c>
      <c r="J112" s="1">
        <f t="shared" ref="J112:L112" si="517">(G112-G$7)/(G$6-G$7)*2-1</f>
        <v>0.2880293786</v>
      </c>
      <c r="K112" s="1">
        <f t="shared" si="517"/>
        <v>0.3499822614</v>
      </c>
      <c r="L112" s="1">
        <f t="shared" si="517"/>
        <v>0.4174255476</v>
      </c>
      <c r="M112" s="1">
        <f t="shared" ref="M112:O112" si="518">1/(1+EXP(-J112))</f>
        <v>0.5715136239</v>
      </c>
      <c r="N112" s="1">
        <f t="shared" si="518"/>
        <v>0.5866132773</v>
      </c>
      <c r="O112" s="1">
        <f t="shared" si="518"/>
        <v>0.6028670422</v>
      </c>
      <c r="P112" s="1">
        <f t="shared" si="13"/>
        <v>76.99711043</v>
      </c>
      <c r="Q112" s="1">
        <f t="shared" si="14"/>
        <v>49.04046238</v>
      </c>
      <c r="R112" s="1">
        <f t="shared" ref="R112:T112" si="519">SUMPRODUCT($M112:$O112, INDEX($I$2:$K$4, R$10, 0))+ INDEX($L$2:$L$4, R$10,1)</f>
        <v>7.603111614</v>
      </c>
      <c r="S112" s="1">
        <f t="shared" si="519"/>
        <v>-2.945854043</v>
      </c>
      <c r="T112" s="1">
        <f t="shared" si="519"/>
        <v>1.563593405</v>
      </c>
      <c r="U112" s="1">
        <f t="shared" ref="U112:W112" si="520">1/(1+EXP(-R112))</f>
        <v>0.9995013521</v>
      </c>
      <c r="V112" s="1">
        <f t="shared" si="520"/>
        <v>0.04993282727</v>
      </c>
      <c r="W112" s="1">
        <f t="shared" si="520"/>
        <v>0.8268683787</v>
      </c>
      <c r="X112" s="1">
        <f t="shared" si="17"/>
        <v>78.56664975</v>
      </c>
      <c r="Y112" s="1">
        <f t="shared" si="18"/>
        <v>29.52129493</v>
      </c>
      <c r="Z112" s="3">
        <f t="shared" si="19"/>
        <v>84</v>
      </c>
      <c r="AA112" s="3">
        <f t="shared" si="20"/>
        <v>0</v>
      </c>
    </row>
    <row r="113" ht="15.75" customHeight="1">
      <c r="B113" s="1">
        <v>46.1</v>
      </c>
      <c r="C113" s="1">
        <v>-4.5</v>
      </c>
      <c r="D113" s="1">
        <v>-1.4</v>
      </c>
      <c r="E113" s="1">
        <v>7.0</v>
      </c>
      <c r="F113" s="1">
        <v>84.0</v>
      </c>
      <c r="G113" s="1">
        <f t="shared" ref="G113:I113" si="521">SUMPRODUCT($B113:$E113, INDEX($B$2:$E$4, G$10, 0))+ INDEX($F$2:$F$4,G$10,1)</f>
        <v>42.19934664</v>
      </c>
      <c r="H113" s="1">
        <f t="shared" si="521"/>
        <v>157.599377</v>
      </c>
      <c r="I113" s="1">
        <f t="shared" si="521"/>
        <v>340.2885979</v>
      </c>
      <c r="J113" s="1">
        <f t="shared" ref="J113:L113" si="522">(G113-G$7)/(G$6-G$7)*2-1</f>
        <v>0.1667786824</v>
      </c>
      <c r="K113" s="1">
        <f t="shared" si="522"/>
        <v>0.1501037693</v>
      </c>
      <c r="L113" s="1">
        <f t="shared" si="522"/>
        <v>0.2591219348</v>
      </c>
      <c r="M113" s="1">
        <f t="shared" ref="M113:O113" si="523">1/(1+EXP(-J113))</f>
        <v>0.5415982934</v>
      </c>
      <c r="N113" s="1">
        <f t="shared" si="523"/>
        <v>0.5374556422</v>
      </c>
      <c r="O113" s="1">
        <f t="shared" si="523"/>
        <v>0.5644204317</v>
      </c>
      <c r="P113" s="1">
        <f t="shared" si="13"/>
        <v>73.13370183</v>
      </c>
      <c r="Q113" s="1">
        <f t="shared" si="14"/>
        <v>118.0764359</v>
      </c>
      <c r="R113" s="1">
        <f t="shared" ref="R113:T113" si="524">SUMPRODUCT($M113:$O113, INDEX($I$2:$K$4, R$10, 0))+ INDEX($L$2:$L$4, R$10,1)</f>
        <v>7.366276951</v>
      </c>
      <c r="S113" s="1">
        <f t="shared" si="524"/>
        <v>-2.984493489</v>
      </c>
      <c r="T113" s="1">
        <f t="shared" si="524"/>
        <v>0.9914107421</v>
      </c>
      <c r="U113" s="1">
        <f t="shared" ref="U113:W113" si="525">1/(1+EXP(-R113))</f>
        <v>0.9993681819</v>
      </c>
      <c r="V113" s="1">
        <f t="shared" si="525"/>
        <v>0.0481313423</v>
      </c>
      <c r="W113" s="1">
        <f t="shared" si="525"/>
        <v>0.7293664803</v>
      </c>
      <c r="X113" s="1">
        <f t="shared" si="17"/>
        <v>73.03181552</v>
      </c>
      <c r="Y113" s="1">
        <f t="shared" si="18"/>
        <v>120.3010709</v>
      </c>
      <c r="Z113" s="3">
        <f t="shared" si="19"/>
        <v>69</v>
      </c>
      <c r="AA113" s="3">
        <f t="shared" si="20"/>
        <v>1</v>
      </c>
    </row>
    <row r="114" ht="15.75" customHeight="1">
      <c r="B114" s="1">
        <v>60.4</v>
      </c>
      <c r="C114" s="1">
        <v>-6.9</v>
      </c>
      <c r="D114" s="1">
        <v>-2.5</v>
      </c>
      <c r="E114" s="1">
        <v>7.0</v>
      </c>
      <c r="F114" s="1">
        <v>84.0</v>
      </c>
      <c r="G114" s="1">
        <f t="shared" ref="G114:I114" si="526">SUMPRODUCT($B114:$E114, INDEX($B$2:$E$4, G$10, 0))+ INDEX($F$2:$F$4,G$10,1)</f>
        <v>52.43926235</v>
      </c>
      <c r="H114" s="1">
        <f t="shared" si="526"/>
        <v>203.7644675</v>
      </c>
      <c r="I114" s="1">
        <f t="shared" si="526"/>
        <v>436.238751</v>
      </c>
      <c r="J114" s="1">
        <f t="shared" ref="J114:L114" si="527">(G114-G$7)/(G$6-G$7)*2-1</f>
        <v>0.7191727028</v>
      </c>
      <c r="K114" s="1">
        <f t="shared" si="527"/>
        <v>0.8803070407</v>
      </c>
      <c r="L114" s="1">
        <f t="shared" si="527"/>
        <v>0.959513668</v>
      </c>
      <c r="M114" s="1">
        <f t="shared" ref="M114:O114" si="528">1/(1+EXP(-J114))</f>
        <v>0.6724248146</v>
      </c>
      <c r="N114" s="1">
        <f t="shared" si="528"/>
        <v>0.7068858434</v>
      </c>
      <c r="O114" s="1">
        <f t="shared" si="528"/>
        <v>0.7230244228</v>
      </c>
      <c r="P114" s="1">
        <f t="shared" si="13"/>
        <v>88.18255552</v>
      </c>
      <c r="Q114" s="1">
        <f t="shared" si="14"/>
        <v>17.49377069</v>
      </c>
      <c r="R114" s="1">
        <f t="shared" ref="R114:T114" si="529">SUMPRODUCT($M114:$O114, INDEX($I$2:$K$4, R$10, 0))+ INDEX($L$2:$L$4, R$10,1)</f>
        <v>8.291686966</v>
      </c>
      <c r="S114" s="1">
        <f t="shared" si="529"/>
        <v>-2.833224004</v>
      </c>
      <c r="T114" s="1">
        <f t="shared" si="529"/>
        <v>3.220652672</v>
      </c>
      <c r="U114" s="1">
        <f t="shared" ref="U114:W114" si="530">1/(1+EXP(-R114))</f>
        <v>0.9997494714</v>
      </c>
      <c r="V114" s="1">
        <f t="shared" si="530"/>
        <v>0.05555499625</v>
      </c>
      <c r="W114" s="1">
        <f t="shared" si="530"/>
        <v>0.9616041195</v>
      </c>
      <c r="X114" s="1">
        <f t="shared" si="17"/>
        <v>86.31760555</v>
      </c>
      <c r="Y114" s="1">
        <f t="shared" si="18"/>
        <v>5.371295474</v>
      </c>
      <c r="Z114" s="3">
        <f t="shared" si="19"/>
        <v>84</v>
      </c>
      <c r="AA114" s="3">
        <f t="shared" si="20"/>
        <v>0</v>
      </c>
    </row>
    <row r="115" ht="15.75" customHeight="1">
      <c r="B115" s="1">
        <v>50.9</v>
      </c>
      <c r="C115" s="1">
        <v>-5.6</v>
      </c>
      <c r="D115" s="1">
        <v>-0.4</v>
      </c>
      <c r="E115" s="1">
        <v>7.0</v>
      </c>
      <c r="F115" s="1">
        <v>84.0</v>
      </c>
      <c r="G115" s="1">
        <f t="shared" ref="G115:I115" si="531">SUMPRODUCT($B115:$E115, INDEX($B$2:$E$4, G$10, 0))+ INDEX($F$2:$F$4,G$10,1)</f>
        <v>52.09278591</v>
      </c>
      <c r="H115" s="1">
        <f t="shared" si="531"/>
        <v>188.9808842</v>
      </c>
      <c r="I115" s="1">
        <f t="shared" si="531"/>
        <v>400.1392206</v>
      </c>
      <c r="J115" s="1">
        <f t="shared" ref="J115:L115" si="532">(G115-G$7)/(G$6-G$7)*2-1</f>
        <v>0.7004819712</v>
      </c>
      <c r="K115" s="1">
        <f t="shared" si="532"/>
        <v>0.6464718912</v>
      </c>
      <c r="L115" s="1">
        <f t="shared" si="532"/>
        <v>0.6960037952</v>
      </c>
      <c r="M115" s="1">
        <f t="shared" ref="M115:O115" si="533">1/(1+EXP(-J115))</f>
        <v>0.6682946227</v>
      </c>
      <c r="N115" s="1">
        <f t="shared" si="533"/>
        <v>0.6562149716</v>
      </c>
      <c r="O115" s="1">
        <f t="shared" si="533"/>
        <v>0.6673011674</v>
      </c>
      <c r="P115" s="1">
        <f t="shared" si="13"/>
        <v>83.72211076</v>
      </c>
      <c r="Q115" s="1">
        <f t="shared" si="14"/>
        <v>0.07722242825</v>
      </c>
      <c r="R115" s="1">
        <f t="shared" ref="R115:T115" si="534">SUMPRODUCT($M115:$O115, INDEX($I$2:$K$4, R$10, 0))+ INDEX($L$2:$L$4, R$10,1)</f>
        <v>8.066595558</v>
      </c>
      <c r="S115" s="1">
        <f t="shared" si="534"/>
        <v>-2.869514816</v>
      </c>
      <c r="T115" s="1">
        <f t="shared" si="534"/>
        <v>2.682332727</v>
      </c>
      <c r="U115" s="1">
        <f t="shared" ref="U115:W115" si="535">1/(1+EXP(-R115))</f>
        <v>0.9996862485</v>
      </c>
      <c r="V115" s="1">
        <f t="shared" si="535"/>
        <v>0.05368129384</v>
      </c>
      <c r="W115" s="1">
        <f t="shared" si="535"/>
        <v>0.9359760542</v>
      </c>
      <c r="X115" s="1">
        <f t="shared" si="17"/>
        <v>84.81699016</v>
      </c>
      <c r="Y115" s="1">
        <f t="shared" si="18"/>
        <v>0.6674729214</v>
      </c>
      <c r="Z115" s="3">
        <f t="shared" si="19"/>
        <v>84</v>
      </c>
      <c r="AA115" s="3">
        <f t="shared" si="20"/>
        <v>0</v>
      </c>
    </row>
    <row r="116" ht="15.75" customHeight="1">
      <c r="B116" s="1">
        <v>55.6</v>
      </c>
      <c r="C116" s="1">
        <v>-6.0</v>
      </c>
      <c r="D116" s="1">
        <v>-2.4</v>
      </c>
      <c r="E116" s="1">
        <v>7.0</v>
      </c>
      <c r="F116" s="1">
        <v>84.0</v>
      </c>
      <c r="G116" s="1">
        <f t="shared" ref="G116:I116" si="536">SUMPRODUCT($B116:$E116, INDEX($B$2:$E$4, G$10, 0))+ INDEX($F$2:$F$4,G$10,1)</f>
        <v>47.63584122</v>
      </c>
      <c r="H116" s="1">
        <f t="shared" si="536"/>
        <v>184.9039685</v>
      </c>
      <c r="I116" s="1">
        <f t="shared" si="536"/>
        <v>398.4146298</v>
      </c>
      <c r="J116" s="1">
        <f t="shared" ref="J116:L116" si="537">(G116-G$7)/(G$6-G$7)*2-1</f>
        <v>0.4600513208</v>
      </c>
      <c r="K116" s="1">
        <f t="shared" si="537"/>
        <v>0.5819864294</v>
      </c>
      <c r="L116" s="1">
        <f t="shared" si="537"/>
        <v>0.6834150794</v>
      </c>
      <c r="M116" s="1">
        <f t="shared" ref="M116:O116" si="538">1/(1+EXP(-J116))</f>
        <v>0.6130263508</v>
      </c>
      <c r="N116" s="1">
        <f t="shared" si="538"/>
        <v>0.6415243555</v>
      </c>
      <c r="O116" s="1">
        <f t="shared" si="538"/>
        <v>0.664500481</v>
      </c>
      <c r="P116" s="1">
        <f t="shared" si="13"/>
        <v>82.39531016</v>
      </c>
      <c r="Q116" s="1">
        <f t="shared" si="14"/>
        <v>2.575029491</v>
      </c>
      <c r="R116" s="1">
        <f t="shared" ref="R116:T116" si="539">SUMPRODUCT($M116:$O116, INDEX($I$2:$K$4, R$10, 0))+ INDEX($L$2:$L$4, R$10,1)</f>
        <v>7.922646112</v>
      </c>
      <c r="S116" s="1">
        <f t="shared" si="539"/>
        <v>-2.893678968</v>
      </c>
      <c r="T116" s="1">
        <f t="shared" si="539"/>
        <v>2.330516625</v>
      </c>
      <c r="U116" s="1">
        <f t="shared" ref="U116:W116" si="540">1/(1+EXP(-R116))</f>
        <v>0.9996376893</v>
      </c>
      <c r="V116" s="1">
        <f t="shared" si="540"/>
        <v>0.05246692025</v>
      </c>
      <c r="W116" s="1">
        <f t="shared" si="540"/>
        <v>0.9113730745</v>
      </c>
      <c r="X116" s="1">
        <f t="shared" si="17"/>
        <v>83.39551832</v>
      </c>
      <c r="Y116" s="1">
        <f t="shared" si="18"/>
        <v>0.3653981065</v>
      </c>
      <c r="Z116" s="3">
        <f t="shared" si="19"/>
        <v>84</v>
      </c>
      <c r="AA116" s="3">
        <f t="shared" si="20"/>
        <v>0</v>
      </c>
    </row>
    <row r="117" ht="15.75" customHeight="1">
      <c r="B117" s="1">
        <v>60.4</v>
      </c>
      <c r="C117" s="1">
        <v>-7.4</v>
      </c>
      <c r="D117" s="1">
        <v>-4.5</v>
      </c>
      <c r="E117" s="1">
        <v>5.0</v>
      </c>
      <c r="F117" s="1">
        <v>84.0</v>
      </c>
      <c r="G117" s="1">
        <f t="shared" ref="G117:I117" si="541">SUMPRODUCT($B117:$E117, INDEX($B$2:$E$4, G$10, 0))+ INDEX($F$2:$F$4,G$10,1)</f>
        <v>43.2249409</v>
      </c>
      <c r="H117" s="1">
        <f t="shared" si="541"/>
        <v>184.7608307</v>
      </c>
      <c r="I117" s="1">
        <f t="shared" si="541"/>
        <v>399.3341488</v>
      </c>
      <c r="J117" s="1">
        <f t="shared" ref="J117:L117" si="542">(G117-G$7)/(G$6-G$7)*2-1</f>
        <v>0.2221045419</v>
      </c>
      <c r="K117" s="1">
        <f t="shared" si="542"/>
        <v>0.5797223875</v>
      </c>
      <c r="L117" s="1">
        <f t="shared" si="542"/>
        <v>0.6901271432</v>
      </c>
      <c r="M117" s="1">
        <f t="shared" ref="M117:O117" si="543">1/(1+EXP(-J117))</f>
        <v>0.5552989952</v>
      </c>
      <c r="N117" s="1">
        <f t="shared" si="543"/>
        <v>0.6410035252</v>
      </c>
      <c r="O117" s="1">
        <f t="shared" si="543"/>
        <v>0.6659952098</v>
      </c>
      <c r="P117" s="1">
        <f t="shared" si="13"/>
        <v>81.67913969</v>
      </c>
      <c r="Q117" s="1">
        <f t="shared" si="14"/>
        <v>5.386392581</v>
      </c>
      <c r="R117" s="1">
        <f t="shared" ref="R117:T117" si="544">SUMPRODUCT($M117:$O117, INDEX($I$2:$K$4, R$10, 0))+ INDEX($L$2:$L$4, R$10,1)</f>
        <v>7.810948242</v>
      </c>
      <c r="S117" s="1">
        <f t="shared" si="544"/>
        <v>-2.912710589</v>
      </c>
      <c r="T117" s="1">
        <f t="shared" si="544"/>
        <v>2.05818191</v>
      </c>
      <c r="U117" s="1">
        <f t="shared" ref="U117:W117" si="545">1/(1+EXP(-R117))</f>
        <v>0.9995948906</v>
      </c>
      <c r="V117" s="1">
        <f t="shared" si="545"/>
        <v>0.05152879813</v>
      </c>
      <c r="W117" s="1">
        <f t="shared" si="545"/>
        <v>0.8867717482</v>
      </c>
      <c r="X117" s="1">
        <f t="shared" si="17"/>
        <v>81.98317864</v>
      </c>
      <c r="Y117" s="1">
        <f t="shared" si="18"/>
        <v>4.06756841</v>
      </c>
      <c r="Z117" s="3">
        <f t="shared" si="19"/>
        <v>84</v>
      </c>
      <c r="AA117" s="3">
        <f t="shared" si="20"/>
        <v>0</v>
      </c>
    </row>
    <row r="118" ht="15.75" customHeight="1">
      <c r="B118" s="1">
        <v>41.3</v>
      </c>
      <c r="C118" s="1">
        <v>-5.5</v>
      </c>
      <c r="D118" s="1">
        <v>-0.6</v>
      </c>
      <c r="E118" s="1">
        <v>8.0</v>
      </c>
      <c r="F118" s="1">
        <v>84.0</v>
      </c>
      <c r="G118" s="1">
        <f t="shared" ref="G118:I118" si="546">SUMPRODUCT($B118:$E118, INDEX($B$2:$E$4, G$10, 0))+ INDEX($F$2:$F$4,G$10,1)</f>
        <v>46.45614205</v>
      </c>
      <c r="H118" s="1">
        <f t="shared" si="546"/>
        <v>159.3730647</v>
      </c>
      <c r="I118" s="1">
        <f t="shared" si="546"/>
        <v>325.8693422</v>
      </c>
      <c r="J118" s="1">
        <f t="shared" ref="J118:L118" si="547">(G118-G$7)/(G$6-G$7)*2-1</f>
        <v>0.3964122457</v>
      </c>
      <c r="K118" s="1">
        <f t="shared" si="547"/>
        <v>0.1781585738</v>
      </c>
      <c r="L118" s="1">
        <f t="shared" si="547"/>
        <v>0.1538680381</v>
      </c>
      <c r="M118" s="1">
        <f t="shared" ref="M118:O118" si="548">1/(1+EXP(-J118))</f>
        <v>0.5978253592</v>
      </c>
      <c r="N118" s="1">
        <f t="shared" si="548"/>
        <v>0.5444222071</v>
      </c>
      <c r="O118" s="1">
        <f t="shared" si="548"/>
        <v>0.5383912954</v>
      </c>
      <c r="P118" s="1">
        <f t="shared" si="13"/>
        <v>72.74269794</v>
      </c>
      <c r="Q118" s="1">
        <f t="shared" si="14"/>
        <v>126.7268497</v>
      </c>
      <c r="R118" s="1">
        <f t="shared" ref="R118:T118" si="549">SUMPRODUCT($M118:$O118, INDEX($I$2:$K$4, R$10, 0))+ INDEX($L$2:$L$4, R$10,1)</f>
        <v>7.43658012</v>
      </c>
      <c r="S118" s="1">
        <f t="shared" si="549"/>
        <v>-2.972180631</v>
      </c>
      <c r="T118" s="1">
        <f t="shared" si="549"/>
        <v>1.171993126</v>
      </c>
      <c r="U118" s="1">
        <f t="shared" ref="U118:W118" si="550">1/(1+EXP(-R118))</f>
        <v>0.99941105</v>
      </c>
      <c r="V118" s="1">
        <f t="shared" si="550"/>
        <v>0.04869860134</v>
      </c>
      <c r="W118" s="1">
        <f t="shared" si="550"/>
        <v>0.7635050937</v>
      </c>
      <c r="X118" s="1">
        <f t="shared" si="17"/>
        <v>74.96762896</v>
      </c>
      <c r="Y118" s="1">
        <f t="shared" si="18"/>
        <v>81.58372654</v>
      </c>
      <c r="Z118" s="3">
        <f t="shared" si="19"/>
        <v>84</v>
      </c>
      <c r="AA118" s="3">
        <f t="shared" si="20"/>
        <v>0</v>
      </c>
    </row>
    <row r="119" ht="15.75" customHeight="1">
      <c r="B119" s="1">
        <v>50.9</v>
      </c>
      <c r="C119" s="1">
        <v>-6.7</v>
      </c>
      <c r="D119" s="1">
        <v>-3.7</v>
      </c>
      <c r="E119" s="1">
        <v>5.0</v>
      </c>
      <c r="F119" s="1">
        <v>84.0</v>
      </c>
      <c r="G119" s="1">
        <f t="shared" ref="G119:I119" si="551">SUMPRODUCT($B119:$E119, INDEX($B$2:$E$4, G$10, 0))+ INDEX($F$2:$F$4,G$10,1)</f>
        <v>39.07904752</v>
      </c>
      <c r="H119" s="1">
        <f t="shared" si="551"/>
        <v>160.6986256</v>
      </c>
      <c r="I119" s="1">
        <f t="shared" si="551"/>
        <v>341.3612403</v>
      </c>
      <c r="J119" s="1">
        <f t="shared" ref="J119:L119" si="552">(G119-G$7)/(G$6-G$7)*2-1</f>
        <v>-0.00154639202</v>
      </c>
      <c r="K119" s="1">
        <f t="shared" si="552"/>
        <v>0.1991252593</v>
      </c>
      <c r="L119" s="1">
        <f t="shared" si="552"/>
        <v>0.2669517278</v>
      </c>
      <c r="M119" s="1">
        <f t="shared" ref="M119:O119" si="553">1/(1+EXP(-J119))</f>
        <v>0.4996134021</v>
      </c>
      <c r="N119" s="1">
        <f t="shared" si="553"/>
        <v>0.5496174751</v>
      </c>
      <c r="O119" s="1">
        <f t="shared" si="553"/>
        <v>0.5663444061</v>
      </c>
      <c r="P119" s="1">
        <f t="shared" si="13"/>
        <v>73.02817782</v>
      </c>
      <c r="Q119" s="1">
        <f t="shared" si="14"/>
        <v>120.3808819</v>
      </c>
      <c r="R119" s="1">
        <f t="shared" ref="R119:T119" si="554">SUMPRODUCT($M119:$O119, INDEX($I$2:$K$4, R$10, 0))+ INDEX($L$2:$L$4, R$10,1)</f>
        <v>7.311681845</v>
      </c>
      <c r="S119" s="1">
        <f t="shared" si="554"/>
        <v>-2.994061424</v>
      </c>
      <c r="T119" s="1">
        <f t="shared" si="554"/>
        <v>0.8600119312</v>
      </c>
      <c r="U119" s="1">
        <f t="shared" ref="U119:W119" si="555">1/(1+EXP(-R119))</f>
        <v>0.9993327524</v>
      </c>
      <c r="V119" s="1">
        <f t="shared" si="555"/>
        <v>0.0476948804</v>
      </c>
      <c r="W119" s="1">
        <f t="shared" si="555"/>
        <v>0.7026631471</v>
      </c>
      <c r="X119" s="1">
        <f t="shared" si="17"/>
        <v>71.51782312</v>
      </c>
      <c r="Y119" s="1">
        <f t="shared" si="18"/>
        <v>155.8047396</v>
      </c>
      <c r="Z119" s="3">
        <f t="shared" si="19"/>
        <v>69</v>
      </c>
      <c r="AA119" s="3">
        <f t="shared" si="20"/>
        <v>1</v>
      </c>
    </row>
    <row r="120" ht="15.75" customHeight="1">
      <c r="B120" s="1">
        <v>60.4</v>
      </c>
      <c r="C120" s="1">
        <v>-6.3</v>
      </c>
      <c r="D120" s="1">
        <v>-3.3</v>
      </c>
      <c r="E120" s="1">
        <v>6.0</v>
      </c>
      <c r="F120" s="1">
        <v>84.0</v>
      </c>
      <c r="G120" s="1">
        <f t="shared" ref="G120:I120" si="556">SUMPRODUCT($B120:$E120, INDEX($B$2:$E$4, G$10, 0))+ INDEX($F$2:$F$4,G$10,1)</f>
        <v>46.40901864</v>
      </c>
      <c r="H120" s="1">
        <f t="shared" si="556"/>
        <v>190.6903264</v>
      </c>
      <c r="I120" s="1">
        <f t="shared" si="556"/>
        <v>417.384754</v>
      </c>
      <c r="J120" s="1">
        <f t="shared" ref="J120:L120" si="557">(G120-G$7)/(G$6-G$7)*2-1</f>
        <v>0.3938701648</v>
      </c>
      <c r="K120" s="1">
        <f t="shared" si="557"/>
        <v>0.6735105089</v>
      </c>
      <c r="L120" s="1">
        <f t="shared" si="557"/>
        <v>0.8218882113</v>
      </c>
      <c r="M120" s="1">
        <f t="shared" ref="M120:O120" si="558">1/(1+EXP(-J120))</f>
        <v>0.5972140145</v>
      </c>
      <c r="N120" s="1">
        <f t="shared" si="558"/>
        <v>0.6622887747</v>
      </c>
      <c r="O120" s="1">
        <f t="shared" si="558"/>
        <v>0.6946370079</v>
      </c>
      <c r="P120" s="1">
        <f t="shared" si="13"/>
        <v>84.36741133</v>
      </c>
      <c r="Q120" s="1">
        <f t="shared" si="14"/>
        <v>0.1349910869</v>
      </c>
      <c r="R120" s="1">
        <f t="shared" ref="R120:T120" si="559">SUMPRODUCT($M120:$O120, INDEX($I$2:$K$4, R$10, 0))+ INDEX($L$2:$L$4, R$10,1)</f>
        <v>7.995630372</v>
      </c>
      <c r="S120" s="1">
        <f t="shared" si="559"/>
        <v>-2.88222047</v>
      </c>
      <c r="T120" s="1">
        <f t="shared" si="559"/>
        <v>2.501920044</v>
      </c>
      <c r="U120" s="1">
        <f t="shared" ref="U120:W120" si="560">1/(1+EXP(-R120))</f>
        <v>0.9996631818</v>
      </c>
      <c r="V120" s="1">
        <f t="shared" si="560"/>
        <v>0.05303949965</v>
      </c>
      <c r="W120" s="1">
        <f t="shared" si="560"/>
        <v>0.9242763126</v>
      </c>
      <c r="X120" s="1">
        <f t="shared" si="17"/>
        <v>84.1389369</v>
      </c>
      <c r="Y120" s="1">
        <f t="shared" si="18"/>
        <v>0.01930346088</v>
      </c>
      <c r="Z120" s="3">
        <f t="shared" si="19"/>
        <v>84</v>
      </c>
      <c r="AA120" s="3">
        <f t="shared" si="20"/>
        <v>0</v>
      </c>
    </row>
    <row r="121" ht="15.75" customHeight="1">
      <c r="B121" s="1">
        <v>41.3</v>
      </c>
      <c r="C121" s="1">
        <v>-9.3</v>
      </c>
      <c r="D121" s="1">
        <v>-0.6</v>
      </c>
      <c r="E121" s="1">
        <v>7.0</v>
      </c>
      <c r="F121" s="1">
        <v>84.0</v>
      </c>
      <c r="G121" s="1">
        <f t="shared" ref="G121:I121" si="561">SUMPRODUCT($B121:$E121, INDEX($B$2:$E$4, G$10, 0))+ INDEX($F$2:$F$4,G$10,1)</f>
        <v>55.40072572</v>
      </c>
      <c r="H121" s="1">
        <f t="shared" si="561"/>
        <v>183.479686</v>
      </c>
      <c r="I121" s="1">
        <f t="shared" si="561"/>
        <v>344.1858879</v>
      </c>
      <c r="J121" s="1">
        <f t="shared" ref="J121:L121" si="562">(G121-G$7)/(G$6-G$7)*2-1</f>
        <v>0.8789293551</v>
      </c>
      <c r="K121" s="1">
        <f t="shared" si="562"/>
        <v>0.5594582437</v>
      </c>
      <c r="L121" s="1">
        <f t="shared" si="562"/>
        <v>0.287570349</v>
      </c>
      <c r="M121" s="1">
        <f t="shared" ref="M121:O121" si="563">1/(1+EXP(-J121))</f>
        <v>0.706600308</v>
      </c>
      <c r="N121" s="1">
        <f t="shared" si="563"/>
        <v>0.6363271791</v>
      </c>
      <c r="O121" s="1">
        <f t="shared" si="563"/>
        <v>0.5714012104</v>
      </c>
      <c r="P121" s="1">
        <f t="shared" si="13"/>
        <v>78.65370846</v>
      </c>
      <c r="Q121" s="1">
        <f t="shared" si="14"/>
        <v>28.58283323</v>
      </c>
      <c r="R121" s="1">
        <f t="shared" ref="R121:T121" si="564">SUMPRODUCT($M121:$O121, INDEX($I$2:$K$4, R$10, 0))+ INDEX($L$2:$L$4, R$10,1)</f>
        <v>7.902359495</v>
      </c>
      <c r="S121" s="1">
        <f t="shared" si="564"/>
        <v>-2.895306476</v>
      </c>
      <c r="T121" s="1">
        <f t="shared" si="564"/>
        <v>2.31016746</v>
      </c>
      <c r="U121" s="1">
        <f t="shared" ref="U121:W121" si="565">1/(1+EXP(-R121))</f>
        <v>0.9996302669</v>
      </c>
      <c r="V121" s="1">
        <f t="shared" si="565"/>
        <v>0.05238606904</v>
      </c>
      <c r="W121" s="1">
        <f t="shared" si="565"/>
        <v>0.9097156103</v>
      </c>
      <c r="X121" s="1">
        <f t="shared" si="17"/>
        <v>83.29972606</v>
      </c>
      <c r="Y121" s="1">
        <f t="shared" si="18"/>
        <v>0.4903835964</v>
      </c>
      <c r="Z121" s="3">
        <f t="shared" si="19"/>
        <v>84</v>
      </c>
      <c r="AA121" s="3">
        <f t="shared" si="20"/>
        <v>0</v>
      </c>
    </row>
    <row r="122" ht="15.75" customHeight="1">
      <c r="B122" s="1">
        <v>50.9</v>
      </c>
      <c r="C122" s="1">
        <v>-6.6</v>
      </c>
      <c r="D122" s="1">
        <v>-4.4</v>
      </c>
      <c r="E122" s="1">
        <v>5.0</v>
      </c>
      <c r="F122" s="1">
        <v>84.0</v>
      </c>
      <c r="G122" s="1">
        <f t="shared" ref="G122:I122" si="566">SUMPRODUCT($B122:$E122, INDEX($B$2:$E$4, G$10, 0))+ INDEX($F$2:$F$4,G$10,1)</f>
        <v>35.91220787</v>
      </c>
      <c r="H122" s="1">
        <f t="shared" si="566"/>
        <v>152.9106765</v>
      </c>
      <c r="I122" s="1">
        <f t="shared" si="566"/>
        <v>327.4799608</v>
      </c>
      <c r="J122" s="1">
        <f t="shared" ref="J122:L122" si="567">(G122-G$7)/(G$6-G$7)*2-1</f>
        <v>-0.1723821038</v>
      </c>
      <c r="K122" s="1">
        <f t="shared" si="567"/>
        <v>0.07594157435</v>
      </c>
      <c r="L122" s="1">
        <f t="shared" si="567"/>
        <v>0.1656248085</v>
      </c>
      <c r="M122" s="1">
        <f t="shared" ref="M122:O122" si="568">1/(1+EXP(-J122))</f>
        <v>0.4570108753</v>
      </c>
      <c r="N122" s="1">
        <f t="shared" si="568"/>
        <v>0.5189762746</v>
      </c>
      <c r="O122" s="1">
        <f t="shared" si="568"/>
        <v>0.5413118079</v>
      </c>
      <c r="P122" s="1">
        <f t="shared" si="13"/>
        <v>70.24129388</v>
      </c>
      <c r="Q122" s="1">
        <f t="shared" si="14"/>
        <v>189.301994</v>
      </c>
      <c r="R122" s="1">
        <f t="shared" ref="R122:T122" si="569">SUMPRODUCT($M122:$O122, INDEX($I$2:$K$4, R$10, 0))+ INDEX($L$2:$L$4, R$10,1)</f>
        <v>7.114608587</v>
      </c>
      <c r="S122" s="1">
        <f t="shared" si="569"/>
        <v>-3.026544094</v>
      </c>
      <c r="T122" s="1">
        <f t="shared" si="569"/>
        <v>0.3833885679</v>
      </c>
      <c r="U122" s="1">
        <f t="shared" ref="U122:W122" si="570">1/(1+EXP(-R122))</f>
        <v>0.9991875217</v>
      </c>
      <c r="V122" s="1">
        <f t="shared" si="570"/>
        <v>0.04624100331</v>
      </c>
      <c r="W122" s="1">
        <f t="shared" si="570"/>
        <v>0.5946901236</v>
      </c>
      <c r="X122" s="1">
        <f t="shared" si="17"/>
        <v>65.40615243</v>
      </c>
      <c r="Y122" s="1">
        <f t="shared" si="18"/>
        <v>345.7311673</v>
      </c>
      <c r="Z122" s="3">
        <f t="shared" si="19"/>
        <v>69</v>
      </c>
      <c r="AA122" s="3">
        <f t="shared" si="20"/>
        <v>1</v>
      </c>
    </row>
    <row r="123" ht="15.75" customHeight="1">
      <c r="B123" s="1">
        <v>41.3</v>
      </c>
      <c r="C123" s="1">
        <v>-5.8</v>
      </c>
      <c r="D123" s="1">
        <v>-0.6</v>
      </c>
      <c r="E123" s="1">
        <v>8.0</v>
      </c>
      <c r="F123" s="1">
        <v>84.0</v>
      </c>
      <c r="G123" s="1">
        <f t="shared" ref="G123:I123" si="571">SUMPRODUCT($B123:$E123, INDEX($B$2:$E$4, G$10, 0))+ INDEX($F$2:$F$4,G$10,1)</f>
        <v>47.2510328</v>
      </c>
      <c r="H123" s="1">
        <f t="shared" si="571"/>
        <v>161.3526821</v>
      </c>
      <c r="I123" s="1">
        <f t="shared" si="571"/>
        <v>327.3607778</v>
      </c>
      <c r="J123" s="1">
        <f t="shared" ref="J123:L123" si="572">(G123-G$7)/(G$6-G$7)*2-1</f>
        <v>0.4392927641</v>
      </c>
      <c r="K123" s="1">
        <f t="shared" si="572"/>
        <v>0.2094706131</v>
      </c>
      <c r="L123" s="1">
        <f t="shared" si="572"/>
        <v>0.1647548283</v>
      </c>
      <c r="M123" s="1">
        <f t="shared" ref="M123:O123" si="573">1/(1+EXP(-J123))</f>
        <v>0.6080904977</v>
      </c>
      <c r="N123" s="1">
        <f t="shared" si="573"/>
        <v>0.5521770077</v>
      </c>
      <c r="O123" s="1">
        <f t="shared" si="573"/>
        <v>0.5410957899</v>
      </c>
      <c r="P123" s="1">
        <f t="shared" si="13"/>
        <v>73.25190851</v>
      </c>
      <c r="Q123" s="1">
        <f t="shared" si="14"/>
        <v>115.5214708</v>
      </c>
      <c r="R123" s="1">
        <f t="shared" ref="R123:T123" si="574">SUMPRODUCT($M123:$O123, INDEX($I$2:$K$4, R$10, 0))+ INDEX($L$2:$L$4, R$10,1)</f>
        <v>7.477855394</v>
      </c>
      <c r="S123" s="1">
        <f t="shared" si="574"/>
        <v>-2.96535666</v>
      </c>
      <c r="T123" s="1">
        <f t="shared" si="574"/>
        <v>1.272858173</v>
      </c>
      <c r="U123" s="1">
        <f t="shared" ref="U123:W123" si="575">1/(1+EXP(-R123))</f>
        <v>0.9994348508</v>
      </c>
      <c r="V123" s="1">
        <f t="shared" si="575"/>
        <v>0.0490157111</v>
      </c>
      <c r="W123" s="1">
        <f t="shared" si="575"/>
        <v>0.7812316274</v>
      </c>
      <c r="X123" s="1">
        <f t="shared" si="17"/>
        <v>75.97355735</v>
      </c>
      <c r="Y123" s="1">
        <f t="shared" si="18"/>
        <v>64.42378166</v>
      </c>
      <c r="Z123" s="3">
        <f t="shared" si="19"/>
        <v>84</v>
      </c>
      <c r="AA123" s="3">
        <f t="shared" si="20"/>
        <v>0</v>
      </c>
    </row>
    <row r="124" ht="15.75" customHeight="1">
      <c r="B124" s="1">
        <v>55.6</v>
      </c>
      <c r="C124" s="1">
        <v>-5.5</v>
      </c>
      <c r="D124" s="1">
        <v>-2.4</v>
      </c>
      <c r="E124" s="1">
        <v>7.0</v>
      </c>
      <c r="F124" s="1">
        <v>84.0</v>
      </c>
      <c r="G124" s="1">
        <f t="shared" ref="G124:I124" si="576">SUMPRODUCT($B124:$E124, INDEX($B$2:$E$4, G$10, 0))+ INDEX($F$2:$F$4,G$10,1)</f>
        <v>46.31102331</v>
      </c>
      <c r="H124" s="1">
        <f t="shared" si="576"/>
        <v>181.6046061</v>
      </c>
      <c r="I124" s="1">
        <f t="shared" si="576"/>
        <v>395.9289037</v>
      </c>
      <c r="J124" s="1">
        <f t="shared" ref="J124:L124" si="577">(G124-G$7)/(G$6-G$7)*2-1</f>
        <v>0.3885837902</v>
      </c>
      <c r="K124" s="1">
        <f t="shared" si="577"/>
        <v>0.5297996972</v>
      </c>
      <c r="L124" s="1">
        <f t="shared" si="577"/>
        <v>0.6652704291</v>
      </c>
      <c r="M124" s="1">
        <f t="shared" ref="M124:O124" si="578">1/(1+EXP(-J124))</f>
        <v>0.5959417292</v>
      </c>
      <c r="N124" s="1">
        <f t="shared" si="578"/>
        <v>0.6294363933</v>
      </c>
      <c r="O124" s="1">
        <f t="shared" si="578"/>
        <v>0.6604433216</v>
      </c>
      <c r="P124" s="1">
        <f t="shared" si="13"/>
        <v>81.59520998</v>
      </c>
      <c r="Q124" s="1">
        <f t="shared" si="14"/>
        <v>5.783015042</v>
      </c>
      <c r="R124" s="1">
        <f t="shared" ref="R124:T124" si="579">SUMPRODUCT($M124:$O124, INDEX($I$2:$K$4, R$10, 0))+ INDEX($L$2:$L$4, R$10,1)</f>
        <v>7.85650254</v>
      </c>
      <c r="S124" s="1">
        <f t="shared" si="579"/>
        <v>-2.904626151</v>
      </c>
      <c r="T124" s="1">
        <f t="shared" si="579"/>
        <v>2.168848873</v>
      </c>
      <c r="U124" s="1">
        <f t="shared" ref="U124:W124" si="580">1/(1+EXP(-R124))</f>
        <v>0.9996129241</v>
      </c>
      <c r="V124" s="1">
        <f t="shared" si="580"/>
        <v>0.05192534913</v>
      </c>
      <c r="W124" s="1">
        <f t="shared" si="580"/>
        <v>0.8974170426</v>
      </c>
      <c r="X124" s="1">
        <f t="shared" si="17"/>
        <v>82.59400388</v>
      </c>
      <c r="Y124" s="1">
        <f t="shared" si="18"/>
        <v>1.976825087</v>
      </c>
      <c r="Z124" s="3">
        <f t="shared" si="19"/>
        <v>84</v>
      </c>
      <c r="AA124" s="3">
        <f t="shared" si="20"/>
        <v>0</v>
      </c>
    </row>
    <row r="125" ht="15.75" customHeight="1">
      <c r="B125" s="1">
        <v>50.9</v>
      </c>
      <c r="C125" s="1">
        <v>-5.8</v>
      </c>
      <c r="D125" s="1">
        <v>-4.4</v>
      </c>
      <c r="E125" s="1">
        <v>4.0</v>
      </c>
      <c r="F125" s="1">
        <v>84.0</v>
      </c>
      <c r="G125" s="1">
        <f t="shared" ref="G125:I125" si="581">SUMPRODUCT($B125:$E125, INDEX($B$2:$E$4, G$10, 0))+ INDEX($F$2:$F$4,G$10,1)</f>
        <v>32.66846679</v>
      </c>
      <c r="H125" s="1">
        <f t="shared" si="581"/>
        <v>146.6631638</v>
      </c>
      <c r="I125" s="1">
        <f t="shared" si="581"/>
        <v>322.9278268</v>
      </c>
      <c r="J125" s="1">
        <f t="shared" ref="J125:L125" si="582">(G125-G$7)/(G$6-G$7)*2-1</f>
        <v>-0.3473662761</v>
      </c>
      <c r="K125" s="1">
        <f t="shared" si="582"/>
        <v>-0.02287669204</v>
      </c>
      <c r="L125" s="1">
        <f t="shared" si="582"/>
        <v>0.1323963366</v>
      </c>
      <c r="M125" s="1">
        <f t="shared" ref="M125:O125" si="583">1/(1+EXP(-J125))</f>
        <v>0.4140212376</v>
      </c>
      <c r="N125" s="1">
        <f t="shared" si="583"/>
        <v>0.4942810764</v>
      </c>
      <c r="O125" s="1">
        <f t="shared" si="583"/>
        <v>0.5330508198</v>
      </c>
      <c r="P125" s="1">
        <f t="shared" si="13"/>
        <v>68.49909591</v>
      </c>
      <c r="Q125" s="1">
        <f t="shared" si="14"/>
        <v>240.2780275</v>
      </c>
      <c r="R125" s="1">
        <f t="shared" ref="R125:T125" si="584">SUMPRODUCT($M125:$O125, INDEX($I$2:$K$4, R$10, 0))+ INDEX($L$2:$L$4, R$10,1)</f>
        <v>6.96359863</v>
      </c>
      <c r="S125" s="1">
        <f t="shared" si="584"/>
        <v>-3.05161271</v>
      </c>
      <c r="T125" s="1">
        <f t="shared" si="584"/>
        <v>0.01445892211</v>
      </c>
      <c r="U125" s="1">
        <f t="shared" ref="U125:W125" si="585">1/(1+EXP(-R125))</f>
        <v>0.9990552062</v>
      </c>
      <c r="V125" s="1">
        <f t="shared" si="585"/>
        <v>0.04514789923</v>
      </c>
      <c r="W125" s="1">
        <f t="shared" si="585"/>
        <v>0.5036146676</v>
      </c>
      <c r="X125" s="1">
        <f t="shared" si="17"/>
        <v>60.25512112</v>
      </c>
      <c r="Y125" s="1">
        <f t="shared" si="18"/>
        <v>563.8192731</v>
      </c>
      <c r="Z125" s="3">
        <f t="shared" si="19"/>
        <v>69</v>
      </c>
      <c r="AA125" s="3">
        <f t="shared" si="20"/>
        <v>1</v>
      </c>
    </row>
    <row r="126" ht="15.75" customHeight="1">
      <c r="B126" s="1">
        <v>55.6</v>
      </c>
      <c r="C126" s="1">
        <v>-6.9</v>
      </c>
      <c r="D126" s="1">
        <v>-4.6</v>
      </c>
      <c r="E126" s="1">
        <v>5.0</v>
      </c>
      <c r="F126" s="1">
        <v>84.0</v>
      </c>
      <c r="G126" s="1">
        <f t="shared" ref="G126:I126" si="586">SUMPRODUCT($B126:$E126, INDEX($B$2:$E$4, G$10, 0))+ INDEX($F$2:$F$4,G$10,1)</f>
        <v>38.65226665</v>
      </c>
      <c r="H126" s="1">
        <f t="shared" si="586"/>
        <v>166.5032284</v>
      </c>
      <c r="I126" s="1">
        <f t="shared" si="586"/>
        <v>359.67457</v>
      </c>
      <c r="J126" s="1">
        <f t="shared" ref="J126:L126" si="587">(G126-G$7)/(G$6-G$7)*2-1</f>
        <v>-0.02456916</v>
      </c>
      <c r="K126" s="1">
        <f t="shared" si="587"/>
        <v>0.2909379224</v>
      </c>
      <c r="L126" s="1">
        <f t="shared" si="587"/>
        <v>0.4006305637</v>
      </c>
      <c r="M126" s="1">
        <f t="shared" ref="M126:O126" si="588">1/(1+EXP(-J126))</f>
        <v>0.493858019</v>
      </c>
      <c r="N126" s="1">
        <f t="shared" si="588"/>
        <v>0.5722257363</v>
      </c>
      <c r="O126" s="1">
        <f t="shared" si="588"/>
        <v>0.5988391504</v>
      </c>
      <c r="P126" s="1">
        <f t="shared" si="13"/>
        <v>75.3134209</v>
      </c>
      <c r="Q126" s="1">
        <f t="shared" si="14"/>
        <v>75.45665639</v>
      </c>
      <c r="R126" s="1">
        <f t="shared" ref="R126:T126" si="589">SUMPRODUCT($M126:$O126, INDEX($I$2:$K$4, R$10, 0))+ INDEX($L$2:$L$4, R$10,1)</f>
        <v>7.413073904</v>
      </c>
      <c r="S126" s="1">
        <f t="shared" si="589"/>
        <v>-2.977846957</v>
      </c>
      <c r="T126" s="1">
        <f t="shared" si="589"/>
        <v>1.100087115</v>
      </c>
      <c r="U126" s="1">
        <f t="shared" ref="U126:W126" si="590">1/(1+EXP(-R126))</f>
        <v>0.9993970505</v>
      </c>
      <c r="V126" s="1">
        <f t="shared" si="590"/>
        <v>0.04843676744</v>
      </c>
      <c r="W126" s="1">
        <f t="shared" si="590"/>
        <v>0.750276428</v>
      </c>
      <c r="X126" s="1">
        <f t="shared" si="17"/>
        <v>74.21618018</v>
      </c>
      <c r="Y126" s="1">
        <f t="shared" si="18"/>
        <v>95.72313032</v>
      </c>
      <c r="Z126" s="3">
        <f t="shared" si="19"/>
        <v>84</v>
      </c>
      <c r="AA126" s="3">
        <f t="shared" si="20"/>
        <v>0</v>
      </c>
    </row>
    <row r="127" ht="15.75" customHeight="1">
      <c r="B127" s="1">
        <v>60.4</v>
      </c>
      <c r="C127" s="1">
        <v>-6.6</v>
      </c>
      <c r="D127" s="1">
        <v>-3.7</v>
      </c>
      <c r="E127" s="1">
        <v>5.0</v>
      </c>
      <c r="F127" s="1">
        <v>84.0</v>
      </c>
      <c r="G127" s="1">
        <f t="shared" ref="G127:I127" si="591">SUMPRODUCT($B127:$E127, INDEX($B$2:$E$4, G$10, 0))+ INDEX($F$2:$F$4,G$10,1)</f>
        <v>44.42166205</v>
      </c>
      <c r="H127" s="1">
        <f t="shared" si="591"/>
        <v>187.6282242</v>
      </c>
      <c r="I127" s="1">
        <f t="shared" si="591"/>
        <v>410.6531406</v>
      </c>
      <c r="J127" s="1">
        <f t="shared" ref="J127:L127" si="592">(G127-G$7)/(G$6-G$7)*2-1</f>
        <v>0.2866618709</v>
      </c>
      <c r="K127" s="1">
        <f t="shared" si="592"/>
        <v>0.6250765742</v>
      </c>
      <c r="L127" s="1">
        <f t="shared" si="592"/>
        <v>0.7727505476</v>
      </c>
      <c r="M127" s="1">
        <f t="shared" ref="M127:O127" si="593">1/(1+EXP(-J127))</f>
        <v>0.571178708</v>
      </c>
      <c r="N127" s="1">
        <f t="shared" si="593"/>
        <v>0.6513722538</v>
      </c>
      <c r="O127" s="1">
        <f t="shared" si="593"/>
        <v>0.6841155918</v>
      </c>
      <c r="P127" s="1">
        <f t="shared" si="13"/>
        <v>83.14458769</v>
      </c>
      <c r="Q127" s="1">
        <f t="shared" si="14"/>
        <v>0.7317302239</v>
      </c>
      <c r="R127" s="1">
        <f t="shared" ref="R127:T127" si="594">SUMPRODUCT($M127:$O127, INDEX($I$2:$K$4, R$10, 0))+ INDEX($L$2:$L$4, R$10,1)</f>
        <v>7.90067098</v>
      </c>
      <c r="S127" s="1">
        <f t="shared" si="594"/>
        <v>-2.897976221</v>
      </c>
      <c r="T127" s="1">
        <f t="shared" si="594"/>
        <v>2.272414558</v>
      </c>
      <c r="U127" s="1">
        <f t="shared" ref="U127:W127" si="595">1/(1+EXP(-R127))</f>
        <v>0.9996296424</v>
      </c>
      <c r="V127" s="1">
        <f t="shared" si="595"/>
        <v>0.05225369642</v>
      </c>
      <c r="W127" s="1">
        <f t="shared" si="595"/>
        <v>0.9065665105</v>
      </c>
      <c r="X127" s="1">
        <f t="shared" si="17"/>
        <v>83.11861215</v>
      </c>
      <c r="Y127" s="1">
        <f t="shared" si="18"/>
        <v>0.7768445399</v>
      </c>
      <c r="Z127" s="3">
        <f t="shared" si="19"/>
        <v>84</v>
      </c>
      <c r="AA127" s="3">
        <f t="shared" si="20"/>
        <v>0</v>
      </c>
    </row>
    <row r="128" ht="15.75" customHeight="1">
      <c r="B128" s="1">
        <v>55.6</v>
      </c>
      <c r="C128" s="1">
        <v>-7.4</v>
      </c>
      <c r="D128" s="1">
        <v>-2.5</v>
      </c>
      <c r="E128" s="1">
        <v>7.0</v>
      </c>
      <c r="F128" s="1">
        <v>84.0</v>
      </c>
      <c r="G128" s="1">
        <f t="shared" ref="G128:I128" si="596">SUMPRODUCT($B128:$E128, INDEX($B$2:$E$4, G$10, 0))+ INDEX($F$2:$F$4,G$10,1)</f>
        <v>50.93077763</v>
      </c>
      <c r="H128" s="1">
        <f t="shared" si="596"/>
        <v>193.1238866</v>
      </c>
      <c r="I128" s="1">
        <f t="shared" si="596"/>
        <v>403.4626435</v>
      </c>
      <c r="J128" s="1">
        <f t="shared" ref="J128:L128" si="597">(G128-G$7)/(G$6-G$7)*2-1</f>
        <v>0.6377972343</v>
      </c>
      <c r="K128" s="1">
        <f t="shared" si="597"/>
        <v>0.7120026598</v>
      </c>
      <c r="L128" s="1">
        <f t="shared" si="597"/>
        <v>0.7202632447</v>
      </c>
      <c r="M128" s="1">
        <f t="shared" ref="M128:O128" si="598">1/(1+EXP(-J128))</f>
        <v>0.6542553528</v>
      </c>
      <c r="N128" s="1">
        <f t="shared" si="598"/>
        <v>0.6708435233</v>
      </c>
      <c r="O128" s="1">
        <f t="shared" si="598"/>
        <v>0.6726649827</v>
      </c>
      <c r="P128" s="1">
        <f t="shared" si="13"/>
        <v>84.24580744</v>
      </c>
      <c r="Q128" s="1">
        <f t="shared" si="14"/>
        <v>0.06042129897</v>
      </c>
      <c r="R128" s="1">
        <f t="shared" ref="R128:T128" si="599">SUMPRODUCT($M128:$O128, INDEX($I$2:$K$4, R$10, 0))+ INDEX($L$2:$L$4, R$10,1)</f>
        <v>8.079163413</v>
      </c>
      <c r="S128" s="1">
        <f t="shared" si="599"/>
        <v>-2.8677618</v>
      </c>
      <c r="T128" s="1">
        <f t="shared" si="599"/>
        <v>2.71365697</v>
      </c>
      <c r="U128" s="1">
        <f t="shared" ref="U128:W128" si="600">1/(1+EXP(-R128))</f>
        <v>0.9996901658</v>
      </c>
      <c r="V128" s="1">
        <f t="shared" si="600"/>
        <v>0.05377041608</v>
      </c>
      <c r="W128" s="1">
        <f t="shared" si="600"/>
        <v>0.9378277169</v>
      </c>
      <c r="X128" s="1">
        <f t="shared" si="17"/>
        <v>84.92390274</v>
      </c>
      <c r="Y128" s="1">
        <f t="shared" si="18"/>
        <v>0.8535962813</v>
      </c>
      <c r="Z128" s="3">
        <f t="shared" si="19"/>
        <v>84</v>
      </c>
      <c r="AA128" s="3">
        <f t="shared" si="20"/>
        <v>0</v>
      </c>
    </row>
    <row r="129" ht="15.75" customHeight="1">
      <c r="B129" s="1">
        <v>60.4</v>
      </c>
      <c r="C129" s="1">
        <v>-6.8</v>
      </c>
      <c r="D129" s="1">
        <v>-3.6</v>
      </c>
      <c r="E129" s="1">
        <v>5.0</v>
      </c>
      <c r="F129" s="1">
        <v>84.0</v>
      </c>
      <c r="G129" s="1">
        <f t="shared" ref="G129:I129" si="601">SUMPRODUCT($B129:$E129, INDEX($B$2:$E$4, G$10, 0))+ INDEX($F$2:$F$4,G$10,1)</f>
        <v>45.36614294</v>
      </c>
      <c r="H129" s="1">
        <f t="shared" si="601"/>
        <v>189.9662659</v>
      </c>
      <c r="I129" s="1">
        <f t="shared" si="601"/>
        <v>413.5594502</v>
      </c>
      <c r="J129" s="1">
        <f t="shared" ref="J129:L129" si="602">(G129-G$7)/(G$6-G$7)*2-1</f>
        <v>0.3376120554</v>
      </c>
      <c r="K129" s="1">
        <f t="shared" si="602"/>
        <v>0.6620578869</v>
      </c>
      <c r="L129" s="1">
        <f t="shared" si="602"/>
        <v>0.7939652633</v>
      </c>
      <c r="M129" s="1">
        <f t="shared" ref="M129:O129" si="603">1/(1+EXP(-J129))</f>
        <v>0.5836103463</v>
      </c>
      <c r="N129" s="1">
        <f t="shared" si="603"/>
        <v>0.6597225126</v>
      </c>
      <c r="O129" s="1">
        <f t="shared" si="603"/>
        <v>0.6886821147</v>
      </c>
      <c r="P129" s="1">
        <f t="shared" si="13"/>
        <v>83.79766474</v>
      </c>
      <c r="Q129" s="1">
        <f t="shared" si="14"/>
        <v>0.04093955645</v>
      </c>
      <c r="R129" s="1">
        <f t="shared" ref="R129:T129" si="604">SUMPRODUCT($M129:$O129, INDEX($I$2:$K$4, R$10, 0))+ INDEX($L$2:$L$4, R$10,1)</f>
        <v>7.951286979</v>
      </c>
      <c r="S129" s="1">
        <f t="shared" si="604"/>
        <v>-2.889608356</v>
      </c>
      <c r="T129" s="1">
        <f t="shared" si="604"/>
        <v>2.395508816</v>
      </c>
      <c r="U129" s="1">
        <f t="shared" ref="U129:W129" si="605">1/(1+EXP(-R129))</f>
        <v>0.9996479154</v>
      </c>
      <c r="V129" s="1">
        <f t="shared" si="605"/>
        <v>0.0526696563</v>
      </c>
      <c r="W129" s="1">
        <f t="shared" si="605"/>
        <v>0.9164841866</v>
      </c>
      <c r="X129" s="1">
        <f t="shared" si="17"/>
        <v>83.68921614</v>
      </c>
      <c r="Y129" s="1">
        <f t="shared" si="18"/>
        <v>0.0965866052</v>
      </c>
      <c r="Z129" s="3">
        <f t="shared" si="19"/>
        <v>84</v>
      </c>
      <c r="AA129" s="3">
        <f t="shared" si="20"/>
        <v>0</v>
      </c>
    </row>
    <row r="130" ht="15.75" customHeight="1">
      <c r="B130" s="1">
        <v>55.6</v>
      </c>
      <c r="C130" s="1">
        <v>-7.4</v>
      </c>
      <c r="D130" s="1">
        <v>-4.5</v>
      </c>
      <c r="E130" s="1">
        <v>5.0</v>
      </c>
      <c r="F130" s="1">
        <v>84.0</v>
      </c>
      <c r="G130" s="1">
        <f t="shared" ref="G130:I130" si="606">SUMPRODUCT($B130:$E130, INDEX($B$2:$E$4, G$10, 0))+ INDEX($F$2:$F$4,G$10,1)</f>
        <v>40.39163828</v>
      </c>
      <c r="H130" s="1">
        <f t="shared" si="606"/>
        <v>170.8208874</v>
      </c>
      <c r="I130" s="1">
        <f t="shared" si="606"/>
        <v>364.0723153</v>
      </c>
      <c r="J130" s="1">
        <f t="shared" ref="J130:L130" si="607">(G130-G$7)/(G$6-G$7)*2-1</f>
        <v>0.06926154285</v>
      </c>
      <c r="K130" s="1">
        <f t="shared" si="607"/>
        <v>0.3592312743</v>
      </c>
      <c r="L130" s="1">
        <f t="shared" si="607"/>
        <v>0.4327320696</v>
      </c>
      <c r="M130" s="1">
        <f t="shared" ref="M130:O130" si="608">1/(1+EXP(-J130))</f>
        <v>0.517308467</v>
      </c>
      <c r="N130" s="1">
        <f t="shared" si="608"/>
        <v>0.5888543345</v>
      </c>
      <c r="O130" s="1">
        <f t="shared" si="608"/>
        <v>0.6065258724</v>
      </c>
      <c r="P130" s="1">
        <f t="shared" si="13"/>
        <v>76.5230476</v>
      </c>
      <c r="Q130" s="1">
        <f t="shared" si="14"/>
        <v>55.90481716</v>
      </c>
      <c r="R130" s="1">
        <f t="shared" ref="R130:T130" si="609">SUMPRODUCT($M130:$O130, INDEX($I$2:$K$4, R$10, 0))+ INDEX($L$2:$L$4, R$10,1)</f>
        <v>7.508358098</v>
      </c>
      <c r="S130" s="1">
        <f t="shared" si="609"/>
        <v>-2.962095522</v>
      </c>
      <c r="T130" s="1">
        <f t="shared" si="609"/>
        <v>1.332256455</v>
      </c>
      <c r="U130" s="1">
        <f t="shared" ref="U130:W130" si="610">1/(1+EXP(-R130))</f>
        <v>0.9994518198</v>
      </c>
      <c r="V130" s="1">
        <f t="shared" si="610"/>
        <v>0.04916794688</v>
      </c>
      <c r="W130" s="1">
        <f t="shared" si="610"/>
        <v>0.791213634</v>
      </c>
      <c r="X130" s="1">
        <f t="shared" si="17"/>
        <v>76.53920558</v>
      </c>
      <c r="Y130" s="1">
        <f t="shared" si="18"/>
        <v>55.66345332</v>
      </c>
      <c r="Z130" s="3">
        <f t="shared" si="19"/>
        <v>84</v>
      </c>
      <c r="AA130" s="3">
        <f t="shared" si="20"/>
        <v>0</v>
      </c>
    </row>
    <row r="131" ht="15.75" customHeight="1">
      <c r="B131" s="1">
        <v>60.4</v>
      </c>
      <c r="C131" s="1">
        <v>-6.6</v>
      </c>
      <c r="D131" s="1">
        <v>-4.4</v>
      </c>
      <c r="E131" s="1">
        <v>6.0</v>
      </c>
      <c r="F131" s="1">
        <v>84.0</v>
      </c>
      <c r="G131" s="1">
        <f t="shared" ref="G131:I131" si="611">SUMPRODUCT($B131:$E131, INDEX($B$2:$E$4, G$10, 0))+ INDEX($F$2:$F$4,G$10,1)</f>
        <v>42.64381841</v>
      </c>
      <c r="H131" s="1">
        <f t="shared" si="611"/>
        <v>181.4686804</v>
      </c>
      <c r="I131" s="1">
        <f t="shared" si="611"/>
        <v>397.8439786</v>
      </c>
      <c r="J131" s="1">
        <f t="shared" ref="J131:L131" si="612">(G131-G$7)/(G$6-G$7)*2-1</f>
        <v>0.1907557885</v>
      </c>
      <c r="K131" s="1">
        <f t="shared" si="612"/>
        <v>0.5276497306</v>
      </c>
      <c r="L131" s="1">
        <f t="shared" si="612"/>
        <v>0.6792495897</v>
      </c>
      <c r="M131" s="1">
        <f t="shared" ref="M131:O131" si="613">1/(1+EXP(-J131))</f>
        <v>0.5475448635</v>
      </c>
      <c r="N131" s="1">
        <f t="shared" si="613"/>
        <v>0.6289347823</v>
      </c>
      <c r="O131" s="1">
        <f t="shared" si="613"/>
        <v>0.663571193</v>
      </c>
      <c r="P131" s="1">
        <f t="shared" si="13"/>
        <v>81.09052499</v>
      </c>
      <c r="Q131" s="1">
        <f t="shared" si="14"/>
        <v>8.465044845</v>
      </c>
      <c r="R131" s="1">
        <f t="shared" ref="R131:T131" si="614">SUMPRODUCT($M131:$O131, INDEX($I$2:$K$4, R$10, 0))+ INDEX($L$2:$L$4, R$10,1)</f>
        <v>7.766644324</v>
      </c>
      <c r="S131" s="1">
        <f t="shared" si="614"/>
        <v>-2.919970657</v>
      </c>
      <c r="T131" s="1">
        <f t="shared" si="614"/>
        <v>1.949130214</v>
      </c>
      <c r="U131" s="1">
        <f t="shared" ref="U131:W131" si="615">1/(1+EXP(-R131))</f>
        <v>0.9995765469</v>
      </c>
      <c r="V131" s="1">
        <f t="shared" si="615"/>
        <v>0.0511751257</v>
      </c>
      <c r="W131" s="1">
        <f t="shared" si="615"/>
        <v>0.8753517696</v>
      </c>
      <c r="X131" s="1">
        <f t="shared" si="17"/>
        <v>81.33024221</v>
      </c>
      <c r="Y131" s="1">
        <f t="shared" si="18"/>
        <v>7.127606679</v>
      </c>
      <c r="Z131" s="3">
        <f t="shared" si="19"/>
        <v>84</v>
      </c>
      <c r="AA131" s="3">
        <f t="shared" si="20"/>
        <v>0</v>
      </c>
    </row>
    <row r="132" ht="15.75" customHeight="1">
      <c r="B132" s="1">
        <v>55.6</v>
      </c>
      <c r="C132" s="1">
        <v>-5.7</v>
      </c>
      <c r="D132" s="1">
        <v>-2.7</v>
      </c>
      <c r="E132" s="1">
        <v>8.0</v>
      </c>
      <c r="F132" s="1">
        <v>84.0</v>
      </c>
      <c r="G132" s="1">
        <f t="shared" ref="G132:I132" si="616">SUMPRODUCT($B132:$E132, INDEX($B$2:$E$4, G$10, 0))+ INDEX($F$2:$F$4,G$10,1)</f>
        <v>46.72132173</v>
      </c>
      <c r="H132" s="1">
        <f t="shared" si="616"/>
        <v>180.8379939</v>
      </c>
      <c r="I132" s="1">
        <f t="shared" si="616"/>
        <v>391.7621088</v>
      </c>
      <c r="J132" s="1">
        <f t="shared" ref="J132:L132" si="617">(G132-G$7)/(G$6-G$7)*2-1</f>
        <v>0.410717409</v>
      </c>
      <c r="K132" s="1">
        <f t="shared" si="617"/>
        <v>0.5176740256</v>
      </c>
      <c r="L132" s="1">
        <f t="shared" si="617"/>
        <v>0.6348547538</v>
      </c>
      <c r="M132" s="1">
        <f t="shared" ref="M132:O132" si="618">1/(1+EXP(-J132))</f>
        <v>0.6012598876</v>
      </c>
      <c r="N132" s="1">
        <f t="shared" si="618"/>
        <v>0.6266037151</v>
      </c>
      <c r="O132" s="1">
        <f t="shared" si="618"/>
        <v>0.6535894464</v>
      </c>
      <c r="P132" s="1">
        <f t="shared" si="13"/>
        <v>81.22594366</v>
      </c>
      <c r="Q132" s="1">
        <f t="shared" si="14"/>
        <v>7.695388592</v>
      </c>
      <c r="R132" s="1">
        <f t="shared" ref="R132:T132" si="619">SUMPRODUCT($M132:$O132, INDEX($I$2:$K$4, R$10, 0))+ INDEX($L$2:$L$4, R$10,1)</f>
        <v>7.847049453</v>
      </c>
      <c r="S132" s="1">
        <f t="shared" si="619"/>
        <v>-2.906052838</v>
      </c>
      <c r="T132" s="1">
        <f t="shared" si="619"/>
        <v>2.147571307</v>
      </c>
      <c r="U132" s="1">
        <f t="shared" ref="U132:W132" si="620">1/(1+EXP(-R132))</f>
        <v>0.9996092491</v>
      </c>
      <c r="V132" s="1">
        <f t="shared" si="620"/>
        <v>0.05185515948</v>
      </c>
      <c r="W132" s="1">
        <f t="shared" si="620"/>
        <v>0.8954416065</v>
      </c>
      <c r="X132" s="1">
        <f t="shared" si="17"/>
        <v>82.480759</v>
      </c>
      <c r="Y132" s="1">
        <f t="shared" si="18"/>
        <v>2.30809322</v>
      </c>
      <c r="Z132" s="3">
        <f t="shared" si="19"/>
        <v>84</v>
      </c>
      <c r="AA132" s="3">
        <f t="shared" si="20"/>
        <v>0</v>
      </c>
    </row>
    <row r="133" ht="15.75" customHeight="1">
      <c r="B133" s="1">
        <v>55.6</v>
      </c>
      <c r="C133" s="1">
        <v>-7.4</v>
      </c>
      <c r="D133" s="1">
        <v>-2.5</v>
      </c>
      <c r="E133" s="1">
        <v>8.0</v>
      </c>
      <c r="F133" s="1">
        <v>84.0</v>
      </c>
      <c r="G133" s="1">
        <f t="shared" ref="G133:I133" si="621">SUMPRODUCT($B133:$E133, INDEX($B$2:$E$4, G$10, 0))+ INDEX($F$2:$F$4,G$10,1)</f>
        <v>52.05481006</v>
      </c>
      <c r="H133" s="1">
        <f t="shared" si="621"/>
        <v>194.0924194</v>
      </c>
      <c r="I133" s="1">
        <f t="shared" si="621"/>
        <v>404.0376157</v>
      </c>
      <c r="J133" s="1">
        <f t="shared" ref="J133:L133" si="622">(G133-G$7)/(G$6-G$7)*2-1</f>
        <v>0.6984333576</v>
      </c>
      <c r="K133" s="1">
        <f t="shared" si="622"/>
        <v>0.7273221547</v>
      </c>
      <c r="L133" s="1">
        <f t="shared" si="622"/>
        <v>0.7244602761</v>
      </c>
      <c r="M133" s="1">
        <f t="shared" ref="M133:O133" si="623">1/(1+EXP(-J133))</f>
        <v>0.6678403359</v>
      </c>
      <c r="N133" s="1">
        <f t="shared" si="623"/>
        <v>0.674217363</v>
      </c>
      <c r="O133" s="1">
        <f t="shared" si="623"/>
        <v>0.6735884431</v>
      </c>
      <c r="P133" s="1">
        <f t="shared" si="13"/>
        <v>84.57715067</v>
      </c>
      <c r="Q133" s="1">
        <f t="shared" si="14"/>
        <v>0.3331028935</v>
      </c>
      <c r="R133" s="1">
        <f t="shared" ref="R133:T133" si="624">SUMPRODUCT($M133:$O133, INDEX($I$2:$K$4, R$10, 0))+ INDEX($L$2:$L$4, R$10,1)</f>
        <v>8.114566406</v>
      </c>
      <c r="S133" s="1">
        <f t="shared" si="624"/>
        <v>-2.861818508</v>
      </c>
      <c r="T133" s="1">
        <f t="shared" si="624"/>
        <v>2.800067108</v>
      </c>
      <c r="U133" s="1">
        <f t="shared" ref="U133:W133" si="625">1/(1+EXP(-R133))</f>
        <v>0.9997009398</v>
      </c>
      <c r="V133" s="1">
        <f t="shared" si="625"/>
        <v>0.05407360894</v>
      </c>
      <c r="W133" s="1">
        <f t="shared" si="625"/>
        <v>0.9426794504</v>
      </c>
      <c r="X133" s="1">
        <f t="shared" si="17"/>
        <v>85.20630148</v>
      </c>
      <c r="Y133" s="1">
        <f t="shared" si="18"/>
        <v>1.45516326</v>
      </c>
      <c r="Z133" s="3">
        <f t="shared" si="19"/>
        <v>84</v>
      </c>
      <c r="AA133" s="3">
        <f t="shared" si="20"/>
        <v>0</v>
      </c>
    </row>
    <row r="134" ht="15.75" customHeight="1">
      <c r="B134" s="1">
        <v>50.9</v>
      </c>
      <c r="C134" s="1">
        <v>-6.3</v>
      </c>
      <c r="D134" s="1">
        <v>-2.7</v>
      </c>
      <c r="E134" s="1">
        <v>8.0</v>
      </c>
      <c r="F134" s="1">
        <v>84.0</v>
      </c>
      <c r="G134" s="1">
        <f t="shared" ref="G134:I134" si="626">SUMPRODUCT($B134:$E134, INDEX($B$2:$E$4, G$10, 0))+ INDEX($F$2:$F$4,G$10,1)</f>
        <v>45.53682773</v>
      </c>
      <c r="H134" s="1">
        <f t="shared" si="626"/>
        <v>171.147701</v>
      </c>
      <c r="I134" s="1">
        <f t="shared" si="626"/>
        <v>360.2177681</v>
      </c>
      <c r="J134" s="1">
        <f t="shared" ref="J134:L134" si="627">(G134-G$7)/(G$6-G$7)*2-1</f>
        <v>0.3468196758</v>
      </c>
      <c r="K134" s="1">
        <f t="shared" si="627"/>
        <v>0.364400556</v>
      </c>
      <c r="L134" s="1">
        <f t="shared" si="627"/>
        <v>0.404595658</v>
      </c>
      <c r="M134" s="1">
        <f t="shared" ref="M134:O134" si="628">1/(1+EXP(-J134))</f>
        <v>0.5858461467</v>
      </c>
      <c r="N134" s="1">
        <f t="shared" si="628"/>
        <v>0.5901052656</v>
      </c>
      <c r="O134" s="1">
        <f t="shared" si="628"/>
        <v>0.5997913138</v>
      </c>
      <c r="P134" s="1">
        <f t="shared" si="13"/>
        <v>77.13371776</v>
      </c>
      <c r="Q134" s="1">
        <f t="shared" si="14"/>
        <v>47.14583181</v>
      </c>
      <c r="R134" s="1">
        <f t="shared" ref="R134:T134" si="629">SUMPRODUCT($M134:$O134, INDEX($I$2:$K$4, R$10, 0))+ INDEX($L$2:$L$4, R$10,1)</f>
        <v>7.63187144</v>
      </c>
      <c r="S134" s="1">
        <f t="shared" si="629"/>
        <v>-2.940969876</v>
      </c>
      <c r="T134" s="1">
        <f t="shared" si="629"/>
        <v>1.635144075</v>
      </c>
      <c r="U134" s="1">
        <f t="shared" ref="U134:W134" si="630">1/(1+EXP(-R134))</f>
        <v>0.999515482</v>
      </c>
      <c r="V134" s="1">
        <f t="shared" si="630"/>
        <v>0.05016503989</v>
      </c>
      <c r="W134" s="1">
        <f t="shared" si="630"/>
        <v>0.8368731075</v>
      </c>
      <c r="X134" s="1">
        <f t="shared" si="17"/>
        <v>79.13612449</v>
      </c>
      <c r="Y134" s="1">
        <f t="shared" si="18"/>
        <v>23.65728502</v>
      </c>
      <c r="Z134" s="3">
        <f t="shared" si="19"/>
        <v>84</v>
      </c>
      <c r="AA134" s="3">
        <f t="shared" si="20"/>
        <v>0</v>
      </c>
    </row>
    <row r="135" ht="15.75" customHeight="1">
      <c r="B135" s="1">
        <v>50.9</v>
      </c>
      <c r="C135" s="1">
        <v>-5.8</v>
      </c>
      <c r="D135" s="1">
        <v>-2.6</v>
      </c>
      <c r="E135" s="1">
        <v>8.0</v>
      </c>
      <c r="F135" s="1">
        <v>84.0</v>
      </c>
      <c r="G135" s="1">
        <f t="shared" ref="G135:I135" si="631">SUMPRODUCT($B135:$E135, INDEX($B$2:$E$4, G$10, 0))+ INDEX($F$2:$F$4,G$10,1)</f>
        <v>44.62656355</v>
      </c>
      <c r="H135" s="1">
        <f t="shared" si="631"/>
        <v>168.8666353</v>
      </c>
      <c r="I135" s="1">
        <f t="shared" si="631"/>
        <v>359.6440612</v>
      </c>
      <c r="J135" s="1">
        <f t="shared" ref="J135:L135" si="632">(G135-G$7)/(G$6-G$7)*2-1</f>
        <v>0.2977153175</v>
      </c>
      <c r="K135" s="1">
        <f t="shared" si="632"/>
        <v>0.3283204436</v>
      </c>
      <c r="L135" s="1">
        <f t="shared" si="632"/>
        <v>0.4004078633</v>
      </c>
      <c r="M135" s="1">
        <f t="shared" ref="M135:O135" si="633">1/(1+EXP(-J135))</f>
        <v>0.5738839124</v>
      </c>
      <c r="N135" s="1">
        <f t="shared" si="633"/>
        <v>0.5813506589</v>
      </c>
      <c r="O135" s="1">
        <f t="shared" si="633"/>
        <v>0.5987856497</v>
      </c>
      <c r="P135" s="1">
        <f t="shared" si="13"/>
        <v>76.66047307</v>
      </c>
      <c r="Q135" s="1">
        <f t="shared" si="14"/>
        <v>53.86865557</v>
      </c>
      <c r="R135" s="1">
        <f t="shared" ref="R135:T135" si="634">SUMPRODUCT($M135:$O135, INDEX($I$2:$K$4, R$10, 0))+ INDEX($L$2:$L$4, R$10,1)</f>
        <v>7.588813831</v>
      </c>
      <c r="S135" s="1">
        <f t="shared" si="634"/>
        <v>-2.948109086</v>
      </c>
      <c r="T135" s="1">
        <f t="shared" si="634"/>
        <v>1.5292285</v>
      </c>
      <c r="U135" s="1">
        <f t="shared" ref="U135:W135" si="635">1/(1+EXP(-R135))</f>
        <v>0.999494175</v>
      </c>
      <c r="V135" s="1">
        <f t="shared" si="635"/>
        <v>0.04982595756</v>
      </c>
      <c r="W135" s="1">
        <f t="shared" si="635"/>
        <v>0.8218934066</v>
      </c>
      <c r="X135" s="1">
        <f t="shared" si="17"/>
        <v>78.28374814</v>
      </c>
      <c r="Y135" s="1">
        <f t="shared" si="18"/>
        <v>32.67553529</v>
      </c>
      <c r="Z135" s="3">
        <f t="shared" si="19"/>
        <v>84</v>
      </c>
      <c r="AA135" s="3">
        <f t="shared" si="20"/>
        <v>0</v>
      </c>
    </row>
    <row r="136" ht="15.75" customHeight="1">
      <c r="B136" s="1">
        <v>55.6</v>
      </c>
      <c r="C136" s="1">
        <v>-5.5</v>
      </c>
      <c r="D136" s="1">
        <v>-2.5</v>
      </c>
      <c r="E136" s="1">
        <v>9.0</v>
      </c>
      <c r="F136" s="1">
        <v>84.0</v>
      </c>
      <c r="G136" s="1">
        <f t="shared" ref="G136:I136" si="636">SUMPRODUCT($B136:$E136, INDEX($B$2:$E$4, G$10, 0))+ INDEX($F$2:$F$4,G$10,1)</f>
        <v>48.14453444</v>
      </c>
      <c r="H136" s="1">
        <f t="shared" si="636"/>
        <v>182.5233752</v>
      </c>
      <c r="I136" s="1">
        <f t="shared" si="636"/>
        <v>395.166829</v>
      </c>
      <c r="J136" s="1">
        <f t="shared" ref="J136:L136" si="637">(G136-G$7)/(G$6-G$7)*2-1</f>
        <v>0.4874928646</v>
      </c>
      <c r="K136" s="1">
        <f t="shared" si="637"/>
        <v>0.5443320672</v>
      </c>
      <c r="L136" s="1">
        <f t="shared" si="637"/>
        <v>0.6597076363</v>
      </c>
      <c r="M136" s="1">
        <f t="shared" ref="M136:O136" si="638">1/(1+EXP(-J136))</f>
        <v>0.6195156377</v>
      </c>
      <c r="N136" s="1">
        <f t="shared" si="638"/>
        <v>0.6328195903</v>
      </c>
      <c r="O136" s="1">
        <f t="shared" si="638"/>
        <v>0.65919471</v>
      </c>
      <c r="P136" s="1">
        <f t="shared" si="13"/>
        <v>81.94841054</v>
      </c>
      <c r="Q136" s="1">
        <f t="shared" si="14"/>
        <v>4.209019328</v>
      </c>
      <c r="R136" s="1">
        <f t="shared" ref="R136:T136" si="639">SUMPRODUCT($M136:$O136, INDEX($I$2:$K$4, R$10, 0))+ INDEX($L$2:$L$4, R$10,1)</f>
        <v>7.907077331</v>
      </c>
      <c r="S136" s="1">
        <f t="shared" si="639"/>
        <v>-2.896060152</v>
      </c>
      <c r="T136" s="1">
        <f t="shared" si="639"/>
        <v>2.292871664</v>
      </c>
      <c r="U136" s="1">
        <f t="shared" ref="U136:W136" si="640">1/(1+EXP(-R136))</f>
        <v>0.9996320065</v>
      </c>
      <c r="V136" s="1">
        <f t="shared" si="640"/>
        <v>0.05234866784</v>
      </c>
      <c r="W136" s="1">
        <f t="shared" si="640"/>
        <v>0.9082849501</v>
      </c>
      <c r="X136" s="1">
        <f t="shared" si="17"/>
        <v>83.21821137</v>
      </c>
      <c r="Y136" s="1">
        <f t="shared" si="18"/>
        <v>0.6111934614</v>
      </c>
      <c r="Z136" s="3">
        <f t="shared" si="19"/>
        <v>84</v>
      </c>
      <c r="AA136" s="3">
        <f t="shared" si="20"/>
        <v>0</v>
      </c>
    </row>
    <row r="137" ht="15.75" customHeight="1">
      <c r="B137" s="1">
        <v>46.1</v>
      </c>
      <c r="C137" s="1">
        <v>-7.3</v>
      </c>
      <c r="D137" s="1">
        <v>-2.3</v>
      </c>
      <c r="E137" s="1">
        <v>9.0</v>
      </c>
      <c r="F137" s="1">
        <v>84.0</v>
      </c>
      <c r="G137" s="1">
        <f t="shared" ref="G137:I137" si="641">SUMPRODUCT($B137:$E137, INDEX($B$2:$E$4, G$10, 0))+ INDEX($F$2:$F$4,G$10,1)</f>
        <v>48.13540825</v>
      </c>
      <c r="H137" s="1">
        <f t="shared" si="641"/>
        <v>168.8482021</v>
      </c>
      <c r="I137" s="1">
        <f t="shared" si="641"/>
        <v>338.1504356</v>
      </c>
      <c r="J137" s="1">
        <f t="shared" ref="J137:L137" si="642">(G137-G$7)/(G$6-G$7)*2-1</f>
        <v>0.4870005502</v>
      </c>
      <c r="K137" s="1">
        <f t="shared" si="642"/>
        <v>0.3280288813</v>
      </c>
      <c r="L137" s="1">
        <f t="shared" si="642"/>
        <v>0.2435143388</v>
      </c>
      <c r="M137" s="1">
        <f t="shared" ref="M137:O137" si="643">1/(1+EXP(-J137))</f>
        <v>0.6193995845</v>
      </c>
      <c r="N137" s="1">
        <f t="shared" si="643"/>
        <v>0.5812796962</v>
      </c>
      <c r="O137" s="1">
        <f t="shared" si="643"/>
        <v>0.5605795202</v>
      </c>
      <c r="P137" s="1">
        <f t="shared" si="13"/>
        <v>75.28207313</v>
      </c>
      <c r="Q137" s="1">
        <f t="shared" si="14"/>
        <v>76.00224883</v>
      </c>
      <c r="R137" s="1">
        <f t="shared" ref="R137:T137" si="644">SUMPRODUCT($M137:$O137, INDEX($I$2:$K$4, R$10, 0))+ INDEX($L$2:$L$4, R$10,1)</f>
        <v>7.598605381</v>
      </c>
      <c r="S137" s="1">
        <f t="shared" si="644"/>
        <v>-2.945733452</v>
      </c>
      <c r="T137" s="1">
        <f t="shared" si="644"/>
        <v>1.565304555</v>
      </c>
      <c r="U137" s="1">
        <f t="shared" ref="U137:W137" si="645">1/(1+EXP(-R137))</f>
        <v>0.9994991012</v>
      </c>
      <c r="V137" s="1">
        <f t="shared" si="645"/>
        <v>0.04993854834</v>
      </c>
      <c r="W137" s="1">
        <f t="shared" si="645"/>
        <v>0.8271132049</v>
      </c>
      <c r="X137" s="1">
        <f t="shared" si="17"/>
        <v>78.58054847</v>
      </c>
      <c r="Y137" s="1">
        <f t="shared" si="18"/>
        <v>29.37045485</v>
      </c>
      <c r="Z137" s="3">
        <f t="shared" si="19"/>
        <v>84</v>
      </c>
      <c r="AA137" s="3">
        <f t="shared" si="20"/>
        <v>0</v>
      </c>
    </row>
    <row r="138" ht="15.75" customHeight="1">
      <c r="B138" s="1">
        <v>55.6</v>
      </c>
      <c r="C138" s="1">
        <v>-6.6</v>
      </c>
      <c r="D138" s="1">
        <v>-4.5</v>
      </c>
      <c r="E138" s="1">
        <v>5.0</v>
      </c>
      <c r="F138" s="1">
        <v>84.0</v>
      </c>
      <c r="G138" s="1">
        <f t="shared" ref="G138:I138" si="646">SUMPRODUCT($B138:$E138, INDEX($B$2:$E$4, G$10, 0))+ INDEX($F$2:$F$4,G$10,1)</f>
        <v>38.27192963</v>
      </c>
      <c r="H138" s="1">
        <f t="shared" si="646"/>
        <v>165.5419076</v>
      </c>
      <c r="I138" s="1">
        <f t="shared" si="646"/>
        <v>360.0951536</v>
      </c>
      <c r="J138" s="1">
        <f t="shared" ref="J138:L138" si="647">(G138-G$7)/(G$6-G$7)*2-1</f>
        <v>-0.04508650613</v>
      </c>
      <c r="K138" s="1">
        <f t="shared" si="647"/>
        <v>0.2757325028</v>
      </c>
      <c r="L138" s="1">
        <f t="shared" si="647"/>
        <v>0.4037006291</v>
      </c>
      <c r="M138" s="1">
        <f t="shared" ref="M138:O138" si="648">1/(1+EXP(-J138))</f>
        <v>0.4887302825</v>
      </c>
      <c r="N138" s="1">
        <f t="shared" si="648"/>
        <v>0.5684996811</v>
      </c>
      <c r="O138" s="1">
        <f t="shared" si="648"/>
        <v>0.5995764504</v>
      </c>
      <c r="P138" s="1">
        <f t="shared" si="13"/>
        <v>75.17221327</v>
      </c>
      <c r="Q138" s="1">
        <f t="shared" si="14"/>
        <v>77.92981855</v>
      </c>
      <c r="R138" s="1">
        <f t="shared" ref="R138:T138" si="649">SUMPRODUCT($M138:$O138, INDEX($I$2:$K$4, R$10, 0))+ INDEX($L$2:$L$4, R$10,1)</f>
        <v>7.397109658</v>
      </c>
      <c r="S138" s="1">
        <f t="shared" si="649"/>
        <v>-2.980505059</v>
      </c>
      <c r="T138" s="1">
        <f t="shared" si="649"/>
        <v>1.060379968</v>
      </c>
      <c r="U138" s="1">
        <f t="shared" ref="U138:W138" si="650">1/(1+EXP(-R138))</f>
        <v>0.9993873535</v>
      </c>
      <c r="V138" s="1">
        <f t="shared" si="650"/>
        <v>0.04831440077</v>
      </c>
      <c r="W138" s="1">
        <f t="shared" si="650"/>
        <v>0.742763151</v>
      </c>
      <c r="X138" s="1">
        <f t="shared" si="17"/>
        <v>73.79021988</v>
      </c>
      <c r="Y138" s="1">
        <f t="shared" si="18"/>
        <v>104.23961</v>
      </c>
      <c r="Z138" s="3">
        <f t="shared" si="19"/>
        <v>84</v>
      </c>
      <c r="AA138" s="3">
        <f t="shared" si="20"/>
        <v>0</v>
      </c>
    </row>
    <row r="139" ht="15.75" customHeight="1">
      <c r="B139" s="1">
        <v>55.6</v>
      </c>
      <c r="C139" s="1">
        <v>-7.3</v>
      </c>
      <c r="D139" s="1">
        <v>-2.3</v>
      </c>
      <c r="E139" s="1">
        <v>9.0</v>
      </c>
      <c r="F139" s="1">
        <v>84.0</v>
      </c>
      <c r="G139" s="1">
        <f t="shared" ref="G139:I139" si="651">SUMPRODUCT($B139:$E139, INDEX($B$2:$E$4, G$10, 0))+ INDEX($F$2:$F$4,G$10,1)</f>
        <v>53.74298636</v>
      </c>
      <c r="H139" s="1">
        <f t="shared" si="651"/>
        <v>196.4376732</v>
      </c>
      <c r="I139" s="1">
        <f t="shared" si="651"/>
        <v>407.9394812</v>
      </c>
      <c r="J139" s="1">
        <f t="shared" ref="J139:L139" si="652">(G139-G$7)/(G$6-G$7)*2-1</f>
        <v>0.7895023193</v>
      </c>
      <c r="K139" s="1">
        <f t="shared" si="652"/>
        <v>0.7644175427</v>
      </c>
      <c r="L139" s="1">
        <f t="shared" si="652"/>
        <v>0.7529420887</v>
      </c>
      <c r="M139" s="1">
        <f t="shared" ref="M139:O139" si="653">1/(1+EXP(-J139))</f>
        <v>0.6877244589</v>
      </c>
      <c r="N139" s="1">
        <f t="shared" si="653"/>
        <v>0.6823120608</v>
      </c>
      <c r="O139" s="1">
        <f t="shared" si="653"/>
        <v>0.6798194273</v>
      </c>
      <c r="P139" s="1">
        <f t="shared" si="13"/>
        <v>85.40986967</v>
      </c>
      <c r="Q139" s="1">
        <f t="shared" si="14"/>
        <v>1.987732476</v>
      </c>
      <c r="R139" s="1">
        <f t="shared" ref="R139:T139" si="654">SUMPRODUCT($M139:$O139, INDEX($I$2:$K$4, R$10, 0))+ INDEX($L$2:$L$4, R$10,1)</f>
        <v>8.182840285</v>
      </c>
      <c r="S139" s="1">
        <f t="shared" si="654"/>
        <v>-2.850470573</v>
      </c>
      <c r="T139" s="1">
        <f t="shared" si="654"/>
        <v>2.965546529</v>
      </c>
      <c r="U139" s="1">
        <f t="shared" ref="U139:W139" si="655">1/(1+EXP(-R139))</f>
        <v>0.9997206708</v>
      </c>
      <c r="V139" s="1">
        <f t="shared" si="655"/>
        <v>0.05465699778</v>
      </c>
      <c r="W139" s="1">
        <f t="shared" si="655"/>
        <v>0.9509931385</v>
      </c>
      <c r="X139" s="1">
        <f t="shared" si="17"/>
        <v>85.69229429</v>
      </c>
      <c r="Y139" s="1">
        <f t="shared" si="18"/>
        <v>2.863859949</v>
      </c>
      <c r="Z139" s="3">
        <f t="shared" si="19"/>
        <v>84</v>
      </c>
      <c r="AA139" s="3">
        <f t="shared" si="20"/>
        <v>0</v>
      </c>
    </row>
    <row r="140" ht="15.75" customHeight="1">
      <c r="B140" s="1">
        <v>60.4</v>
      </c>
      <c r="C140" s="1">
        <v>-7.9</v>
      </c>
      <c r="D140" s="1">
        <v>-2.5</v>
      </c>
      <c r="E140" s="1">
        <v>8.0</v>
      </c>
      <c r="F140" s="1">
        <v>84.0</v>
      </c>
      <c r="G140" s="1">
        <f t="shared" ref="G140:I140" si="656">SUMPRODUCT($B140:$E140, INDEX($B$2:$E$4, G$10, 0))+ INDEX($F$2:$F$4,G$10,1)</f>
        <v>56.21293059</v>
      </c>
      <c r="H140" s="1">
        <f t="shared" si="656"/>
        <v>211.3317251</v>
      </c>
      <c r="I140" s="1">
        <f t="shared" si="656"/>
        <v>441.7851753</v>
      </c>
      <c r="J140" s="1">
        <f t="shared" ref="J140:L140" si="657">(G140-G$7)/(G$6-G$7)*2-1</f>
        <v>0.9227438873</v>
      </c>
      <c r="K140" s="1">
        <f t="shared" si="657"/>
        <v>1</v>
      </c>
      <c r="L140" s="1">
        <f t="shared" si="657"/>
        <v>1</v>
      </c>
      <c r="M140" s="1">
        <f t="shared" ref="M140:O140" si="658">1/(1+EXP(-J140))</f>
        <v>0.7156008616</v>
      </c>
      <c r="N140" s="1">
        <f t="shared" si="658"/>
        <v>0.7310585786</v>
      </c>
      <c r="O140" s="1">
        <f t="shared" si="658"/>
        <v>0.7310585786</v>
      </c>
      <c r="P140" s="1">
        <f t="shared" si="13"/>
        <v>89.89996406</v>
      </c>
      <c r="Q140" s="1">
        <f t="shared" si="14"/>
        <v>34.80957586</v>
      </c>
      <c r="R140" s="1">
        <f t="shared" ref="R140:T140" si="659">SUMPRODUCT($M140:$O140, INDEX($I$2:$K$4, R$10, 0))+ INDEX($L$2:$L$4, R$10,1)</f>
        <v>8.441553519</v>
      </c>
      <c r="S140" s="1">
        <f t="shared" si="659"/>
        <v>-2.808335574</v>
      </c>
      <c r="T140" s="1">
        <f t="shared" si="659"/>
        <v>3.58678503</v>
      </c>
      <c r="U140" s="1">
        <f t="shared" ref="U140:W140" si="660">1/(1+EXP(-R140))</f>
        <v>0.9997843317</v>
      </c>
      <c r="V140" s="1">
        <f t="shared" si="660"/>
        <v>0.05687539575</v>
      </c>
      <c r="W140" s="1">
        <f t="shared" si="660"/>
        <v>0.9730587274</v>
      </c>
      <c r="X140" s="1">
        <f t="shared" si="17"/>
        <v>87.00406546</v>
      </c>
      <c r="Y140" s="1">
        <f t="shared" si="18"/>
        <v>9.024409284</v>
      </c>
      <c r="Z140" s="3">
        <f t="shared" si="19"/>
        <v>84</v>
      </c>
      <c r="AA140" s="3">
        <f t="shared" si="20"/>
        <v>0</v>
      </c>
    </row>
    <row r="141" ht="15.75" customHeight="1">
      <c r="B141" s="1">
        <v>60.4</v>
      </c>
      <c r="C141" s="1">
        <v>-5.7</v>
      </c>
      <c r="D141" s="1">
        <v>-3.3</v>
      </c>
      <c r="E141" s="1">
        <v>5.0</v>
      </c>
      <c r="F141" s="1">
        <v>84.0</v>
      </c>
      <c r="G141" s="1">
        <f t="shared" ref="G141:I141" si="661">SUMPRODUCT($B141:$E141, INDEX($B$2:$E$4, G$10, 0))+ INDEX($F$2:$F$4,G$10,1)</f>
        <v>43.69520472</v>
      </c>
      <c r="H141" s="1">
        <f t="shared" si="661"/>
        <v>185.7625586</v>
      </c>
      <c r="I141" s="1">
        <f t="shared" si="661"/>
        <v>413.8269105</v>
      </c>
      <c r="J141" s="1">
        <f t="shared" ref="J141:L141" si="662">(G141-G$7)/(G$6-G$7)*2-1</f>
        <v>0.2474730047</v>
      </c>
      <c r="K141" s="1">
        <f t="shared" si="662"/>
        <v>0.5955669354</v>
      </c>
      <c r="L141" s="1">
        <f t="shared" si="662"/>
        <v>0.7959175995</v>
      </c>
      <c r="M141" s="1">
        <f t="shared" ref="M141:O141" si="663">1/(1+EXP(-J141))</f>
        <v>0.5615544238</v>
      </c>
      <c r="N141" s="1">
        <f t="shared" si="663"/>
        <v>0.6446414373</v>
      </c>
      <c r="O141" s="1">
        <f t="shared" si="663"/>
        <v>0.6891005395</v>
      </c>
      <c r="P141" s="1">
        <f t="shared" si="13"/>
        <v>83.07492392</v>
      </c>
      <c r="Q141" s="1">
        <f t="shared" si="14"/>
        <v>0.8557657519</v>
      </c>
      <c r="R141" s="1">
        <f t="shared" ref="R141:T141" si="664">SUMPRODUCT($M141:$O141, INDEX($I$2:$K$4, R$10, 0))+ INDEX($L$2:$L$4, R$10,1)</f>
        <v>7.878748837</v>
      </c>
      <c r="S141" s="1">
        <f t="shared" si="664"/>
        <v>-2.901668212</v>
      </c>
      <c r="T141" s="1">
        <f t="shared" si="664"/>
        <v>2.216341073</v>
      </c>
      <c r="U141" s="1">
        <f t="shared" ref="U141:W141" si="665">1/(1+EXP(-R141))</f>
        <v>0.9996214368</v>
      </c>
      <c r="V141" s="1">
        <f t="shared" si="665"/>
        <v>0.052071159</v>
      </c>
      <c r="W141" s="1">
        <f t="shared" si="665"/>
        <v>0.901707377</v>
      </c>
      <c r="X141" s="1">
        <f t="shared" si="17"/>
        <v>82.83974671</v>
      </c>
      <c r="Y141" s="1">
        <f t="shared" si="18"/>
        <v>1.3461877</v>
      </c>
      <c r="Z141" s="3">
        <f t="shared" si="19"/>
        <v>84</v>
      </c>
      <c r="AA141" s="3">
        <f t="shared" si="20"/>
        <v>0</v>
      </c>
    </row>
    <row r="142" ht="15.75" customHeight="1">
      <c r="B142" s="1">
        <v>41.3</v>
      </c>
      <c r="C142" s="1">
        <v>-6.0</v>
      </c>
      <c r="D142" s="1">
        <v>-2.7</v>
      </c>
      <c r="E142" s="1">
        <v>8.0</v>
      </c>
      <c r="F142" s="1">
        <v>84.0</v>
      </c>
      <c r="G142" s="1">
        <f t="shared" ref="G142:I142" si="666">SUMPRODUCT($B142:$E142, INDEX($B$2:$E$4, G$10, 0))+ INDEX($F$2:$F$4,G$10,1)</f>
        <v>39.07533174</v>
      </c>
      <c r="H142" s="1">
        <f t="shared" si="666"/>
        <v>141.288197</v>
      </c>
      <c r="I142" s="1">
        <f t="shared" si="666"/>
        <v>288.2026653</v>
      </c>
      <c r="J142" s="1">
        <f t="shared" ref="J142:L142" si="667">(G142-G$7)/(G$6-G$7)*2-1</f>
        <v>-0.001746840712</v>
      </c>
      <c r="K142" s="1">
        <f t="shared" si="667"/>
        <v>-0.1078937095</v>
      </c>
      <c r="L142" s="1">
        <f t="shared" si="667"/>
        <v>-0.1210812794</v>
      </c>
      <c r="M142" s="1">
        <f t="shared" ref="M142:O142" si="668">1/(1+EXP(-J142))</f>
        <v>0.4995632899</v>
      </c>
      <c r="N142" s="1">
        <f t="shared" si="668"/>
        <v>0.4730527088</v>
      </c>
      <c r="O142" s="1">
        <f t="shared" si="668"/>
        <v>0.469766608</v>
      </c>
      <c r="P142" s="1">
        <f t="shared" si="13"/>
        <v>65.72702804</v>
      </c>
      <c r="Q142" s="1">
        <f t="shared" si="14"/>
        <v>333.9015041</v>
      </c>
      <c r="R142" s="1">
        <f t="shared" ref="R142:T142" si="669">SUMPRODUCT($M142:$O142, INDEX($I$2:$K$4, R$10, 0))+ INDEX($L$2:$L$4, R$10,1)</f>
        <v>6.957916747</v>
      </c>
      <c r="S142" s="1">
        <f t="shared" si="669"/>
        <v>-3.050991544</v>
      </c>
      <c r="T142" s="1">
        <f t="shared" si="669"/>
        <v>0.0173684222</v>
      </c>
      <c r="U142" s="1">
        <f t="shared" ref="U142:W142" si="670">1/(1+EXP(-R142))</f>
        <v>0.9990498278</v>
      </c>
      <c r="V142" s="1">
        <f t="shared" si="670"/>
        <v>0.04517468501</v>
      </c>
      <c r="W142" s="1">
        <f t="shared" si="670"/>
        <v>0.5043419964</v>
      </c>
      <c r="X142" s="1">
        <f t="shared" si="17"/>
        <v>60.29674797</v>
      </c>
      <c r="Y142" s="1">
        <f t="shared" si="18"/>
        <v>561.8441569</v>
      </c>
      <c r="Z142" s="3">
        <f t="shared" si="19"/>
        <v>69</v>
      </c>
      <c r="AA142" s="3">
        <f t="shared" si="20"/>
        <v>1</v>
      </c>
    </row>
    <row r="143" ht="15.75" customHeight="1">
      <c r="B143" s="1">
        <v>50.9</v>
      </c>
      <c r="C143" s="1">
        <v>-3.5</v>
      </c>
      <c r="D143" s="1">
        <v>-0.6</v>
      </c>
      <c r="E143" s="1">
        <v>7.0</v>
      </c>
      <c r="F143" s="1">
        <v>84.0</v>
      </c>
      <c r="G143" s="1">
        <f t="shared" ref="G143:I143" si="671">SUMPRODUCT($B143:$E143, INDEX($B$2:$E$4, G$10, 0))+ INDEX($F$2:$F$4,G$10,1)</f>
        <v>45.69944325</v>
      </c>
      <c r="H143" s="1">
        <f t="shared" si="671"/>
        <v>173.0869688</v>
      </c>
      <c r="I143" s="1">
        <f t="shared" si="671"/>
        <v>385.8751329</v>
      </c>
      <c r="J143" s="1">
        <f t="shared" ref="J143:L143" si="672">(G143-G$7)/(G$6-G$7)*2-1</f>
        <v>0.3555919981</v>
      </c>
      <c r="K143" s="1">
        <f t="shared" si="672"/>
        <v>0.3950743763</v>
      </c>
      <c r="L143" s="1">
        <f t="shared" si="672"/>
        <v>0.5918825526</v>
      </c>
      <c r="M143" s="1">
        <f t="shared" ref="M143:O143" si="673">1/(1+EXP(-J143))</f>
        <v>0.5879729639</v>
      </c>
      <c r="N143" s="1">
        <f t="shared" si="673"/>
        <v>0.597503653</v>
      </c>
      <c r="O143" s="1">
        <f t="shared" si="673"/>
        <v>0.643796974</v>
      </c>
      <c r="P143" s="1">
        <f t="shared" si="13"/>
        <v>79.67400562</v>
      </c>
      <c r="Q143" s="1">
        <f t="shared" si="14"/>
        <v>18.71422734</v>
      </c>
      <c r="R143" s="1">
        <f t="shared" ref="R143:T143" si="674">SUMPRODUCT($M143:$O143, INDEX($I$2:$K$4, R$10, 0))+ INDEX($L$2:$L$4, R$10,1)</f>
        <v>7.742643641</v>
      </c>
      <c r="S143" s="1">
        <f t="shared" si="674"/>
        <v>-2.923073301</v>
      </c>
      <c r="T143" s="1">
        <f t="shared" si="674"/>
        <v>1.891780622</v>
      </c>
      <c r="U143" s="1">
        <f t="shared" ref="U143:W143" si="675">1/(1+EXP(-R143))</f>
        <v>0.9995662653</v>
      </c>
      <c r="V143" s="1">
        <f t="shared" si="675"/>
        <v>0.05102468262</v>
      </c>
      <c r="W143" s="1">
        <f t="shared" si="675"/>
        <v>0.8689584227</v>
      </c>
      <c r="X143" s="1">
        <f t="shared" si="17"/>
        <v>80.96624443</v>
      </c>
      <c r="Y143" s="1">
        <f t="shared" si="18"/>
        <v>9.203672867</v>
      </c>
      <c r="Z143" s="3">
        <f t="shared" si="19"/>
        <v>84</v>
      </c>
      <c r="AA143" s="3">
        <f t="shared" si="20"/>
        <v>0</v>
      </c>
    </row>
    <row r="144" ht="15.75" customHeight="1">
      <c r="B144" s="1">
        <v>60.4</v>
      </c>
      <c r="C144" s="1">
        <v>-6.4</v>
      </c>
      <c r="D144" s="1">
        <v>-2.4</v>
      </c>
      <c r="E144" s="1">
        <v>7.0</v>
      </c>
      <c r="F144" s="1">
        <v>84.0</v>
      </c>
      <c r="G144" s="1">
        <f t="shared" ref="G144:I144" si="676">SUMPRODUCT($B144:$E144, INDEX($B$2:$E$4, G$10, 0))+ INDEX($F$2:$F$4,G$10,1)</f>
        <v>51.52899817</v>
      </c>
      <c r="H144" s="1">
        <f t="shared" si="676"/>
        <v>201.4834017</v>
      </c>
      <c r="I144" s="1">
        <f t="shared" si="676"/>
        <v>435.6650441</v>
      </c>
      <c r="J144" s="1">
        <f t="shared" ref="J144:L144" si="677">(G144-G$7)/(G$6-G$7)*2-1</f>
        <v>0.6700683444</v>
      </c>
      <c r="K144" s="1">
        <f t="shared" si="677"/>
        <v>0.8442269283</v>
      </c>
      <c r="L144" s="1">
        <f t="shared" si="677"/>
        <v>0.9553258733</v>
      </c>
      <c r="M144" s="1">
        <f t="shared" ref="M144:O144" si="678">1/(1+EXP(-J144))</f>
        <v>0.6615184625</v>
      </c>
      <c r="N144" s="1">
        <f t="shared" si="678"/>
        <v>0.6993547084</v>
      </c>
      <c r="O144" s="1">
        <f t="shared" si="678"/>
        <v>0.7221849918</v>
      </c>
      <c r="P144" s="1">
        <f t="shared" si="13"/>
        <v>87.76847944</v>
      </c>
      <c r="Q144" s="1">
        <f t="shared" si="14"/>
        <v>14.20143729</v>
      </c>
      <c r="R144" s="1">
        <f t="shared" ref="R144:T144" si="679">SUMPRODUCT($M144:$O144, INDEX($I$2:$K$4, R$10, 0))+ INDEX($L$2:$L$4, R$10,1)</f>
        <v>8.253486469</v>
      </c>
      <c r="S144" s="1">
        <f t="shared" si="679"/>
        <v>-2.839563483</v>
      </c>
      <c r="T144" s="1">
        <f t="shared" si="679"/>
        <v>3.126707748</v>
      </c>
      <c r="U144" s="1">
        <f t="shared" ref="U144:W144" si="680">1/(1+EXP(-R144))</f>
        <v>0.9997397185</v>
      </c>
      <c r="V144" s="1">
        <f t="shared" si="680"/>
        <v>0.05522330807</v>
      </c>
      <c r="W144" s="1">
        <f t="shared" si="680"/>
        <v>0.9579810684</v>
      </c>
      <c r="X144" s="1">
        <f t="shared" si="17"/>
        <v>86.10328552</v>
      </c>
      <c r="Y144" s="1">
        <f t="shared" si="18"/>
        <v>4.423809971</v>
      </c>
      <c r="Z144" s="3">
        <f t="shared" si="19"/>
        <v>84</v>
      </c>
      <c r="AA144" s="3">
        <f t="shared" si="20"/>
        <v>0</v>
      </c>
    </row>
    <row r="145" ht="15.75" customHeight="1">
      <c r="B145" s="1">
        <v>46.1</v>
      </c>
      <c r="C145" s="1">
        <v>-6.3</v>
      </c>
      <c r="D145" s="1">
        <v>-2.5</v>
      </c>
      <c r="E145" s="1">
        <v>8.0</v>
      </c>
      <c r="F145" s="1">
        <v>84.0</v>
      </c>
      <c r="G145" s="1">
        <f t="shared" ref="G145:I145" si="681">SUMPRODUCT($B145:$E145, INDEX($B$2:$E$4, G$10, 0))+ INDEX($F$2:$F$4,G$10,1)</f>
        <v>43.53263256</v>
      </c>
      <c r="H145" s="1">
        <f t="shared" si="681"/>
        <v>159.2443511</v>
      </c>
      <c r="I145" s="1">
        <f t="shared" si="681"/>
        <v>328.7799729</v>
      </c>
      <c r="J145" s="1">
        <f t="shared" ref="J145:L145" si="682">(G145-G$7)/(G$6-G$7)*2-1</f>
        <v>0.2387030212</v>
      </c>
      <c r="K145" s="1">
        <f t="shared" si="682"/>
        <v>0.1761226825</v>
      </c>
      <c r="L145" s="1">
        <f t="shared" si="682"/>
        <v>0.1751142956</v>
      </c>
      <c r="M145" s="1">
        <f t="shared" ref="M145:O145" si="683">1/(1+EXP(-J145))</f>
        <v>0.5593940045</v>
      </c>
      <c r="N145" s="1">
        <f t="shared" si="683"/>
        <v>0.5439172062</v>
      </c>
      <c r="O145" s="1">
        <f t="shared" si="683"/>
        <v>0.5436670433</v>
      </c>
      <c r="P145" s="1">
        <f t="shared" si="13"/>
        <v>72.48420585</v>
      </c>
      <c r="Q145" s="1">
        <f t="shared" si="14"/>
        <v>132.6135148</v>
      </c>
      <c r="R145" s="1">
        <f t="shared" ref="R145:T145" si="684">SUMPRODUCT($M145:$O145, INDEX($I$2:$K$4, R$10, 0))+ INDEX($L$2:$L$4, R$10,1)</f>
        <v>7.370843229</v>
      </c>
      <c r="S145" s="1">
        <f t="shared" si="684"/>
        <v>-2.983458703</v>
      </c>
      <c r="T145" s="1">
        <f t="shared" si="684"/>
        <v>1.010272904</v>
      </c>
      <c r="U145" s="1">
        <f t="shared" ref="U145:W145" si="685">1/(1+EXP(-R145))</f>
        <v>0.9993710585</v>
      </c>
      <c r="V145" s="1">
        <f t="shared" si="685"/>
        <v>0.04817877291</v>
      </c>
      <c r="W145" s="1">
        <f t="shared" si="685"/>
        <v>0.7330735535</v>
      </c>
      <c r="X145" s="1">
        <f t="shared" si="17"/>
        <v>73.24153792</v>
      </c>
      <c r="Y145" s="1">
        <f t="shared" si="18"/>
        <v>115.7445062</v>
      </c>
      <c r="Z145" s="3">
        <f t="shared" si="19"/>
        <v>69</v>
      </c>
      <c r="AA145" s="3">
        <f t="shared" si="20"/>
        <v>1</v>
      </c>
    </row>
    <row r="146" ht="15.75" customHeight="1">
      <c r="B146" s="1">
        <v>55.6</v>
      </c>
      <c r="C146" s="1">
        <v>-7.9</v>
      </c>
      <c r="D146" s="1">
        <v>-4.6</v>
      </c>
      <c r="E146" s="1">
        <v>5.0</v>
      </c>
      <c r="F146" s="1">
        <v>84.0</v>
      </c>
      <c r="G146" s="1">
        <f t="shared" ref="G146:I146" si="686">SUMPRODUCT($B146:$E146, INDEX($B$2:$E$4, G$10, 0))+ INDEX($F$2:$F$4,G$10,1)</f>
        <v>41.30190246</v>
      </c>
      <c r="H146" s="1">
        <f t="shared" si="686"/>
        <v>173.1019532</v>
      </c>
      <c r="I146" s="1">
        <f t="shared" si="686"/>
        <v>364.6460221</v>
      </c>
      <c r="J146" s="1">
        <f t="shared" ref="J146:L146" si="687">(G146-G$7)/(G$6-G$7)*2-1</f>
        <v>0.1183659012</v>
      </c>
      <c r="K146" s="1">
        <f t="shared" si="687"/>
        <v>0.3953113868</v>
      </c>
      <c r="L146" s="1">
        <f t="shared" si="687"/>
        <v>0.4369198643</v>
      </c>
      <c r="M146" s="1">
        <f t="shared" ref="M146:O146" si="688">1/(1+EXP(-J146))</f>
        <v>0.5295569744</v>
      </c>
      <c r="N146" s="1">
        <f t="shared" si="688"/>
        <v>0.597560651</v>
      </c>
      <c r="O146" s="1">
        <f t="shared" si="688"/>
        <v>0.6075248518</v>
      </c>
      <c r="P146" s="1">
        <f t="shared" si="13"/>
        <v>76.99837366</v>
      </c>
      <c r="Q146" s="1">
        <f t="shared" si="14"/>
        <v>49.02277139</v>
      </c>
      <c r="R146" s="1">
        <f t="shared" ref="R146:T146" si="689">SUMPRODUCT($M146:$O146, INDEX($I$2:$K$4, R$10, 0))+ INDEX($L$2:$L$4, R$10,1)</f>
        <v>7.551870152</v>
      </c>
      <c r="S146" s="1">
        <f t="shared" si="689"/>
        <v>-2.95487788</v>
      </c>
      <c r="T146" s="1">
        <f t="shared" si="689"/>
        <v>1.439271721</v>
      </c>
      <c r="U146" s="1">
        <f t="shared" ref="U146:W146" si="690">1/(1+EXP(-R146))</f>
        <v>0.9994751485</v>
      </c>
      <c r="V146" s="1">
        <f t="shared" si="690"/>
        <v>0.04950647502</v>
      </c>
      <c r="W146" s="1">
        <f t="shared" si="690"/>
        <v>0.808341848</v>
      </c>
      <c r="X146" s="1">
        <f t="shared" si="17"/>
        <v>77.51222718</v>
      </c>
      <c r="Y146" s="1">
        <f t="shared" si="18"/>
        <v>42.09119615</v>
      </c>
      <c r="Z146" s="3">
        <f t="shared" si="19"/>
        <v>84</v>
      </c>
      <c r="AA146" s="3">
        <f t="shared" si="20"/>
        <v>0</v>
      </c>
    </row>
    <row r="147" ht="15.75" customHeight="1">
      <c r="B147" s="1">
        <v>55.6</v>
      </c>
      <c r="C147" s="1">
        <v>-5.5</v>
      </c>
      <c r="D147" s="1">
        <v>-2.5</v>
      </c>
      <c r="E147" s="1">
        <v>7.0</v>
      </c>
      <c r="F147" s="1">
        <v>84.0</v>
      </c>
      <c r="G147" s="1">
        <f t="shared" ref="G147:I147" si="691">SUMPRODUCT($B147:$E147, INDEX($B$2:$E$4, G$10, 0))+ INDEX($F$2:$F$4,G$10,1)</f>
        <v>45.89646959</v>
      </c>
      <c r="H147" s="1">
        <f t="shared" si="691"/>
        <v>180.5863095</v>
      </c>
      <c r="I147" s="1">
        <f t="shared" si="691"/>
        <v>394.0168845</v>
      </c>
      <c r="J147" s="1">
        <f t="shared" ref="J147:L147" si="692">(G147-G$7)/(G$6-G$7)*2-1</f>
        <v>0.366220618</v>
      </c>
      <c r="K147" s="1">
        <f t="shared" si="692"/>
        <v>0.5136930775</v>
      </c>
      <c r="L147" s="1">
        <f t="shared" si="692"/>
        <v>0.6513135735</v>
      </c>
      <c r="M147" s="1">
        <f t="shared" ref="M147:O147" si="693">1/(1+EXP(-J147))</f>
        <v>0.5905454318</v>
      </c>
      <c r="N147" s="1">
        <f t="shared" si="693"/>
        <v>0.6256718182</v>
      </c>
      <c r="O147" s="1">
        <f t="shared" si="693"/>
        <v>0.6573064124</v>
      </c>
      <c r="P147" s="1">
        <f t="shared" si="13"/>
        <v>81.24742792</v>
      </c>
      <c r="Q147" s="1">
        <f t="shared" si="14"/>
        <v>7.576653079</v>
      </c>
      <c r="R147" s="1">
        <f t="shared" ref="R147:T147" si="694">SUMPRODUCT($M147:$O147, INDEX($I$2:$K$4, R$10, 0))+ INDEX($L$2:$L$4, R$10,1)</f>
        <v>7.831842287</v>
      </c>
      <c r="S147" s="1">
        <f t="shared" si="694"/>
        <v>-2.908692069</v>
      </c>
      <c r="T147" s="1">
        <f t="shared" si="694"/>
        <v>2.109221038</v>
      </c>
      <c r="U147" s="1">
        <f t="shared" ref="U147:W147" si="695">1/(1+EXP(-R147))</f>
        <v>0.9996032638</v>
      </c>
      <c r="V147" s="1">
        <f t="shared" si="695"/>
        <v>0.0517255519</v>
      </c>
      <c r="W147" s="1">
        <f t="shared" si="695"/>
        <v>0.8917961896</v>
      </c>
      <c r="X147" s="1">
        <f t="shared" si="17"/>
        <v>82.27178899</v>
      </c>
      <c r="Y147" s="1">
        <f t="shared" si="18"/>
        <v>2.986713312</v>
      </c>
      <c r="Z147" s="3">
        <f t="shared" si="19"/>
        <v>84</v>
      </c>
      <c r="AA147" s="3">
        <f t="shared" si="20"/>
        <v>0</v>
      </c>
    </row>
    <row r="148" ht="15.75" customHeight="1">
      <c r="B148" s="1">
        <v>55.6</v>
      </c>
      <c r="C148" s="1">
        <v>-7.4</v>
      </c>
      <c r="D148" s="1">
        <v>-2.6</v>
      </c>
      <c r="E148" s="1">
        <v>7.0</v>
      </c>
      <c r="F148" s="1">
        <v>84.0</v>
      </c>
      <c r="G148" s="1">
        <f t="shared" ref="G148:I148" si="696">SUMPRODUCT($B148:$E148, INDEX($B$2:$E$4, G$10, 0))+ INDEX($F$2:$F$4,G$10,1)</f>
        <v>50.51622391</v>
      </c>
      <c r="H148" s="1">
        <f t="shared" si="696"/>
        <v>192.1055899</v>
      </c>
      <c r="I148" s="1">
        <f t="shared" si="696"/>
        <v>401.5506243</v>
      </c>
      <c r="J148" s="1">
        <f t="shared" ref="J148:L148" si="697">(G148-G$7)/(G$6-G$7)*2-1</f>
        <v>0.615434062</v>
      </c>
      <c r="K148" s="1">
        <f t="shared" si="697"/>
        <v>0.69589604</v>
      </c>
      <c r="L148" s="1">
        <f t="shared" si="697"/>
        <v>0.7063063891</v>
      </c>
      <c r="M148" s="1">
        <f t="shared" ref="M148:O148" si="698">1/(1+EXP(-J148))</f>
        <v>0.6491793863</v>
      </c>
      <c r="N148" s="1">
        <f t="shared" si="698"/>
        <v>0.6672772442</v>
      </c>
      <c r="O148" s="1">
        <f t="shared" si="698"/>
        <v>0.6695844937</v>
      </c>
      <c r="P148" s="1">
        <f t="shared" si="13"/>
        <v>83.91116302</v>
      </c>
      <c r="Q148" s="1">
        <f t="shared" si="14"/>
        <v>0.007892008783</v>
      </c>
      <c r="R148" s="1">
        <f t="shared" ref="R148:T148" si="699">SUMPRODUCT($M148:$O148, INDEX($I$2:$K$4, R$10, 0))+ INDEX($L$2:$L$4, R$10,1)</f>
        <v>8.055646019</v>
      </c>
      <c r="S148" s="1">
        <f t="shared" si="699"/>
        <v>-2.871638106</v>
      </c>
      <c r="T148" s="1">
        <f t="shared" si="699"/>
        <v>2.656825115</v>
      </c>
      <c r="U148" s="1">
        <f t="shared" ref="U148:W148" si="700">1/(1+EXP(-R148))</f>
        <v>0.9996827953</v>
      </c>
      <c r="V148" s="1">
        <f t="shared" si="700"/>
        <v>0.05357353366</v>
      </c>
      <c r="W148" s="1">
        <f t="shared" si="700"/>
        <v>0.9344304088</v>
      </c>
      <c r="X148" s="1">
        <f t="shared" si="17"/>
        <v>84.72666233</v>
      </c>
      <c r="Y148" s="1">
        <f t="shared" si="18"/>
        <v>0.5280381476</v>
      </c>
      <c r="Z148" s="3">
        <f t="shared" si="19"/>
        <v>84</v>
      </c>
      <c r="AA148" s="3">
        <f t="shared" si="20"/>
        <v>0</v>
      </c>
    </row>
    <row r="149" ht="15.75" customHeight="1">
      <c r="B149" s="1">
        <v>46.1</v>
      </c>
      <c r="C149" s="1">
        <v>-6.3</v>
      </c>
      <c r="D149" s="1">
        <v>-2.6</v>
      </c>
      <c r="E149" s="1">
        <v>7.0</v>
      </c>
      <c r="F149" s="1">
        <v>84.0</v>
      </c>
      <c r="G149" s="1">
        <f t="shared" ref="G149:I149" si="701">SUMPRODUCT($B149:$E149, INDEX($B$2:$E$4, G$10, 0))+ INDEX($F$2:$F$4,G$10,1)</f>
        <v>41.9940464</v>
      </c>
      <c r="H149" s="1">
        <f t="shared" si="701"/>
        <v>157.2575215</v>
      </c>
      <c r="I149" s="1">
        <f t="shared" si="701"/>
        <v>326.2929814</v>
      </c>
      <c r="J149" s="1">
        <f t="shared" ref="J149:L149" si="702">(G149-G$7)/(G$6-G$7)*2-1</f>
        <v>0.1557037257</v>
      </c>
      <c r="K149" s="1">
        <f t="shared" si="702"/>
        <v>0.1446965678</v>
      </c>
      <c r="L149" s="1">
        <f t="shared" si="702"/>
        <v>0.1569604085</v>
      </c>
      <c r="M149" s="1">
        <f t="shared" ref="M149:O149" si="703">1/(1+EXP(-J149))</f>
        <v>0.5388474794</v>
      </c>
      <c r="N149" s="1">
        <f t="shared" si="703"/>
        <v>0.5361111587</v>
      </c>
      <c r="O149" s="1">
        <f t="shared" si="703"/>
        <v>0.5391597383</v>
      </c>
      <c r="P149" s="1">
        <f t="shared" si="13"/>
        <v>71.74089714</v>
      </c>
      <c r="Q149" s="1">
        <f t="shared" si="14"/>
        <v>150.2856029</v>
      </c>
      <c r="R149" s="1">
        <f t="shared" ref="R149:T149" si="704">SUMPRODUCT($M149:$O149, INDEX($I$2:$K$4, R$10, 0))+ INDEX($L$2:$L$4, R$10,1)</f>
        <v>7.305436125</v>
      </c>
      <c r="S149" s="1">
        <f t="shared" si="704"/>
        <v>-2.994356212</v>
      </c>
      <c r="T149" s="1">
        <f t="shared" si="704"/>
        <v>0.8512638734</v>
      </c>
      <c r="U149" s="1">
        <f t="shared" ref="U149:W149" si="705">1/(1+EXP(-R149))</f>
        <v>0.9993285747</v>
      </c>
      <c r="V149" s="1">
        <f t="shared" si="705"/>
        <v>0.04768149292</v>
      </c>
      <c r="W149" s="1">
        <f t="shared" si="705"/>
        <v>0.7008322015</v>
      </c>
      <c r="X149" s="1">
        <f t="shared" si="17"/>
        <v>71.41452486</v>
      </c>
      <c r="Y149" s="1">
        <f t="shared" si="18"/>
        <v>158.3941846</v>
      </c>
      <c r="Z149" s="3">
        <f t="shared" si="19"/>
        <v>69</v>
      </c>
      <c r="AA149" s="3">
        <f t="shared" si="20"/>
        <v>1</v>
      </c>
    </row>
    <row r="150" ht="15.75" customHeight="1">
      <c r="B150" s="1">
        <v>55.6</v>
      </c>
      <c r="C150" s="1">
        <v>-6.5</v>
      </c>
      <c r="D150" s="1">
        <v>-2.5</v>
      </c>
      <c r="E150" s="1">
        <v>8.0</v>
      </c>
      <c r="F150" s="1">
        <v>84.0</v>
      </c>
      <c r="G150" s="1">
        <f t="shared" ref="G150:I150" si="706">SUMPRODUCT($B150:$E150, INDEX($B$2:$E$4, G$10, 0))+ INDEX($F$2:$F$4,G$10,1)</f>
        <v>49.67013783</v>
      </c>
      <c r="H150" s="1">
        <f t="shared" si="706"/>
        <v>188.1535671</v>
      </c>
      <c r="I150" s="1">
        <f t="shared" si="706"/>
        <v>399.5633089</v>
      </c>
      <c r="J150" s="1">
        <f t="shared" ref="J150:L150" si="707">(G150-G$7)/(G$6-G$7)*2-1</f>
        <v>0.5697918025</v>
      </c>
      <c r="K150" s="1">
        <f t="shared" si="707"/>
        <v>0.6333860367</v>
      </c>
      <c r="L150" s="1">
        <f t="shared" si="707"/>
        <v>0.6917999055</v>
      </c>
      <c r="M150" s="1">
        <f t="shared" ref="M150:O150" si="708">1/(1+EXP(-J150))</f>
        <v>0.6387151333</v>
      </c>
      <c r="N150" s="1">
        <f t="shared" si="708"/>
        <v>0.6532568388</v>
      </c>
      <c r="O150" s="1">
        <f t="shared" si="708"/>
        <v>0.666367205</v>
      </c>
      <c r="P150" s="1">
        <f t="shared" si="13"/>
        <v>83.1868191</v>
      </c>
      <c r="Q150" s="1">
        <f t="shared" si="14"/>
        <v>0.6612631788</v>
      </c>
      <c r="R150" s="1">
        <f t="shared" ref="R150:T150" si="709">SUMPRODUCT($M150:$O150, INDEX($I$2:$K$4, R$10, 0))+ INDEX($L$2:$L$4, R$10,1)</f>
        <v>8.000469406</v>
      </c>
      <c r="S150" s="1">
        <f t="shared" si="709"/>
        <v>-2.880696029</v>
      </c>
      <c r="T150" s="1">
        <f t="shared" si="709"/>
        <v>2.521244964</v>
      </c>
      <c r="U150" s="1">
        <f t="shared" ref="U150:W150" si="710">1/(1+EXP(-R150))</f>
        <v>0.9996648072</v>
      </c>
      <c r="V150" s="1">
        <f t="shared" si="710"/>
        <v>0.05311611888</v>
      </c>
      <c r="W150" s="1">
        <f t="shared" si="710"/>
        <v>0.9256178154</v>
      </c>
      <c r="X150" s="1">
        <f t="shared" si="17"/>
        <v>84.21676633</v>
      </c>
      <c r="Y150" s="1">
        <f t="shared" si="18"/>
        <v>0.04698764376</v>
      </c>
      <c r="Z150" s="3">
        <f t="shared" si="19"/>
        <v>84</v>
      </c>
      <c r="AA150" s="3">
        <f t="shared" si="20"/>
        <v>0</v>
      </c>
    </row>
    <row r="151" ht="15.75" customHeight="1">
      <c r="B151" s="1">
        <v>50.9</v>
      </c>
      <c r="C151" s="1">
        <v>-7.3</v>
      </c>
      <c r="D151" s="1">
        <v>-2.5</v>
      </c>
      <c r="E151" s="1">
        <v>8.0</v>
      </c>
      <c r="F151" s="1">
        <v>84.0</v>
      </c>
      <c r="G151" s="1">
        <f t="shared" ref="G151:I151" si="711">SUMPRODUCT($B151:$E151, INDEX($B$2:$E$4, G$10, 0))+ INDEX($F$2:$F$4,G$10,1)</f>
        <v>49.01557099</v>
      </c>
      <c r="H151" s="1">
        <f t="shared" si="711"/>
        <v>179.7830192</v>
      </c>
      <c r="I151" s="1">
        <f t="shared" si="711"/>
        <v>369.0132585</v>
      </c>
      <c r="J151" s="1">
        <f t="shared" ref="J151:L151" si="712">(G151-G$7)/(G$6-G$7)*2-1</f>
        <v>0.5344810815</v>
      </c>
      <c r="K151" s="1">
        <f t="shared" si="712"/>
        <v>0.50098726</v>
      </c>
      <c r="L151" s="1">
        <f t="shared" si="712"/>
        <v>0.4687986698</v>
      </c>
      <c r="M151" s="1">
        <f t="shared" ref="M151:O151" si="713">1/(1+EXP(-J151))</f>
        <v>0.6305276453</v>
      </c>
      <c r="N151" s="1">
        <f t="shared" si="713"/>
        <v>0.6226913129</v>
      </c>
      <c r="O151" s="1">
        <f t="shared" si="713"/>
        <v>0.6150993783</v>
      </c>
      <c r="P151" s="1">
        <f t="shared" si="13"/>
        <v>79.49973619</v>
      </c>
      <c r="Q151" s="1">
        <f t="shared" si="14"/>
        <v>20.25237439</v>
      </c>
      <c r="R151" s="1">
        <f t="shared" ref="R151:T151" si="714">SUMPRODUCT($M151:$O151, INDEX($I$2:$K$4, R$10, 0))+ INDEX($L$2:$L$4, R$10,1)</f>
        <v>7.816596371</v>
      </c>
      <c r="S151" s="1">
        <f t="shared" si="714"/>
        <v>-2.910447347</v>
      </c>
      <c r="T151" s="1">
        <f t="shared" si="714"/>
        <v>2.085173073</v>
      </c>
      <c r="U151" s="1">
        <f t="shared" ref="U151:W151" si="715">1/(1+EXP(-R151))</f>
        <v>0.9995971714</v>
      </c>
      <c r="V151" s="1">
        <f t="shared" si="715"/>
        <v>0.05163952322</v>
      </c>
      <c r="W151" s="1">
        <f t="shared" si="715"/>
        <v>0.8894537056</v>
      </c>
      <c r="X151" s="1">
        <f t="shared" si="17"/>
        <v>82.13738634</v>
      </c>
      <c r="Y151" s="1">
        <f t="shared" si="18"/>
        <v>3.469329647</v>
      </c>
      <c r="Z151" s="3">
        <f t="shared" si="19"/>
        <v>84</v>
      </c>
      <c r="AA151" s="3">
        <f t="shared" si="20"/>
        <v>0</v>
      </c>
    </row>
    <row r="152" ht="15.75" customHeight="1">
      <c r="B152" s="1">
        <v>60.4</v>
      </c>
      <c r="C152" s="1">
        <v>-5.7</v>
      </c>
      <c r="D152" s="1">
        <v>-3.8</v>
      </c>
      <c r="E152" s="1">
        <v>3.0</v>
      </c>
      <c r="F152" s="1">
        <v>84.0</v>
      </c>
      <c r="G152" s="1">
        <f t="shared" ref="G152:I152" si="716">SUMPRODUCT($B152:$E152, INDEX($B$2:$E$4, G$10, 0))+ INDEX($F$2:$F$4,G$10,1)</f>
        <v>39.37437124</v>
      </c>
      <c r="H152" s="1">
        <f t="shared" si="716"/>
        <v>178.7340095</v>
      </c>
      <c r="I152" s="1">
        <f t="shared" si="716"/>
        <v>403.1168701</v>
      </c>
      <c r="J152" s="1">
        <f t="shared" ref="J152:L152" si="717">(G152-G$7)/(G$6-G$7)*2-1</f>
        <v>0.01438489691</v>
      </c>
      <c r="K152" s="1">
        <f t="shared" si="717"/>
        <v>0.4843948468</v>
      </c>
      <c r="L152" s="1">
        <f t="shared" si="717"/>
        <v>0.7177392586</v>
      </c>
      <c r="M152" s="1">
        <f t="shared" ref="M152:O152" si="718">1/(1+EXP(-J152))</f>
        <v>0.5035961622</v>
      </c>
      <c r="N152" s="1">
        <f t="shared" si="718"/>
        <v>0.6187851154</v>
      </c>
      <c r="O152" s="1">
        <f t="shared" si="718"/>
        <v>0.6721089923</v>
      </c>
      <c r="P152" s="1">
        <f t="shared" si="13"/>
        <v>80.64163676</v>
      </c>
      <c r="Q152" s="1">
        <f t="shared" si="14"/>
        <v>11.27860367</v>
      </c>
      <c r="R152" s="1">
        <f t="shared" ref="R152:T152" si="719">SUMPRODUCT($M152:$O152, INDEX($I$2:$K$4, R$10, 0))+ INDEX($L$2:$L$4, R$10,1)</f>
        <v>7.677698244</v>
      </c>
      <c r="S152" s="1">
        <f t="shared" si="719"/>
        <v>-2.935070728</v>
      </c>
      <c r="T152" s="1">
        <f t="shared" si="719"/>
        <v>1.728266563</v>
      </c>
      <c r="U152" s="1">
        <f t="shared" ref="U152:W152" si="720">1/(1+EXP(-R152))</f>
        <v>0.9995371748</v>
      </c>
      <c r="V152" s="1">
        <f t="shared" si="720"/>
        <v>0.05044687257</v>
      </c>
      <c r="W152" s="1">
        <f t="shared" si="720"/>
        <v>0.8491905604</v>
      </c>
      <c r="X152" s="1">
        <f t="shared" si="17"/>
        <v>79.83717235</v>
      </c>
      <c r="Y152" s="1">
        <f t="shared" si="18"/>
        <v>17.32913403</v>
      </c>
      <c r="Z152" s="3">
        <f t="shared" si="19"/>
        <v>84</v>
      </c>
      <c r="AA152" s="3">
        <f t="shared" si="20"/>
        <v>0</v>
      </c>
    </row>
    <row r="153" ht="15.75" customHeight="1">
      <c r="B153" s="1">
        <v>55.6</v>
      </c>
      <c r="C153" s="1">
        <v>-7.4</v>
      </c>
      <c r="D153" s="1">
        <v>-2.5</v>
      </c>
      <c r="E153" s="1">
        <v>7.0</v>
      </c>
      <c r="F153" s="1">
        <v>84.0</v>
      </c>
      <c r="G153" s="1">
        <f t="shared" ref="G153:I153" si="721">SUMPRODUCT($B153:$E153, INDEX($B$2:$E$4, G$10, 0))+ INDEX($F$2:$F$4,G$10,1)</f>
        <v>50.93077763</v>
      </c>
      <c r="H153" s="1">
        <f t="shared" si="721"/>
        <v>193.1238866</v>
      </c>
      <c r="I153" s="1">
        <f t="shared" si="721"/>
        <v>403.4626435</v>
      </c>
      <c r="J153" s="1">
        <f t="shared" ref="J153:L153" si="722">(G153-G$7)/(G$6-G$7)*2-1</f>
        <v>0.6377972343</v>
      </c>
      <c r="K153" s="1">
        <f t="shared" si="722"/>
        <v>0.7120026598</v>
      </c>
      <c r="L153" s="1">
        <f t="shared" si="722"/>
        <v>0.7202632447</v>
      </c>
      <c r="M153" s="1">
        <f t="shared" ref="M153:O153" si="723">1/(1+EXP(-J153))</f>
        <v>0.6542553528</v>
      </c>
      <c r="N153" s="1">
        <f t="shared" si="723"/>
        <v>0.6708435233</v>
      </c>
      <c r="O153" s="1">
        <f t="shared" si="723"/>
        <v>0.6726649827</v>
      </c>
      <c r="P153" s="1">
        <f t="shared" si="13"/>
        <v>84.24580744</v>
      </c>
      <c r="Q153" s="1">
        <f t="shared" si="14"/>
        <v>0.06042129897</v>
      </c>
      <c r="R153" s="1">
        <f t="shared" ref="R153:T153" si="724">SUMPRODUCT($M153:$O153, INDEX($I$2:$K$4, R$10, 0))+ INDEX($L$2:$L$4, R$10,1)</f>
        <v>8.079163413</v>
      </c>
      <c r="S153" s="1">
        <f t="shared" si="724"/>
        <v>-2.8677618</v>
      </c>
      <c r="T153" s="1">
        <f t="shared" si="724"/>
        <v>2.71365697</v>
      </c>
      <c r="U153" s="1">
        <f t="shared" ref="U153:W153" si="725">1/(1+EXP(-R153))</f>
        <v>0.9996901658</v>
      </c>
      <c r="V153" s="1">
        <f t="shared" si="725"/>
        <v>0.05377041608</v>
      </c>
      <c r="W153" s="1">
        <f t="shared" si="725"/>
        <v>0.9378277169</v>
      </c>
      <c r="X153" s="1">
        <f t="shared" si="17"/>
        <v>84.92390274</v>
      </c>
      <c r="Y153" s="1">
        <f t="shared" si="18"/>
        <v>0.8535962813</v>
      </c>
      <c r="Z153" s="3">
        <f t="shared" si="19"/>
        <v>84</v>
      </c>
      <c r="AA153" s="3">
        <f t="shared" si="20"/>
        <v>0</v>
      </c>
    </row>
    <row r="154" ht="15.75" customHeight="1">
      <c r="B154" s="1">
        <v>55.6</v>
      </c>
      <c r="C154" s="1">
        <v>-6.6</v>
      </c>
      <c r="D154" s="1">
        <v>-4.5</v>
      </c>
      <c r="E154" s="1">
        <v>5.0</v>
      </c>
      <c r="F154" s="1">
        <v>84.0</v>
      </c>
      <c r="G154" s="1">
        <f t="shared" ref="G154:I154" si="726">SUMPRODUCT($B154:$E154, INDEX($B$2:$E$4, G$10, 0))+ INDEX($F$2:$F$4,G$10,1)</f>
        <v>38.27192963</v>
      </c>
      <c r="H154" s="1">
        <f t="shared" si="726"/>
        <v>165.5419076</v>
      </c>
      <c r="I154" s="1">
        <f t="shared" si="726"/>
        <v>360.0951536</v>
      </c>
      <c r="J154" s="1">
        <f t="shared" ref="J154:L154" si="727">(G154-G$7)/(G$6-G$7)*2-1</f>
        <v>-0.04508650613</v>
      </c>
      <c r="K154" s="1">
        <f t="shared" si="727"/>
        <v>0.2757325028</v>
      </c>
      <c r="L154" s="1">
        <f t="shared" si="727"/>
        <v>0.4037006291</v>
      </c>
      <c r="M154" s="1">
        <f t="shared" ref="M154:O154" si="728">1/(1+EXP(-J154))</f>
        <v>0.4887302825</v>
      </c>
      <c r="N154" s="1">
        <f t="shared" si="728"/>
        <v>0.5684996811</v>
      </c>
      <c r="O154" s="1">
        <f t="shared" si="728"/>
        <v>0.5995764504</v>
      </c>
      <c r="P154" s="1">
        <f t="shared" si="13"/>
        <v>75.17221327</v>
      </c>
      <c r="Q154" s="1">
        <f t="shared" si="14"/>
        <v>77.92981855</v>
      </c>
      <c r="R154" s="1">
        <f t="shared" ref="R154:T154" si="729">SUMPRODUCT($M154:$O154, INDEX($I$2:$K$4, R$10, 0))+ INDEX($L$2:$L$4, R$10,1)</f>
        <v>7.397109658</v>
      </c>
      <c r="S154" s="1">
        <f t="shared" si="729"/>
        <v>-2.980505059</v>
      </c>
      <c r="T154" s="1">
        <f t="shared" si="729"/>
        <v>1.060379968</v>
      </c>
      <c r="U154" s="1">
        <f t="shared" ref="U154:W154" si="730">1/(1+EXP(-R154))</f>
        <v>0.9993873535</v>
      </c>
      <c r="V154" s="1">
        <f t="shared" si="730"/>
        <v>0.04831440077</v>
      </c>
      <c r="W154" s="1">
        <f t="shared" si="730"/>
        <v>0.742763151</v>
      </c>
      <c r="X154" s="1">
        <f t="shared" si="17"/>
        <v>73.79021988</v>
      </c>
      <c r="Y154" s="1">
        <f t="shared" si="18"/>
        <v>104.23961</v>
      </c>
      <c r="Z154" s="3">
        <f t="shared" si="19"/>
        <v>84</v>
      </c>
      <c r="AA154" s="3">
        <f t="shared" si="20"/>
        <v>0</v>
      </c>
    </row>
    <row r="155" ht="15.75" customHeight="1">
      <c r="B155" s="1">
        <v>50.9</v>
      </c>
      <c r="C155" s="1">
        <v>-7.4</v>
      </c>
      <c r="D155" s="1">
        <v>-3.9</v>
      </c>
      <c r="E155" s="1">
        <v>5.0</v>
      </c>
      <c r="F155" s="1">
        <v>84.0</v>
      </c>
      <c r="G155" s="1">
        <f t="shared" ref="G155:I155" si="731">SUMPRODUCT($B155:$E155, INDEX($B$2:$E$4, G$10, 0))+ INDEX($F$2:$F$4,G$10,1)</f>
        <v>40.10468514</v>
      </c>
      <c r="H155" s="1">
        <f t="shared" si="731"/>
        <v>163.2811396</v>
      </c>
      <c r="I155" s="1">
        <f t="shared" si="731"/>
        <v>341.0172184</v>
      </c>
      <c r="J155" s="1">
        <f t="shared" ref="J155:L155" si="732">(G155-G$7)/(G$6-G$7)*2-1</f>
        <v>0.05378180636</v>
      </c>
      <c r="K155" s="1">
        <f t="shared" si="732"/>
        <v>0.2399734448</v>
      </c>
      <c r="L155" s="1">
        <f t="shared" si="732"/>
        <v>0.264440527</v>
      </c>
      <c r="M155" s="1">
        <f t="shared" ref="M155:O155" si="733">1/(1+EXP(-J155))</f>
        <v>0.5134422116</v>
      </c>
      <c r="N155" s="1">
        <f t="shared" si="733"/>
        <v>0.5597071051</v>
      </c>
      <c r="O155" s="1">
        <f t="shared" si="733"/>
        <v>0.5657275567</v>
      </c>
      <c r="P155" s="1">
        <f t="shared" si="13"/>
        <v>73.48165497</v>
      </c>
      <c r="Q155" s="1">
        <f t="shared" si="14"/>
        <v>110.6355822</v>
      </c>
      <c r="R155" s="1">
        <f t="shared" ref="R155:T155" si="734">SUMPRODUCT($M155:$O155, INDEX($I$2:$K$4, R$10, 0))+ INDEX($L$2:$L$4, R$10,1)</f>
        <v>7.357680661</v>
      </c>
      <c r="S155" s="1">
        <f t="shared" si="734"/>
        <v>-2.986417692</v>
      </c>
      <c r="T155" s="1">
        <f t="shared" si="734"/>
        <v>0.9738296893</v>
      </c>
      <c r="U155" s="1">
        <f t="shared" ref="U155:W155" si="735">1/(1+EXP(-R155))</f>
        <v>0.9993627306</v>
      </c>
      <c r="V155" s="1">
        <f t="shared" si="735"/>
        <v>0.04804326208</v>
      </c>
      <c r="W155" s="1">
        <f t="shared" si="735"/>
        <v>0.7258821776</v>
      </c>
      <c r="X155" s="1">
        <f t="shared" si="17"/>
        <v>72.83324561</v>
      </c>
      <c r="Y155" s="1">
        <f t="shared" si="18"/>
        <v>124.6964036</v>
      </c>
      <c r="Z155" s="3">
        <f t="shared" si="19"/>
        <v>69</v>
      </c>
      <c r="AA155" s="3">
        <f t="shared" si="20"/>
        <v>1</v>
      </c>
    </row>
    <row r="156" ht="15.75" customHeight="1">
      <c r="B156" s="1">
        <v>55.6</v>
      </c>
      <c r="C156" s="1">
        <v>-6.3</v>
      </c>
      <c r="D156" s="1">
        <v>-2.3</v>
      </c>
      <c r="E156" s="1">
        <v>7.0</v>
      </c>
      <c r="F156" s="1">
        <v>84.0</v>
      </c>
      <c r="G156" s="1">
        <f t="shared" ref="G156:I156" si="736">SUMPRODUCT($B156:$E156, INDEX($B$2:$E$4, G$10, 0))+ INDEX($F$2:$F$4,G$10,1)</f>
        <v>48.84528569</v>
      </c>
      <c r="H156" s="1">
        <f t="shared" si="736"/>
        <v>187.9018826</v>
      </c>
      <c r="I156" s="1">
        <f t="shared" si="736"/>
        <v>401.8180846</v>
      </c>
      <c r="J156" s="1">
        <f t="shared" ref="J156:L156" si="737">(G156-G$7)/(G$6-G$7)*2-1</f>
        <v>0.5252950114</v>
      </c>
      <c r="K156" s="1">
        <f t="shared" si="737"/>
        <v>0.6294050886</v>
      </c>
      <c r="L156" s="1">
        <f t="shared" si="737"/>
        <v>0.7082587252</v>
      </c>
      <c r="M156" s="1">
        <f t="shared" ref="M156:O156" si="738">1/(1+EXP(-J156))</f>
        <v>0.6283850812</v>
      </c>
      <c r="N156" s="1">
        <f t="shared" si="738"/>
        <v>0.6523545556</v>
      </c>
      <c r="O156" s="1">
        <f t="shared" si="738"/>
        <v>0.6700162876</v>
      </c>
      <c r="P156" s="1">
        <f t="shared" si="13"/>
        <v>83.21082973</v>
      </c>
      <c r="Q156" s="1">
        <f t="shared" si="14"/>
        <v>0.6227897083</v>
      </c>
      <c r="R156" s="1">
        <f t="shared" ref="R156:T156" si="739">SUMPRODUCT($M156:$O156, INDEX($I$2:$K$4, R$10, 0))+ INDEX($L$2:$L$4, R$10,1)</f>
        <v>7.985936962</v>
      </c>
      <c r="S156" s="1">
        <f t="shared" si="739"/>
        <v>-2.883219727</v>
      </c>
      <c r="T156" s="1">
        <f t="shared" si="739"/>
        <v>2.484563119</v>
      </c>
      <c r="U156" s="1">
        <f t="shared" ref="U156:W156" si="740">1/(1+EXP(-R156))</f>
        <v>0.9996599021</v>
      </c>
      <c r="V156" s="1">
        <f t="shared" si="740"/>
        <v>0.05298933306</v>
      </c>
      <c r="W156" s="1">
        <f t="shared" si="740"/>
        <v>0.9230525268</v>
      </c>
      <c r="X156" s="1">
        <f t="shared" si="17"/>
        <v>84.0685501</v>
      </c>
      <c r="Y156" s="1">
        <f t="shared" si="18"/>
        <v>0.004699116633</v>
      </c>
      <c r="Z156" s="3">
        <f t="shared" si="19"/>
        <v>84</v>
      </c>
      <c r="AA156" s="3">
        <f t="shared" si="20"/>
        <v>0</v>
      </c>
    </row>
    <row r="157" ht="15.75" customHeight="1">
      <c r="B157" s="1">
        <v>60.4</v>
      </c>
      <c r="C157" s="1">
        <v>-6.2</v>
      </c>
      <c r="D157" s="1">
        <v>-3.8</v>
      </c>
      <c r="E157" s="1">
        <v>6.0</v>
      </c>
      <c r="F157" s="1">
        <v>84.0</v>
      </c>
      <c r="G157" s="1">
        <f t="shared" ref="G157:I157" si="741">SUMPRODUCT($B157:$E157, INDEX($B$2:$E$4, G$10, 0))+ INDEX($F$2:$F$4,G$10,1)</f>
        <v>44.07128643</v>
      </c>
      <c r="H157" s="1">
        <f t="shared" si="741"/>
        <v>184.9389705</v>
      </c>
      <c r="I157" s="1">
        <f t="shared" si="741"/>
        <v>407.3275129</v>
      </c>
      <c r="J157" s="1">
        <f t="shared" ref="J157:L157" si="742">(G157-G$7)/(G$6-G$7)*2-1</f>
        <v>0.2677607975</v>
      </c>
      <c r="K157" s="1">
        <f t="shared" si="742"/>
        <v>0.5825400635</v>
      </c>
      <c r="L157" s="1">
        <f t="shared" si="742"/>
        <v>0.7484750032</v>
      </c>
      <c r="M157" s="1">
        <f t="shared" ref="M157:O157" si="743">1/(1+EXP(-J157))</f>
        <v>0.5665431016</v>
      </c>
      <c r="N157" s="1">
        <f t="shared" si="743"/>
        <v>0.6416516653</v>
      </c>
      <c r="O157" s="1">
        <f t="shared" si="743"/>
        <v>0.6788463192</v>
      </c>
      <c r="P157" s="1">
        <f t="shared" si="13"/>
        <v>82.51943047</v>
      </c>
      <c r="Q157" s="1">
        <f t="shared" si="14"/>
        <v>2.19208612</v>
      </c>
      <c r="R157" s="1">
        <f t="shared" ref="R157:T157" si="744">SUMPRODUCT($M157:$O157, INDEX($I$2:$K$4, R$10, 0))+ INDEX($L$2:$L$4, R$10,1)</f>
        <v>7.861233812</v>
      </c>
      <c r="S157" s="1">
        <f t="shared" si="744"/>
        <v>-2.904401226</v>
      </c>
      <c r="T157" s="1">
        <f t="shared" si="744"/>
        <v>2.176513424</v>
      </c>
      <c r="U157" s="1">
        <f t="shared" ref="U157:W157" si="745">1/(1+EXP(-R157))</f>
        <v>0.9996147504</v>
      </c>
      <c r="V157" s="1">
        <f t="shared" si="745"/>
        <v>0.05193642314</v>
      </c>
      <c r="W157" s="1">
        <f t="shared" si="745"/>
        <v>0.8981204927</v>
      </c>
      <c r="X157" s="1">
        <f t="shared" si="17"/>
        <v>82.63388661</v>
      </c>
      <c r="Y157" s="1">
        <f t="shared" si="18"/>
        <v>1.866265799</v>
      </c>
      <c r="Z157" s="3">
        <f t="shared" si="19"/>
        <v>84</v>
      </c>
      <c r="AA157" s="3">
        <f t="shared" si="20"/>
        <v>0</v>
      </c>
    </row>
    <row r="158" ht="15.75" customHeight="1">
      <c r="B158" s="1">
        <v>55.6</v>
      </c>
      <c r="C158" s="1">
        <v>-7.8</v>
      </c>
      <c r="D158" s="1">
        <v>-2.5</v>
      </c>
      <c r="E158" s="1">
        <v>7.0</v>
      </c>
      <c r="F158" s="1">
        <v>84.0</v>
      </c>
      <c r="G158" s="1">
        <f t="shared" ref="G158:I158" si="746">SUMPRODUCT($B158:$E158, INDEX($B$2:$E$4, G$10, 0))+ INDEX($F$2:$F$4,G$10,1)</f>
        <v>51.99063196</v>
      </c>
      <c r="H158" s="1">
        <f t="shared" si="746"/>
        <v>195.7633765</v>
      </c>
      <c r="I158" s="1">
        <f t="shared" si="746"/>
        <v>405.4512243</v>
      </c>
      <c r="J158" s="1">
        <f t="shared" ref="J158:L158" si="747">(G158-G$7)/(G$6-G$7)*2-1</f>
        <v>0.6949712588</v>
      </c>
      <c r="K158" s="1">
        <f t="shared" si="747"/>
        <v>0.7537520456</v>
      </c>
      <c r="L158" s="1">
        <f t="shared" si="747"/>
        <v>0.7347789649</v>
      </c>
      <c r="M158" s="1">
        <f t="shared" ref="M158:O158" si="748">1/(1+EXP(-J158))</f>
        <v>0.6670718941</v>
      </c>
      <c r="N158" s="1">
        <f t="shared" si="748"/>
        <v>0.6799957009</v>
      </c>
      <c r="O158" s="1">
        <f t="shared" si="748"/>
        <v>0.6758531062</v>
      </c>
      <c r="P158" s="1">
        <f t="shared" si="13"/>
        <v>84.8560459</v>
      </c>
      <c r="Q158" s="1">
        <f t="shared" si="14"/>
        <v>0.7328145806</v>
      </c>
      <c r="R158" s="1">
        <f t="shared" ref="R158:T158" si="749">SUMPRODUCT($M158:$O158, INDEX($I$2:$K$4, R$10, 0))+ INDEX($L$2:$L$4, R$10,1)</f>
        <v>8.129251605</v>
      </c>
      <c r="S158" s="1">
        <f t="shared" si="749"/>
        <v>-2.859473997</v>
      </c>
      <c r="T158" s="1">
        <f t="shared" si="749"/>
        <v>2.836044812</v>
      </c>
      <c r="U158" s="1">
        <f t="shared" ref="U158:W158" si="750">1/(1+EXP(-R158))</f>
        <v>0.9997052981</v>
      </c>
      <c r="V158" s="1">
        <f t="shared" si="750"/>
        <v>0.05419365534</v>
      </c>
      <c r="W158" s="1">
        <f t="shared" si="750"/>
        <v>0.9445928223</v>
      </c>
      <c r="X158" s="1">
        <f t="shared" si="17"/>
        <v>85.31768777</v>
      </c>
      <c r="Y158" s="1">
        <f t="shared" si="18"/>
        <v>1.736301056</v>
      </c>
      <c r="Z158" s="3">
        <f t="shared" si="19"/>
        <v>84</v>
      </c>
      <c r="AA158" s="3">
        <f t="shared" si="20"/>
        <v>0</v>
      </c>
    </row>
    <row r="159" ht="15.75" customHeight="1">
      <c r="B159" s="1">
        <v>60.4</v>
      </c>
      <c r="C159" s="1">
        <v>-6.2</v>
      </c>
      <c r="D159" s="1">
        <v>-4.2</v>
      </c>
      <c r="E159" s="1">
        <v>7.0</v>
      </c>
      <c r="F159" s="1">
        <v>84.0</v>
      </c>
      <c r="G159" s="1">
        <f t="shared" ref="G159:I159" si="751">SUMPRODUCT($B159:$E159, INDEX($B$2:$E$4, G$10, 0))+ INDEX($F$2:$F$4,G$10,1)</f>
        <v>43.53710396</v>
      </c>
      <c r="H159" s="1">
        <f t="shared" si="751"/>
        <v>181.8343167</v>
      </c>
      <c r="I159" s="1">
        <f t="shared" si="751"/>
        <v>400.2544084</v>
      </c>
      <c r="J159" s="1">
        <f t="shared" ref="J159:L159" si="752">(G159-G$7)/(G$6-G$7)*2-1</f>
        <v>0.2389442318</v>
      </c>
      <c r="K159" s="1">
        <f t="shared" si="752"/>
        <v>0.5334330793</v>
      </c>
      <c r="L159" s="1">
        <f t="shared" si="752"/>
        <v>0.6968446121</v>
      </c>
      <c r="M159" s="1">
        <f t="shared" ref="M159:O159" si="753">1/(1+EXP(-J159))</f>
        <v>0.5594534554</v>
      </c>
      <c r="N159" s="1">
        <f t="shared" si="753"/>
        <v>0.6302834666</v>
      </c>
      <c r="O159" s="1">
        <f t="shared" si="753"/>
        <v>0.6674878112</v>
      </c>
      <c r="P159" s="1">
        <f t="shared" si="13"/>
        <v>81.4951406</v>
      </c>
      <c r="Q159" s="1">
        <f t="shared" si="14"/>
        <v>6.274320622</v>
      </c>
      <c r="R159" s="1">
        <f t="shared" ref="R159:T159" si="754">SUMPRODUCT($M159:$O159, INDEX($I$2:$K$4, R$10, 0))+ INDEX($L$2:$L$4, R$10,1)</f>
        <v>7.800973176</v>
      </c>
      <c r="S159" s="1">
        <f t="shared" si="754"/>
        <v>-2.914225895</v>
      </c>
      <c r="T159" s="1">
        <f t="shared" si="754"/>
        <v>2.031624425</v>
      </c>
      <c r="U159" s="1">
        <f t="shared" ref="U159:W159" si="755">1/(1+EXP(-R159))</f>
        <v>0.9995908311</v>
      </c>
      <c r="V159" s="1">
        <f t="shared" si="755"/>
        <v>0.05145478999</v>
      </c>
      <c r="W159" s="1">
        <f t="shared" si="755"/>
        <v>0.88407766</v>
      </c>
      <c r="X159" s="1">
        <f t="shared" si="17"/>
        <v>81.82945385</v>
      </c>
      <c r="Y159" s="1">
        <f t="shared" si="18"/>
        <v>4.711270584</v>
      </c>
      <c r="Z159" s="3">
        <f t="shared" si="19"/>
        <v>84</v>
      </c>
      <c r="AA159" s="3">
        <f t="shared" si="20"/>
        <v>0</v>
      </c>
    </row>
    <row r="160" ht="15.75" customHeight="1">
      <c r="B160" s="1">
        <v>50.9</v>
      </c>
      <c r="C160" s="1">
        <v>-7.9</v>
      </c>
      <c r="D160" s="1">
        <v>-0.6</v>
      </c>
      <c r="E160" s="1">
        <v>7.0</v>
      </c>
      <c r="F160" s="1">
        <v>84.0</v>
      </c>
      <c r="G160" s="1">
        <f t="shared" ref="G160:I160" si="756">SUMPRODUCT($B160:$E160, INDEX($B$2:$E$4, G$10, 0))+ INDEX($F$2:$F$4,G$10,1)</f>
        <v>57.35784083</v>
      </c>
      <c r="H160" s="1">
        <f t="shared" si="756"/>
        <v>202.1213579</v>
      </c>
      <c r="I160" s="1">
        <f t="shared" si="756"/>
        <v>407.7495221</v>
      </c>
      <c r="J160" s="1">
        <f t="shared" ref="J160:L160" si="757">(G160-G$7)/(G$6-G$7)*2-1</f>
        <v>0.9845062675</v>
      </c>
      <c r="K160" s="1">
        <f t="shared" si="757"/>
        <v>0.8543176197</v>
      </c>
      <c r="L160" s="1">
        <f t="shared" si="757"/>
        <v>0.7515554754</v>
      </c>
      <c r="M160" s="1">
        <f t="shared" ref="M160:O160" si="758">1/(1+EXP(-J160))</f>
        <v>0.7280014427</v>
      </c>
      <c r="N160" s="1">
        <f t="shared" si="758"/>
        <v>0.7014720767</v>
      </c>
      <c r="O160" s="1">
        <f t="shared" si="758"/>
        <v>0.679517535</v>
      </c>
      <c r="P160" s="1">
        <f t="shared" si="13"/>
        <v>86.50535078</v>
      </c>
      <c r="Q160" s="1">
        <f t="shared" si="14"/>
        <v>6.276782519</v>
      </c>
      <c r="R160" s="1">
        <f t="shared" ref="R160:T160" si="759">SUMPRODUCT($M160:$O160, INDEX($I$2:$K$4, R$10, 0))+ INDEX($L$2:$L$4, R$10,1)</f>
        <v>8.299634182</v>
      </c>
      <c r="S160" s="1">
        <f t="shared" si="759"/>
        <v>-2.830959329</v>
      </c>
      <c r="T160" s="1">
        <f t="shared" si="759"/>
        <v>3.253041645</v>
      </c>
      <c r="U160" s="1">
        <f t="shared" ref="U160:W160" si="760">1/(1+EXP(-R160))</f>
        <v>0.999751454</v>
      </c>
      <c r="V160" s="1">
        <f t="shared" si="760"/>
        <v>0.0556739403</v>
      </c>
      <c r="W160" s="1">
        <f t="shared" si="760"/>
        <v>0.9627822562</v>
      </c>
      <c r="X160" s="1">
        <f t="shared" si="17"/>
        <v>86.38763961</v>
      </c>
      <c r="Y160" s="1">
        <f t="shared" si="18"/>
        <v>5.700822899</v>
      </c>
      <c r="Z160" s="3">
        <f t="shared" si="19"/>
        <v>84</v>
      </c>
      <c r="AA160" s="3">
        <f t="shared" si="20"/>
        <v>0</v>
      </c>
    </row>
    <row r="161" ht="15.75" customHeight="1">
      <c r="B161" s="1">
        <v>60.4</v>
      </c>
      <c r="C161" s="1">
        <v>-6.3</v>
      </c>
      <c r="D161" s="1">
        <v>-3.8</v>
      </c>
      <c r="E161" s="1">
        <v>5.0</v>
      </c>
      <c r="F161" s="1">
        <v>84.0</v>
      </c>
      <c r="G161" s="1">
        <f t="shared" ref="G161:I161" si="761">SUMPRODUCT($B161:$E161, INDEX($B$2:$E$4, G$10, 0))+ INDEX($F$2:$F$4,G$10,1)</f>
        <v>43.21221758</v>
      </c>
      <c r="H161" s="1">
        <f t="shared" si="761"/>
        <v>184.6303101</v>
      </c>
      <c r="I161" s="1">
        <f t="shared" si="761"/>
        <v>407.2496858</v>
      </c>
      <c r="J161" s="1">
        <f t="shared" ref="J161:L161" si="762">(G161-G$7)/(G$6-G$7)*2-1</f>
        <v>0.2214181803</v>
      </c>
      <c r="K161" s="1">
        <f t="shared" si="762"/>
        <v>0.5776579151</v>
      </c>
      <c r="L161" s="1">
        <f t="shared" si="762"/>
        <v>0.7479069018</v>
      </c>
      <c r="M161" s="1">
        <f t="shared" ref="M161:O161" si="763">1/(1+EXP(-J161))</f>
        <v>0.5551294973</v>
      </c>
      <c r="N161" s="1">
        <f t="shared" si="763"/>
        <v>0.6405283148</v>
      </c>
      <c r="O161" s="1">
        <f t="shared" si="763"/>
        <v>0.6787224526</v>
      </c>
      <c r="P161" s="1">
        <f t="shared" si="13"/>
        <v>82.32573788</v>
      </c>
      <c r="Q161" s="1">
        <f t="shared" si="14"/>
        <v>2.803153663</v>
      </c>
      <c r="R161" s="1">
        <f t="shared" ref="R161:T161" si="764">SUMPRODUCT($M161:$O161, INDEX($I$2:$K$4, R$10, 0))+ INDEX($L$2:$L$4, R$10,1)</f>
        <v>7.836248021</v>
      </c>
      <c r="S161" s="1">
        <f t="shared" si="764"/>
        <v>-2.908630182</v>
      </c>
      <c r="T161" s="1">
        <f t="shared" si="764"/>
        <v>2.115571882</v>
      </c>
      <c r="U161" s="1">
        <f t="shared" ref="U161:W161" si="765">1/(1+EXP(-R161))</f>
        <v>0.9996050072</v>
      </c>
      <c r="V161" s="1">
        <f t="shared" si="765"/>
        <v>0.05172858756</v>
      </c>
      <c r="W161" s="1">
        <f t="shared" si="765"/>
        <v>0.892407496</v>
      </c>
      <c r="X161" s="1">
        <f t="shared" si="17"/>
        <v>82.3062363</v>
      </c>
      <c r="Y161" s="1">
        <f t="shared" si="18"/>
        <v>2.868835487</v>
      </c>
      <c r="Z161" s="3">
        <f t="shared" si="19"/>
        <v>84</v>
      </c>
      <c r="AA161" s="3">
        <f t="shared" si="20"/>
        <v>0</v>
      </c>
    </row>
    <row r="162" ht="15.75" customHeight="1">
      <c r="B162" s="1">
        <v>55.6</v>
      </c>
      <c r="C162" s="1">
        <v>-4.8</v>
      </c>
      <c r="D162" s="1">
        <v>-2.5</v>
      </c>
      <c r="E162" s="1">
        <v>8.0</v>
      </c>
      <c r="F162" s="1">
        <v>84.0</v>
      </c>
      <c r="G162" s="1">
        <f t="shared" ref="G162:I162" si="766">SUMPRODUCT($B162:$E162, INDEX($B$2:$E$4, G$10, 0))+ INDEX($F$2:$F$4,G$10,1)</f>
        <v>45.16575695</v>
      </c>
      <c r="H162" s="1">
        <f t="shared" si="766"/>
        <v>176.935735</v>
      </c>
      <c r="I162" s="1">
        <f t="shared" si="766"/>
        <v>391.1118403</v>
      </c>
      <c r="J162" s="1">
        <f t="shared" ref="J162:L162" si="767">(G162-G$7)/(G$6-G$7)*2-1</f>
        <v>0.3268021984</v>
      </c>
      <c r="K162" s="1">
        <f t="shared" si="767"/>
        <v>0.4559511472</v>
      </c>
      <c r="L162" s="1">
        <f t="shared" si="767"/>
        <v>0.6301080945</v>
      </c>
      <c r="M162" s="1">
        <f t="shared" ref="M162:O162" si="768">1/(1+EXP(-J162))</f>
        <v>0.5809810996</v>
      </c>
      <c r="N162" s="1">
        <f t="shared" si="768"/>
        <v>0.6120532373</v>
      </c>
      <c r="O162" s="1">
        <f t="shared" si="768"/>
        <v>0.6525139719</v>
      </c>
      <c r="P162" s="1">
        <f t="shared" si="13"/>
        <v>80.46508239</v>
      </c>
      <c r="Q162" s="1">
        <f t="shared" si="14"/>
        <v>12.49564254</v>
      </c>
      <c r="R162" s="1">
        <f t="shared" ref="R162:T162" si="769">SUMPRODUCT($M162:$O162, INDEX($I$2:$K$4, R$10, 0))+ INDEX($L$2:$L$4, R$10,1)</f>
        <v>7.775947908</v>
      </c>
      <c r="S162" s="1">
        <f t="shared" si="769"/>
        <v>-2.917850895</v>
      </c>
      <c r="T162" s="1">
        <f t="shared" si="769"/>
        <v>1.972467955</v>
      </c>
      <c r="U162" s="1">
        <f t="shared" ref="U162:W162" si="770">1/(1+EXP(-R162))</f>
        <v>0.9995804666</v>
      </c>
      <c r="V162" s="1">
        <f t="shared" si="770"/>
        <v>0.05127815132</v>
      </c>
      <c r="W162" s="1">
        <f t="shared" si="770"/>
        <v>0.8778759489</v>
      </c>
      <c r="X162" s="1">
        <f t="shared" si="17"/>
        <v>81.47536559</v>
      </c>
      <c r="Y162" s="1">
        <f t="shared" si="18"/>
        <v>6.373778911</v>
      </c>
      <c r="Z162" s="3">
        <f t="shared" si="19"/>
        <v>84</v>
      </c>
      <c r="AA162" s="3">
        <f t="shared" si="20"/>
        <v>0</v>
      </c>
    </row>
    <row r="163" ht="15.75" customHeight="1">
      <c r="B163" s="1">
        <v>50.9</v>
      </c>
      <c r="C163" s="1">
        <v>-6.2</v>
      </c>
      <c r="D163" s="1">
        <v>-2.7</v>
      </c>
      <c r="E163" s="1">
        <v>7.0</v>
      </c>
      <c r="F163" s="1">
        <v>84.0</v>
      </c>
      <c r="G163" s="1">
        <f t="shared" ref="G163:I163" si="771">SUMPRODUCT($B163:$E163, INDEX($B$2:$E$4, G$10, 0))+ INDEX($F$2:$F$4,G$10,1)</f>
        <v>44.14783172</v>
      </c>
      <c r="H163" s="1">
        <f t="shared" si="771"/>
        <v>169.5192957</v>
      </c>
      <c r="I163" s="1">
        <f t="shared" si="771"/>
        <v>359.1456506</v>
      </c>
      <c r="J163" s="1">
        <f t="shared" ref="J163:L163" si="772">(G163-G$7)/(G$6-G$7)*2-1</f>
        <v>0.2718900464</v>
      </c>
      <c r="K163" s="1">
        <f t="shared" si="772"/>
        <v>0.3386437147</v>
      </c>
      <c r="L163" s="1">
        <f t="shared" si="772"/>
        <v>0.3967696965</v>
      </c>
      <c r="M163" s="1">
        <f t="shared" ref="M163:O163" si="773">1/(1+EXP(-J163))</f>
        <v>0.5675568496</v>
      </c>
      <c r="N163" s="1">
        <f t="shared" si="773"/>
        <v>0.5838610274</v>
      </c>
      <c r="O163" s="1">
        <f t="shared" si="773"/>
        <v>0.5979112982</v>
      </c>
      <c r="P163" s="1">
        <f t="shared" si="13"/>
        <v>76.60400849</v>
      </c>
      <c r="Q163" s="1">
        <f t="shared" si="14"/>
        <v>54.70069038</v>
      </c>
      <c r="R163" s="1">
        <f t="shared" ref="R163:T163" si="774">SUMPRODUCT($M163:$O163, INDEX($I$2:$K$4, R$10, 0))+ INDEX($L$2:$L$4, R$10,1)</f>
        <v>7.579500255</v>
      </c>
      <c r="S163" s="1">
        <f t="shared" si="774"/>
        <v>-2.949727596</v>
      </c>
      <c r="T163" s="1">
        <f t="shared" si="774"/>
        <v>1.507272235</v>
      </c>
      <c r="U163" s="1">
        <f t="shared" ref="U163:W163" si="775">1/(1+EXP(-R163))</f>
        <v>0.9994894444</v>
      </c>
      <c r="V163" s="1">
        <f t="shared" si="775"/>
        <v>0.04974938769</v>
      </c>
      <c r="W163" s="1">
        <f t="shared" si="775"/>
        <v>0.8186566003</v>
      </c>
      <c r="X163" s="1">
        <f t="shared" si="17"/>
        <v>78.09945822</v>
      </c>
      <c r="Y163" s="1">
        <f t="shared" si="18"/>
        <v>34.81639326</v>
      </c>
      <c r="Z163" s="3">
        <f t="shared" si="19"/>
        <v>84</v>
      </c>
      <c r="AA163" s="3">
        <f t="shared" si="20"/>
        <v>0</v>
      </c>
    </row>
    <row r="164" ht="15.75" customHeight="1">
      <c r="B164" s="1">
        <v>50.9</v>
      </c>
      <c r="C164" s="1">
        <v>-5.5</v>
      </c>
      <c r="D164" s="1">
        <v>-2.5</v>
      </c>
      <c r="E164" s="1">
        <v>8.0</v>
      </c>
      <c r="F164" s="1">
        <v>84.0</v>
      </c>
      <c r="G164" s="1">
        <f t="shared" ref="G164:I164" si="776">SUMPRODUCT($B164:$E164, INDEX($B$2:$E$4, G$10, 0))+ INDEX($F$2:$F$4,G$10,1)</f>
        <v>44.24622653</v>
      </c>
      <c r="H164" s="1">
        <f t="shared" si="776"/>
        <v>167.9053145</v>
      </c>
      <c r="I164" s="1">
        <f t="shared" si="776"/>
        <v>360.0646447</v>
      </c>
      <c r="J164" s="1">
        <f t="shared" ref="J164:L164" si="777">(G164-G$7)/(G$6-G$7)*2-1</f>
        <v>0.2771979713</v>
      </c>
      <c r="K164" s="1">
        <f t="shared" si="777"/>
        <v>0.3131150241</v>
      </c>
      <c r="L164" s="1">
        <f t="shared" si="777"/>
        <v>0.4034779287</v>
      </c>
      <c r="M164" s="1">
        <f t="shared" ref="M164:O164" si="778">1/(1+EXP(-J164))</f>
        <v>0.5688591358</v>
      </c>
      <c r="N164" s="1">
        <f t="shared" si="778"/>
        <v>0.5776454205</v>
      </c>
      <c r="O164" s="1">
        <f t="shared" si="778"/>
        <v>0.5995229823</v>
      </c>
      <c r="P164" s="1">
        <f t="shared" si="13"/>
        <v>76.52127288</v>
      </c>
      <c r="Q164" s="1">
        <f t="shared" si="14"/>
        <v>55.93135929</v>
      </c>
      <c r="R164" s="1">
        <f t="shared" ref="R164:T164" si="779">SUMPRODUCT($M164:$O164, INDEX($I$2:$K$4, R$10, 0))+ INDEX($L$2:$L$4, R$10,1)</f>
        <v>7.573093919</v>
      </c>
      <c r="S164" s="1">
        <f t="shared" si="779"/>
        <v>-2.950726004</v>
      </c>
      <c r="T164" s="1">
        <f t="shared" si="779"/>
        <v>1.490119334</v>
      </c>
      <c r="U164" s="1">
        <f t="shared" ref="U164:W164" si="780">1/(1+EXP(-R164))</f>
        <v>0.9994861648</v>
      </c>
      <c r="V164" s="1">
        <f t="shared" si="780"/>
        <v>0.0497022098</v>
      </c>
      <c r="W164" s="1">
        <f t="shared" si="780"/>
        <v>0.8160961832</v>
      </c>
      <c r="X164" s="1">
        <f t="shared" si="17"/>
        <v>77.95411989</v>
      </c>
      <c r="Y164" s="1">
        <f t="shared" si="18"/>
        <v>36.5526663</v>
      </c>
      <c r="Z164" s="3">
        <f t="shared" si="19"/>
        <v>84</v>
      </c>
      <c r="AA164" s="3">
        <f t="shared" si="20"/>
        <v>0</v>
      </c>
    </row>
    <row r="165" ht="15.75" customHeight="1">
      <c r="B165" s="1">
        <v>60.4</v>
      </c>
      <c r="C165" s="1">
        <v>-6.6</v>
      </c>
      <c r="D165" s="1">
        <v>-3.8</v>
      </c>
      <c r="E165" s="1">
        <v>5.0</v>
      </c>
      <c r="F165" s="1">
        <v>84.0</v>
      </c>
      <c r="G165" s="1">
        <f t="shared" ref="G165:I165" si="781">SUMPRODUCT($B165:$E165, INDEX($B$2:$E$4, G$10, 0))+ INDEX($F$2:$F$4,G$10,1)</f>
        <v>44.00710833</v>
      </c>
      <c r="H165" s="1">
        <f t="shared" si="781"/>
        <v>186.6099276</v>
      </c>
      <c r="I165" s="1">
        <f t="shared" si="781"/>
        <v>408.7411215</v>
      </c>
      <c r="J165" s="1">
        <f t="shared" ref="J165:L165" si="782">(G165-G$7)/(G$6-G$7)*2-1</f>
        <v>0.2642986986</v>
      </c>
      <c r="K165" s="1">
        <f t="shared" si="782"/>
        <v>0.6089699544</v>
      </c>
      <c r="L165" s="1">
        <f t="shared" si="782"/>
        <v>0.758793692</v>
      </c>
      <c r="M165" s="1">
        <f t="shared" ref="M165:O165" si="783">1/(1+EXP(-J165))</f>
        <v>0.565692712</v>
      </c>
      <c r="N165" s="1">
        <f t="shared" si="783"/>
        <v>0.647705799</v>
      </c>
      <c r="O165" s="1">
        <f t="shared" si="783"/>
        <v>0.681091774</v>
      </c>
      <c r="P165" s="1">
        <f t="shared" si="13"/>
        <v>82.80439548</v>
      </c>
      <c r="Q165" s="1">
        <f t="shared" si="14"/>
        <v>1.429470159</v>
      </c>
      <c r="R165" s="1">
        <f t="shared" ref="R165:T165" si="784">SUMPRODUCT($M165:$O165, INDEX($I$2:$K$4, R$10, 0))+ INDEX($L$2:$L$4, R$10,1)</f>
        <v>7.876264865</v>
      </c>
      <c r="S165" s="1">
        <f t="shared" si="784"/>
        <v>-2.902002897</v>
      </c>
      <c r="T165" s="1">
        <f t="shared" si="784"/>
        <v>2.213385302</v>
      </c>
      <c r="U165" s="1">
        <f t="shared" ref="U165:W165" si="785">1/(1+EXP(-R165))</f>
        <v>0.9996204956</v>
      </c>
      <c r="V165" s="1">
        <f t="shared" si="785"/>
        <v>0.05205464151</v>
      </c>
      <c r="W165" s="1">
        <f t="shared" si="785"/>
        <v>0.9014450923</v>
      </c>
      <c r="X165" s="1">
        <f t="shared" si="17"/>
        <v>82.82447085</v>
      </c>
      <c r="Y165" s="1">
        <f t="shared" si="18"/>
        <v>1.381868794</v>
      </c>
      <c r="Z165" s="3">
        <f t="shared" si="19"/>
        <v>84</v>
      </c>
      <c r="AA165" s="3">
        <f t="shared" si="20"/>
        <v>0</v>
      </c>
    </row>
    <row r="166" ht="15.75" customHeight="1">
      <c r="B166" s="1">
        <v>55.6</v>
      </c>
      <c r="C166" s="1">
        <v>-6.2</v>
      </c>
      <c r="D166" s="1">
        <v>-3.6</v>
      </c>
      <c r="E166" s="1">
        <v>6.0</v>
      </c>
      <c r="F166" s="1">
        <v>84.0</v>
      </c>
      <c r="G166" s="1">
        <f t="shared" ref="G166:I166" si="786">SUMPRODUCT($B166:$E166, INDEX($B$2:$E$4, G$10, 0))+ INDEX($F$2:$F$4,G$10,1)</f>
        <v>42.06709126</v>
      </c>
      <c r="H166" s="1">
        <f t="shared" si="786"/>
        <v>173.0356206</v>
      </c>
      <c r="I166" s="1">
        <f t="shared" si="786"/>
        <v>375.8897177</v>
      </c>
      <c r="J166" s="1">
        <f t="shared" ref="J166:L166" si="787">(G166-G$7)/(G$6-G$7)*2-1</f>
        <v>0.1596441429</v>
      </c>
      <c r="K166" s="1">
        <f t="shared" si="787"/>
        <v>0.39426219</v>
      </c>
      <c r="L166" s="1">
        <f t="shared" si="787"/>
        <v>0.5189936408</v>
      </c>
      <c r="M166" s="1">
        <f t="shared" ref="M166:O166" si="788">1/(1+EXP(-J166))</f>
        <v>0.539826486</v>
      </c>
      <c r="N166" s="1">
        <f t="shared" si="788"/>
        <v>0.5973083123</v>
      </c>
      <c r="O166" s="1">
        <f t="shared" si="788"/>
        <v>0.6269124158</v>
      </c>
      <c r="P166" s="1">
        <f t="shared" si="13"/>
        <v>78.13931477</v>
      </c>
      <c r="Q166" s="1">
        <f t="shared" si="14"/>
        <v>34.34763139</v>
      </c>
      <c r="R166" s="1">
        <f t="shared" ref="R166:T166" si="789">SUMPRODUCT($M166:$O166, INDEX($I$2:$K$4, R$10, 0))+ INDEX($L$2:$L$4, R$10,1)</f>
        <v>7.612096677</v>
      </c>
      <c r="S166" s="1">
        <f t="shared" si="789"/>
        <v>-2.944979644</v>
      </c>
      <c r="T166" s="1">
        <f t="shared" si="789"/>
        <v>1.579539925</v>
      </c>
      <c r="U166" s="1">
        <f t="shared" ref="U166:W166" si="790">1/(1+EXP(-R166))</f>
        <v>0.9995058102</v>
      </c>
      <c r="V166" s="1">
        <f t="shared" si="790"/>
        <v>0.04997432469</v>
      </c>
      <c r="W166" s="1">
        <f t="shared" si="790"/>
        <v>0.8291393503</v>
      </c>
      <c r="X166" s="1">
        <f t="shared" si="17"/>
        <v>78.69556966</v>
      </c>
      <c r="Y166" s="1">
        <f t="shared" si="18"/>
        <v>28.13698128</v>
      </c>
      <c r="Z166" s="3">
        <f t="shared" si="19"/>
        <v>84</v>
      </c>
      <c r="AA166" s="3">
        <f t="shared" si="20"/>
        <v>0</v>
      </c>
    </row>
    <row r="167" ht="15.75" customHeight="1">
      <c r="B167" s="1">
        <v>50.9</v>
      </c>
      <c r="C167" s="1">
        <v>-4.5</v>
      </c>
      <c r="D167" s="1">
        <v>-1.3</v>
      </c>
      <c r="E167" s="1">
        <v>8.0</v>
      </c>
      <c r="F167" s="1">
        <v>84.0</v>
      </c>
      <c r="G167" s="1">
        <f t="shared" ref="G167:I167" si="791">SUMPRODUCT($B167:$E167, INDEX($B$2:$E$4, G$10, 0))+ INDEX($F$2:$F$4,G$10,1)</f>
        <v>46.57123542</v>
      </c>
      <c r="H167" s="1">
        <f t="shared" si="791"/>
        <v>173.5261498</v>
      </c>
      <c r="I167" s="1">
        <f t="shared" si="791"/>
        <v>378.0374229</v>
      </c>
      <c r="J167" s="1">
        <f t="shared" ref="J167:L167" si="792">(G167-G$7)/(G$6-G$7)*2-1</f>
        <v>0.402620977</v>
      </c>
      <c r="K167" s="1">
        <f t="shared" si="792"/>
        <v>0.4020209971</v>
      </c>
      <c r="L167" s="1">
        <f t="shared" si="792"/>
        <v>0.5346708954</v>
      </c>
      <c r="M167" s="1">
        <f t="shared" ref="M167:O167" si="793">1/(1+EXP(-J167))</f>
        <v>0.5993172148</v>
      </c>
      <c r="N167" s="1">
        <f t="shared" si="793"/>
        <v>0.5991731294</v>
      </c>
      <c r="O167" s="1">
        <f t="shared" si="793"/>
        <v>0.6305718637</v>
      </c>
      <c r="P167" s="1">
        <f t="shared" si="13"/>
        <v>79.18759417</v>
      </c>
      <c r="Q167" s="1">
        <f t="shared" si="14"/>
        <v>23.15924984</v>
      </c>
      <c r="R167" s="1">
        <f t="shared" ref="R167:T167" si="794">SUMPRODUCT($M167:$O167, INDEX($I$2:$K$4, R$10, 0))+ INDEX($L$2:$L$4, R$10,1)</f>
        <v>7.74070132</v>
      </c>
      <c r="S167" s="1">
        <f t="shared" si="794"/>
        <v>-2.92319182</v>
      </c>
      <c r="T167" s="1">
        <f t="shared" si="794"/>
        <v>1.891581915</v>
      </c>
      <c r="U167" s="1">
        <f t="shared" ref="U167:W167" si="795">1/(1+EXP(-R167))</f>
        <v>0.9995654224</v>
      </c>
      <c r="V167" s="1">
        <f t="shared" si="795"/>
        <v>0.0510189441</v>
      </c>
      <c r="W167" s="1">
        <f t="shared" si="795"/>
        <v>0.8689357943</v>
      </c>
      <c r="X167" s="1">
        <f t="shared" si="17"/>
        <v>80.9647755</v>
      </c>
      <c r="Y167" s="1">
        <f t="shared" si="18"/>
        <v>9.212587773</v>
      </c>
      <c r="Z167" s="3">
        <f t="shared" si="19"/>
        <v>84</v>
      </c>
      <c r="AA167" s="3">
        <f t="shared" si="20"/>
        <v>0</v>
      </c>
    </row>
    <row r="168" ht="15.75" customHeight="1">
      <c r="B168" s="1">
        <v>46.1</v>
      </c>
      <c r="C168" s="1">
        <v>-4.9</v>
      </c>
      <c r="D168" s="1">
        <v>-2.4</v>
      </c>
      <c r="E168" s="1">
        <v>8.0</v>
      </c>
      <c r="F168" s="1">
        <v>84.0</v>
      </c>
      <c r="G168" s="1">
        <f t="shared" ref="G168:I168" si="796">SUMPRODUCT($B168:$E168, INDEX($B$2:$E$4, G$10, 0))+ INDEX($F$2:$F$4,G$10,1)</f>
        <v>40.23769614</v>
      </c>
      <c r="H168" s="1">
        <f t="shared" si="796"/>
        <v>151.024433</v>
      </c>
      <c r="I168" s="1">
        <f t="shared" si="796"/>
        <v>323.7319591</v>
      </c>
      <c r="J168" s="1">
        <f t="shared" ref="J168:L168" si="797">(G168-G$7)/(G$6-G$7)*2-1</f>
        <v>0.06095710775</v>
      </c>
      <c r="K168" s="1">
        <f t="shared" si="797"/>
        <v>0.04610645209</v>
      </c>
      <c r="L168" s="1">
        <f t="shared" si="797"/>
        <v>0.1382661303</v>
      </c>
      <c r="M168" s="1">
        <f t="shared" ref="M168:O168" si="798">1/(1+EXP(-J168))</f>
        <v>0.5152345599</v>
      </c>
      <c r="N168" s="1">
        <f t="shared" si="798"/>
        <v>0.5115245715</v>
      </c>
      <c r="O168" s="1">
        <f t="shared" si="798"/>
        <v>0.5345115688</v>
      </c>
      <c r="P168" s="1">
        <f t="shared" si="13"/>
        <v>70.45145491</v>
      </c>
      <c r="Q168" s="1">
        <f t="shared" si="14"/>
        <v>183.5630739</v>
      </c>
      <c r="R168" s="1">
        <f t="shared" ref="R168:T168" si="799">SUMPRODUCT($M168:$O168, INDEX($I$2:$K$4, R$10, 0))+ INDEX($L$2:$L$4, R$10,1)</f>
        <v>7.200379193</v>
      </c>
      <c r="S168" s="1">
        <f t="shared" si="799"/>
        <v>-3.01167134</v>
      </c>
      <c r="T168" s="1">
        <f t="shared" si="799"/>
        <v>0.5929990102</v>
      </c>
      <c r="U168" s="1">
        <f t="shared" ref="U168:W168" si="800">1/(1+EXP(-R168))</f>
        <v>0.9992542538</v>
      </c>
      <c r="V168" s="1">
        <f t="shared" si="800"/>
        <v>0.04690137744</v>
      </c>
      <c r="W168" s="1">
        <f t="shared" si="800"/>
        <v>0.6440529617</v>
      </c>
      <c r="X168" s="1">
        <f t="shared" si="17"/>
        <v>68.20013619</v>
      </c>
      <c r="Y168" s="1">
        <f t="shared" si="18"/>
        <v>249.6356965</v>
      </c>
      <c r="Z168" s="3">
        <f t="shared" si="19"/>
        <v>69</v>
      </c>
      <c r="AA168" s="3">
        <f t="shared" si="20"/>
        <v>1</v>
      </c>
    </row>
    <row r="169" ht="15.75" customHeight="1">
      <c r="B169" s="1">
        <v>50.9</v>
      </c>
      <c r="C169" s="1">
        <v>-6.5</v>
      </c>
      <c r="D169" s="1">
        <v>-2.4</v>
      </c>
      <c r="E169" s="1">
        <v>9.0</v>
      </c>
      <c r="F169" s="1">
        <v>84.0</v>
      </c>
      <c r="G169" s="1">
        <f t="shared" ref="G169:I169" si="801">SUMPRODUCT($B169:$E169, INDEX($B$2:$E$4, G$10, 0))+ INDEX($F$2:$F$4,G$10,1)</f>
        <v>48.4344485</v>
      </c>
      <c r="H169" s="1">
        <f t="shared" si="801"/>
        <v>176.4908689</v>
      </c>
      <c r="I169" s="1">
        <f t="shared" si="801"/>
        <v>367.5230883</v>
      </c>
      <c r="J169" s="1">
        <f t="shared" ref="J169:L169" si="802">(G169-G$7)/(G$6-G$7)*2-1</f>
        <v>0.5031323281</v>
      </c>
      <c r="K169" s="1">
        <f t="shared" si="802"/>
        <v>0.4489146031</v>
      </c>
      <c r="L169" s="1">
        <f t="shared" si="802"/>
        <v>0.4579211163</v>
      </c>
      <c r="M169" s="1">
        <f t="shared" ref="M169:O169" si="803">1/(1+EXP(-J169))</f>
        <v>0.6231951571</v>
      </c>
      <c r="N169" s="1">
        <f t="shared" si="803"/>
        <v>0.6103811401</v>
      </c>
      <c r="O169" s="1">
        <f t="shared" si="803"/>
        <v>0.6125208914</v>
      </c>
      <c r="P169" s="1">
        <f t="shared" si="13"/>
        <v>78.90160502</v>
      </c>
      <c r="Q169" s="1">
        <f t="shared" si="14"/>
        <v>25.99363136</v>
      </c>
      <c r="R169" s="1">
        <f t="shared" ref="R169:T169" si="804">SUMPRODUCT($M169:$O169, INDEX($I$2:$K$4, R$10, 0))+ INDEX($L$2:$L$4, R$10,1)</f>
        <v>7.772321709</v>
      </c>
      <c r="S169" s="1">
        <f t="shared" si="804"/>
        <v>-2.917694836</v>
      </c>
      <c r="T169" s="1">
        <f t="shared" si="804"/>
        <v>1.976201418</v>
      </c>
      <c r="U169" s="1">
        <f t="shared" ref="U169:W169" si="805">1/(1+EXP(-R169))</f>
        <v>0.9995789432</v>
      </c>
      <c r="V169" s="1">
        <f t="shared" si="805"/>
        <v>0.05128574392</v>
      </c>
      <c r="W169" s="1">
        <f t="shared" si="805"/>
        <v>0.8782756483</v>
      </c>
      <c r="X169" s="1">
        <f t="shared" si="17"/>
        <v>81.49803141</v>
      </c>
      <c r="Y169" s="1">
        <f t="shared" si="18"/>
        <v>6.259846846</v>
      </c>
      <c r="Z169" s="3">
        <f t="shared" si="19"/>
        <v>84</v>
      </c>
      <c r="AA169" s="3">
        <f t="shared" si="20"/>
        <v>0</v>
      </c>
    </row>
    <row r="170" ht="15.75" customHeight="1">
      <c r="B170" s="1">
        <v>46.1</v>
      </c>
      <c r="C170" s="1">
        <v>-5.9</v>
      </c>
      <c r="D170" s="1">
        <v>-0.6</v>
      </c>
      <c r="E170" s="1">
        <v>8.0</v>
      </c>
      <c r="F170" s="1">
        <v>84.0</v>
      </c>
      <c r="G170" s="1">
        <f t="shared" ref="G170:I170" si="806">SUMPRODUCT($B170:$E170, INDEX($B$2:$E$4, G$10, 0))+ INDEX($F$2:$F$4,G$10,1)</f>
        <v>50.349299</v>
      </c>
      <c r="H170" s="1">
        <f t="shared" si="806"/>
        <v>175.9524979</v>
      </c>
      <c r="I170" s="1">
        <f t="shared" si="806"/>
        <v>363.1197566</v>
      </c>
      <c r="J170" s="1">
        <f t="shared" ref="J170:L170" si="807">(G170-G$7)/(G$6-G$7)*2-1</f>
        <v>0.6064292693</v>
      </c>
      <c r="K170" s="1">
        <f t="shared" si="807"/>
        <v>0.4403990727</v>
      </c>
      <c r="L170" s="1">
        <f t="shared" si="807"/>
        <v>0.4257788319</v>
      </c>
      <c r="M170" s="1">
        <f t="shared" ref="M170:O170" si="808">1/(1+EXP(-J170))</f>
        <v>0.6471258405</v>
      </c>
      <c r="N170" s="1">
        <f t="shared" si="808"/>
        <v>0.6083541177</v>
      </c>
      <c r="O170" s="1">
        <f t="shared" si="808"/>
        <v>0.6048652433</v>
      </c>
      <c r="P170" s="1">
        <f t="shared" si="13"/>
        <v>78.76549121</v>
      </c>
      <c r="Q170" s="1">
        <f t="shared" si="14"/>
        <v>27.4000823</v>
      </c>
      <c r="R170" s="1">
        <f t="shared" ref="R170:T170" si="809">SUMPRODUCT($M170:$O170, INDEX($I$2:$K$4, R$10, 0))+ INDEX($L$2:$L$4, R$10,1)</f>
        <v>7.799480467</v>
      </c>
      <c r="S170" s="1">
        <f t="shared" si="809"/>
        <v>-2.912890107</v>
      </c>
      <c r="T170" s="1">
        <f t="shared" si="809"/>
        <v>2.044395763</v>
      </c>
      <c r="U170" s="1">
        <f t="shared" ref="U170:W170" si="810">1/(1+EXP(-R170))</f>
        <v>0.9995902201</v>
      </c>
      <c r="V170" s="1">
        <f t="shared" si="810"/>
        <v>0.05152002514</v>
      </c>
      <c r="W170" s="1">
        <f t="shared" si="810"/>
        <v>0.8853801158</v>
      </c>
      <c r="X170" s="1">
        <f t="shared" si="17"/>
        <v>81.90468901</v>
      </c>
      <c r="Y170" s="1">
        <f t="shared" si="18"/>
        <v>4.390328133</v>
      </c>
      <c r="Z170" s="3">
        <f t="shared" si="19"/>
        <v>84</v>
      </c>
      <c r="AA170" s="3">
        <f t="shared" si="20"/>
        <v>0</v>
      </c>
    </row>
    <row r="171" ht="15.75" customHeight="1">
      <c r="B171" s="1">
        <v>46.1</v>
      </c>
      <c r="C171" s="1">
        <v>-3.5</v>
      </c>
      <c r="D171" s="1">
        <v>-0.6</v>
      </c>
      <c r="E171" s="1">
        <v>8.0</v>
      </c>
      <c r="F171" s="1">
        <v>84.0</v>
      </c>
      <c r="G171" s="1">
        <f t="shared" ref="G171:I171" si="811">SUMPRODUCT($B171:$E171, INDEX($B$2:$E$4, G$10, 0))+ INDEX($F$2:$F$4,G$10,1)</f>
        <v>43.99017305</v>
      </c>
      <c r="H171" s="1">
        <f t="shared" si="811"/>
        <v>160.1155584</v>
      </c>
      <c r="I171" s="1">
        <f t="shared" si="811"/>
        <v>351.1882716</v>
      </c>
      <c r="J171" s="1">
        <f t="shared" ref="J171:L171" si="812">(G171-G$7)/(G$6-G$7)*2-1</f>
        <v>0.2633851224</v>
      </c>
      <c r="K171" s="1">
        <f t="shared" si="812"/>
        <v>0.1899027581</v>
      </c>
      <c r="L171" s="1">
        <f t="shared" si="812"/>
        <v>0.3386845105</v>
      </c>
      <c r="M171" s="1">
        <f t="shared" ref="M171:O171" si="813">1/(1+EXP(-J171))</f>
        <v>0.565468247</v>
      </c>
      <c r="N171" s="1">
        <f t="shared" si="813"/>
        <v>0.5473335256</v>
      </c>
      <c r="O171" s="1">
        <f t="shared" si="813"/>
        <v>0.5838709394</v>
      </c>
      <c r="P171" s="1">
        <f t="shared" si="13"/>
        <v>74.76165422</v>
      </c>
      <c r="Q171" s="1">
        <f t="shared" si="14"/>
        <v>85.34703278</v>
      </c>
      <c r="R171" s="1">
        <f t="shared" ref="R171:T171" si="814">SUMPRODUCT($M171:$O171, INDEX($I$2:$K$4, R$10, 0))+ INDEX($L$2:$L$4, R$10,1)</f>
        <v>7.473552297</v>
      </c>
      <c r="S171" s="1">
        <f t="shared" si="814"/>
        <v>-2.966786163</v>
      </c>
      <c r="T171" s="1">
        <f t="shared" si="814"/>
        <v>1.247840048</v>
      </c>
      <c r="U171" s="1">
        <f t="shared" ref="U171:W171" si="815">1/(1+EXP(-R171))</f>
        <v>0.999432415</v>
      </c>
      <c r="V171" s="1">
        <f t="shared" si="815"/>
        <v>0.04894912039</v>
      </c>
      <c r="W171" s="1">
        <f t="shared" si="815"/>
        <v>0.7769257393</v>
      </c>
      <c r="X171" s="1">
        <f t="shared" si="17"/>
        <v>75.72959843</v>
      </c>
      <c r="Y171" s="1">
        <f t="shared" si="18"/>
        <v>68.39954218</v>
      </c>
      <c r="Z171" s="3">
        <f t="shared" si="19"/>
        <v>84</v>
      </c>
      <c r="AA171" s="3">
        <f t="shared" si="20"/>
        <v>0</v>
      </c>
    </row>
    <row r="172" ht="15.75" customHeight="1">
      <c r="B172" s="1">
        <v>41.3</v>
      </c>
      <c r="C172" s="1">
        <v>-5.3</v>
      </c>
      <c r="D172" s="1">
        <v>-0.6</v>
      </c>
      <c r="E172" s="1">
        <v>8.0</v>
      </c>
      <c r="F172" s="1">
        <v>84.0</v>
      </c>
      <c r="G172" s="1">
        <f t="shared" ref="G172:I172" si="816">SUMPRODUCT($B172:$E172, INDEX($B$2:$E$4, G$10, 0))+ INDEX($F$2:$F$4,G$10,1)</f>
        <v>45.92621489</v>
      </c>
      <c r="H172" s="1">
        <f t="shared" si="816"/>
        <v>158.0533197</v>
      </c>
      <c r="I172" s="1">
        <f t="shared" si="816"/>
        <v>324.8750518</v>
      </c>
      <c r="J172" s="1">
        <f t="shared" ref="J172:L172" si="817">(G172-G$7)/(G$6-G$7)*2-1</f>
        <v>0.3678252335</v>
      </c>
      <c r="K172" s="1">
        <f t="shared" si="817"/>
        <v>0.1572838809</v>
      </c>
      <c r="L172" s="1">
        <f t="shared" si="817"/>
        <v>0.146610178</v>
      </c>
      <c r="M172" s="1">
        <f t="shared" ref="M172:O172" si="818">1/(1+EXP(-J172))</f>
        <v>0.5909333738</v>
      </c>
      <c r="N172" s="1">
        <f t="shared" si="818"/>
        <v>0.5392401094</v>
      </c>
      <c r="O172" s="1">
        <f t="shared" si="818"/>
        <v>0.5365870328</v>
      </c>
      <c r="P172" s="1">
        <f t="shared" si="13"/>
        <v>72.40214077</v>
      </c>
      <c r="Q172" s="1">
        <f t="shared" si="14"/>
        <v>134.5103388</v>
      </c>
      <c r="R172" s="1">
        <f t="shared" ref="R172:T172" si="819">SUMPRODUCT($M172:$O172, INDEX($I$2:$K$4, R$10, 0))+ INDEX($L$2:$L$4, R$10,1)</f>
        <v>7.408940632</v>
      </c>
      <c r="S172" s="1">
        <f t="shared" si="819"/>
        <v>-2.976750557</v>
      </c>
      <c r="T172" s="1">
        <f t="shared" si="819"/>
        <v>1.104449718</v>
      </c>
      <c r="U172" s="1">
        <f t="shared" ref="U172:W172" si="820">1/(1+EXP(-R172))</f>
        <v>0.9993945547</v>
      </c>
      <c r="V172" s="1">
        <f t="shared" si="820"/>
        <v>0.04848732624</v>
      </c>
      <c r="W172" s="1">
        <f t="shared" si="820"/>
        <v>0.75109292</v>
      </c>
      <c r="X172" s="1">
        <f t="shared" si="17"/>
        <v>74.26362628</v>
      </c>
      <c r="Y172" s="1">
        <f t="shared" si="18"/>
        <v>94.79697312</v>
      </c>
      <c r="Z172" s="3">
        <f t="shared" si="19"/>
        <v>84</v>
      </c>
      <c r="AA172" s="3">
        <f t="shared" si="20"/>
        <v>0</v>
      </c>
    </row>
    <row r="173" ht="15.75" customHeight="1">
      <c r="B173" s="1">
        <v>55.6</v>
      </c>
      <c r="C173" s="1">
        <v>-6.7</v>
      </c>
      <c r="D173" s="1">
        <v>-2.5</v>
      </c>
      <c r="E173" s="1">
        <v>8.0</v>
      </c>
      <c r="F173" s="1">
        <v>84.0</v>
      </c>
      <c r="G173" s="1">
        <f t="shared" ref="G173:I173" si="821">SUMPRODUCT($B173:$E173, INDEX($B$2:$E$4, G$10, 0))+ INDEX($F$2:$F$4,G$10,1)</f>
        <v>50.20006499</v>
      </c>
      <c r="H173" s="1">
        <f t="shared" si="821"/>
        <v>189.4733121</v>
      </c>
      <c r="I173" s="1">
        <f t="shared" si="821"/>
        <v>400.5575993</v>
      </c>
      <c r="J173" s="1">
        <f t="shared" ref="J173:L173" si="822">(G173-G$7)/(G$6-G$7)*2-1</f>
        <v>0.5983788147</v>
      </c>
      <c r="K173" s="1">
        <f t="shared" si="822"/>
        <v>0.6542607296</v>
      </c>
      <c r="L173" s="1">
        <f t="shared" si="822"/>
        <v>0.6990577657</v>
      </c>
      <c r="M173" s="1">
        <f t="shared" ref="M173:O173" si="823">1/(1+EXP(-J173))</f>
        <v>0.6452853171</v>
      </c>
      <c r="N173" s="1">
        <f t="shared" si="823"/>
        <v>0.657969965</v>
      </c>
      <c r="O173" s="1">
        <f t="shared" si="823"/>
        <v>0.6679788336</v>
      </c>
      <c r="P173" s="1">
        <f t="shared" si="13"/>
        <v>83.49909949</v>
      </c>
      <c r="Q173" s="1">
        <f t="shared" si="14"/>
        <v>0.2509013238</v>
      </c>
      <c r="R173" s="1">
        <f t="shared" ref="R173:T173" si="824">SUMPRODUCT($M173:$O173, INDEX($I$2:$K$4, R$10, 0))+ INDEX($L$2:$L$4, R$10,1)</f>
        <v>8.026141366</v>
      </c>
      <c r="S173" s="1">
        <f t="shared" si="824"/>
        <v>-2.876448261</v>
      </c>
      <c r="T173" s="1">
        <f t="shared" si="824"/>
        <v>2.583983993</v>
      </c>
      <c r="U173" s="1">
        <f t="shared" ref="U173:W173" si="825">1/(1+EXP(-R173))</f>
        <v>0.9996733</v>
      </c>
      <c r="V173" s="1">
        <f t="shared" si="825"/>
        <v>0.05333016547</v>
      </c>
      <c r="W173" s="1">
        <f t="shared" si="825"/>
        <v>0.9298236766</v>
      </c>
      <c r="X173" s="1">
        <f t="shared" si="17"/>
        <v>84.4599778</v>
      </c>
      <c r="Y173" s="1">
        <f t="shared" si="18"/>
        <v>0.2115795758</v>
      </c>
      <c r="Z173" s="3">
        <f t="shared" si="19"/>
        <v>84</v>
      </c>
      <c r="AA173" s="3">
        <f t="shared" si="20"/>
        <v>0</v>
      </c>
    </row>
    <row r="174" ht="15.75" customHeight="1">
      <c r="B174" s="1">
        <v>60.4</v>
      </c>
      <c r="C174" s="1">
        <v>-8.8</v>
      </c>
      <c r="D174" s="1">
        <v>-3.6</v>
      </c>
      <c r="E174" s="1">
        <v>5.0</v>
      </c>
      <c r="F174" s="1">
        <v>84.0</v>
      </c>
      <c r="G174" s="1">
        <f t="shared" ref="G174:I174" si="826">SUMPRODUCT($B174:$E174, INDEX($B$2:$E$4, G$10, 0))+ INDEX($F$2:$F$4,G$10,1)</f>
        <v>50.66541457</v>
      </c>
      <c r="H174" s="1">
        <f t="shared" si="826"/>
        <v>203.1637155</v>
      </c>
      <c r="I174" s="1">
        <f t="shared" si="826"/>
        <v>423.5023544</v>
      </c>
      <c r="J174" s="1">
        <f t="shared" ref="J174:L174" si="827">(G174-G$7)/(G$6-G$7)*2-1</f>
        <v>0.6234821778</v>
      </c>
      <c r="K174" s="1">
        <f t="shared" si="827"/>
        <v>0.8708048157</v>
      </c>
      <c r="L174" s="1">
        <f t="shared" si="827"/>
        <v>0.8665438646</v>
      </c>
      <c r="M174" s="1">
        <f t="shared" ref="M174:O174" si="828">1/(1+EXP(-J174))</f>
        <v>0.6510101007</v>
      </c>
      <c r="N174" s="1">
        <f t="shared" si="828"/>
        <v>0.7049131358</v>
      </c>
      <c r="O174" s="1">
        <f t="shared" si="828"/>
        <v>0.7040260396</v>
      </c>
      <c r="P174" s="1">
        <f t="shared" si="13"/>
        <v>86.84560848</v>
      </c>
      <c r="Q174" s="1">
        <f t="shared" si="14"/>
        <v>8.09748763</v>
      </c>
      <c r="R174" s="1">
        <f t="shared" ref="R174:T174" si="829">SUMPRODUCT($M174:$O174, INDEX($I$2:$K$4, R$10, 0))+ INDEX($L$2:$L$4, R$10,1)</f>
        <v>8.205888036</v>
      </c>
      <c r="S174" s="1">
        <f t="shared" si="829"/>
        <v>-2.847438935</v>
      </c>
      <c r="T174" s="1">
        <f t="shared" si="829"/>
        <v>3.017665112</v>
      </c>
      <c r="U174" s="1">
        <f t="shared" ref="U174:W174" si="830">1/(1+EXP(-R174))</f>
        <v>0.9997270334</v>
      </c>
      <c r="V174" s="1">
        <f t="shared" si="830"/>
        <v>0.05481385299</v>
      </c>
      <c r="W174" s="1">
        <f t="shared" si="830"/>
        <v>0.9533658275</v>
      </c>
      <c r="X174" s="1">
        <f t="shared" si="17"/>
        <v>85.83069266</v>
      </c>
      <c r="Y174" s="1">
        <f t="shared" si="18"/>
        <v>3.351435627</v>
      </c>
      <c r="Z174" s="3">
        <f t="shared" si="19"/>
        <v>84</v>
      </c>
      <c r="AA174" s="3">
        <f t="shared" si="20"/>
        <v>0</v>
      </c>
    </row>
    <row r="175" ht="15.75" customHeight="1">
      <c r="B175" s="1">
        <v>50.9</v>
      </c>
      <c r="C175" s="1">
        <v>-7.4</v>
      </c>
      <c r="D175" s="1">
        <v>-2.4</v>
      </c>
      <c r="E175" s="1">
        <v>7.0</v>
      </c>
      <c r="F175" s="1">
        <v>84.0</v>
      </c>
      <c r="G175" s="1">
        <f t="shared" ref="G175:I175" si="831">SUMPRODUCT($B175:$E175, INDEX($B$2:$E$4, G$10, 0))+ INDEX($F$2:$F$4,G$10,1)</f>
        <v>48.57105587</v>
      </c>
      <c r="H175" s="1">
        <f t="shared" si="831"/>
        <v>180.4926554</v>
      </c>
      <c r="I175" s="1">
        <f t="shared" si="831"/>
        <v>370.8474507</v>
      </c>
      <c r="J175" s="1">
        <f t="shared" ref="J175:L175" si="832">(G175-G$7)/(G$6-G$7)*2-1</f>
        <v>0.5105016366</v>
      </c>
      <c r="K175" s="1">
        <f t="shared" si="832"/>
        <v>0.5122117314</v>
      </c>
      <c r="L175" s="1">
        <f t="shared" si="832"/>
        <v>0.4821874241</v>
      </c>
      <c r="M175" s="1">
        <f t="shared" ref="M175:O175" si="833">1/(1+EXP(-J175))</f>
        <v>0.6249240624</v>
      </c>
      <c r="N175" s="1">
        <f t="shared" si="833"/>
        <v>0.6253248126</v>
      </c>
      <c r="O175" s="1">
        <f t="shared" si="833"/>
        <v>0.6182642699</v>
      </c>
      <c r="P175" s="1">
        <f t="shared" si="13"/>
        <v>79.66708665</v>
      </c>
      <c r="Q175" s="1">
        <f t="shared" si="14"/>
        <v>18.77413809</v>
      </c>
      <c r="R175" s="1">
        <f t="shared" ref="R175:T175" si="834">SUMPRODUCT($M175:$O175, INDEX($I$2:$K$4, R$10, 0))+ INDEX($L$2:$L$4, R$10,1)</f>
        <v>7.817388074</v>
      </c>
      <c r="S175" s="1">
        <f t="shared" si="834"/>
        <v>-2.910422859</v>
      </c>
      <c r="T175" s="1">
        <f t="shared" si="834"/>
        <v>2.086527629</v>
      </c>
      <c r="U175" s="1">
        <f t="shared" ref="U175:W175" si="835">1/(1+EXP(-R175))</f>
        <v>0.99959749</v>
      </c>
      <c r="V175" s="1">
        <f t="shared" si="835"/>
        <v>0.05164072247</v>
      </c>
      <c r="W175" s="1">
        <f t="shared" si="835"/>
        <v>0.8895868231</v>
      </c>
      <c r="X175" s="1">
        <f t="shared" si="17"/>
        <v>82.14490411</v>
      </c>
      <c r="Y175" s="1">
        <f t="shared" si="18"/>
        <v>3.44138077</v>
      </c>
      <c r="Z175" s="3">
        <f t="shared" si="19"/>
        <v>84</v>
      </c>
      <c r="AA175" s="3">
        <f t="shared" si="20"/>
        <v>0</v>
      </c>
    </row>
    <row r="176" ht="15.75" customHeight="1">
      <c r="B176" s="1">
        <v>50.9</v>
      </c>
      <c r="C176" s="1">
        <v>-5.4</v>
      </c>
      <c r="D176" s="1">
        <v>-0.6</v>
      </c>
      <c r="E176" s="1">
        <v>7.0</v>
      </c>
      <c r="F176" s="1">
        <v>84.0</v>
      </c>
      <c r="G176" s="1">
        <f t="shared" ref="G176:I176" si="836">SUMPRODUCT($B176:$E176, INDEX($B$2:$E$4, G$10, 0))+ INDEX($F$2:$F$4,G$10,1)</f>
        <v>50.7337513</v>
      </c>
      <c r="H176" s="1">
        <f t="shared" si="836"/>
        <v>185.6245459</v>
      </c>
      <c r="I176" s="1">
        <f t="shared" si="836"/>
        <v>395.3208919</v>
      </c>
      <c r="J176" s="1">
        <f t="shared" ref="J176:L176" si="837">(G176-G$7)/(G$6-G$7)*2-1</f>
        <v>0.6271686145</v>
      </c>
      <c r="K176" s="1">
        <f t="shared" si="837"/>
        <v>0.5933839587</v>
      </c>
      <c r="L176" s="1">
        <f t="shared" si="837"/>
        <v>0.6608322238</v>
      </c>
      <c r="M176" s="1">
        <f t="shared" ref="M176:O176" si="838">1/(1+EXP(-J176))</f>
        <v>0.6518471772</v>
      </c>
      <c r="N176" s="1">
        <f t="shared" si="838"/>
        <v>0.6441412057</v>
      </c>
      <c r="O176" s="1">
        <f t="shared" si="838"/>
        <v>0.6594473112</v>
      </c>
      <c r="P176" s="1">
        <f t="shared" si="13"/>
        <v>82.73325259</v>
      </c>
      <c r="Q176" s="1">
        <f t="shared" si="14"/>
        <v>1.604648993</v>
      </c>
      <c r="R176" s="1">
        <f t="shared" ref="R176:T176" si="839">SUMPRODUCT($M176:$O176, INDEX($I$2:$K$4, R$10, 0))+ INDEX($L$2:$L$4, R$10,1)</f>
        <v>7.993807771</v>
      </c>
      <c r="S176" s="1">
        <f t="shared" si="839"/>
        <v>-2.881523011</v>
      </c>
      <c r="T176" s="1">
        <f t="shared" si="839"/>
        <v>2.50572042</v>
      </c>
      <c r="U176" s="1">
        <f t="shared" ref="U176:W176" si="840">1/(1+EXP(-R176))</f>
        <v>0.9996625676</v>
      </c>
      <c r="V176" s="1">
        <f t="shared" si="840"/>
        <v>0.05307454135</v>
      </c>
      <c r="W176" s="1">
        <f t="shared" si="840"/>
        <v>0.924541871</v>
      </c>
      <c r="X176" s="1">
        <f t="shared" si="17"/>
        <v>84.15497416</v>
      </c>
      <c r="Y176" s="1">
        <f t="shared" si="18"/>
        <v>0.02401698995</v>
      </c>
      <c r="Z176" s="3">
        <f t="shared" si="19"/>
        <v>84</v>
      </c>
      <c r="AA176" s="3">
        <f t="shared" si="20"/>
        <v>0</v>
      </c>
    </row>
    <row r="177" ht="15.75" customHeight="1">
      <c r="B177" s="1">
        <v>46.1</v>
      </c>
      <c r="C177" s="1">
        <v>-6.7</v>
      </c>
      <c r="D177" s="1">
        <v>-2.6</v>
      </c>
      <c r="E177" s="1">
        <v>7.0</v>
      </c>
      <c r="F177" s="1">
        <v>84.0</v>
      </c>
      <c r="G177" s="1">
        <f t="shared" ref="G177:I177" si="841">SUMPRODUCT($B177:$E177, INDEX($B$2:$E$4, G$10, 0))+ INDEX($F$2:$F$4,G$10,1)</f>
        <v>43.05390073</v>
      </c>
      <c r="H177" s="1">
        <f t="shared" si="841"/>
        <v>159.8970115</v>
      </c>
      <c r="I177" s="1">
        <f t="shared" si="841"/>
        <v>328.2815623</v>
      </c>
      <c r="J177" s="1">
        <f t="shared" ref="J177:L177" si="842">(G177-G$7)/(G$6-G$7)*2-1</f>
        <v>0.2128777502</v>
      </c>
      <c r="K177" s="1">
        <f t="shared" si="842"/>
        <v>0.1864459536</v>
      </c>
      <c r="L177" s="1">
        <f t="shared" si="842"/>
        <v>0.1714761288</v>
      </c>
      <c r="M177" s="1">
        <f t="shared" ref="M177:O177" si="843">1/(1+EXP(-J177))</f>
        <v>0.5530193657</v>
      </c>
      <c r="N177" s="1">
        <f t="shared" si="843"/>
        <v>0.5464769301</v>
      </c>
      <c r="O177" s="1">
        <f t="shared" si="843"/>
        <v>0.5427642965</v>
      </c>
      <c r="P177" s="1">
        <f t="shared" si="13"/>
        <v>72.42708354</v>
      </c>
      <c r="Q177" s="1">
        <f t="shared" si="14"/>
        <v>133.9323954</v>
      </c>
      <c r="R177" s="1">
        <f t="shared" ref="R177:T177" si="844">SUMPRODUCT($M177:$O177, INDEX($I$2:$K$4, R$10, 0))+ INDEX($L$2:$L$4, R$10,1)</f>
        <v>7.361474558</v>
      </c>
      <c r="S177" s="1">
        <f t="shared" si="844"/>
        <v>-2.985087034</v>
      </c>
      <c r="T177" s="1">
        <f t="shared" si="844"/>
        <v>0.9882000298</v>
      </c>
      <c r="U177" s="1">
        <f t="shared" ref="U177:W177" si="845">1/(1+EXP(-R177))</f>
        <v>0.9993651423</v>
      </c>
      <c r="V177" s="1">
        <f t="shared" si="845"/>
        <v>0.04810415646</v>
      </c>
      <c r="W177" s="1">
        <f t="shared" si="845"/>
        <v>0.728732248</v>
      </c>
      <c r="X177" s="1">
        <f t="shared" si="17"/>
        <v>72.99527909</v>
      </c>
      <c r="Y177" s="1">
        <f t="shared" si="18"/>
        <v>121.1038823</v>
      </c>
      <c r="Z177" s="3">
        <f t="shared" si="19"/>
        <v>69</v>
      </c>
      <c r="AA177" s="3">
        <f t="shared" si="20"/>
        <v>1</v>
      </c>
    </row>
    <row r="178" ht="15.75" customHeight="1">
      <c r="B178" s="1">
        <v>46.1</v>
      </c>
      <c r="C178" s="1">
        <v>-5.0</v>
      </c>
      <c r="D178" s="1">
        <v>-0.6</v>
      </c>
      <c r="E178" s="1">
        <v>8.0</v>
      </c>
      <c r="F178" s="1">
        <v>84.0</v>
      </c>
      <c r="G178" s="1">
        <f t="shared" ref="G178:I178" si="846">SUMPRODUCT($B178:$E178, INDEX($B$2:$E$4, G$10, 0))+ INDEX($F$2:$F$4,G$10,1)</f>
        <v>47.96462677</v>
      </c>
      <c r="H178" s="1">
        <f t="shared" si="846"/>
        <v>170.0136456</v>
      </c>
      <c r="I178" s="1">
        <f t="shared" si="846"/>
        <v>358.6454497</v>
      </c>
      <c r="J178" s="1">
        <f t="shared" ref="J178:L178" si="847">(G178-G$7)/(G$6-G$7)*2-1</f>
        <v>0.4777877142</v>
      </c>
      <c r="K178" s="1">
        <f t="shared" si="847"/>
        <v>0.3464629547</v>
      </c>
      <c r="L178" s="1">
        <f t="shared" si="847"/>
        <v>0.3931184614</v>
      </c>
      <c r="M178" s="1">
        <f t="shared" ref="M178:O178" si="848">1/(1+EXP(-J178))</f>
        <v>0.6172253398</v>
      </c>
      <c r="N178" s="1">
        <f t="shared" si="848"/>
        <v>0.5857595927</v>
      </c>
      <c r="O178" s="1">
        <f t="shared" si="848"/>
        <v>0.5970331794</v>
      </c>
      <c r="P178" s="1">
        <f t="shared" si="13"/>
        <v>77.28444661</v>
      </c>
      <c r="Q178" s="1">
        <f t="shared" si="14"/>
        <v>45.0986573</v>
      </c>
      <c r="R178" s="1">
        <f t="shared" ref="R178:T178" si="849">SUMPRODUCT($M178:$O178, INDEX($I$2:$K$4, R$10, 0))+ INDEX($L$2:$L$4, R$10,1)</f>
        <v>7.679336051</v>
      </c>
      <c r="S178" s="1">
        <f t="shared" si="849"/>
        <v>-2.932753694</v>
      </c>
      <c r="T178" s="1">
        <f t="shared" si="849"/>
        <v>1.750780355</v>
      </c>
      <c r="U178" s="1">
        <f t="shared" ref="U178:W178" si="850">1/(1+EXP(-R178))</f>
        <v>0.9995379319</v>
      </c>
      <c r="V178" s="1">
        <f t="shared" si="850"/>
        <v>0.05055797877</v>
      </c>
      <c r="W178" s="1">
        <f t="shared" si="850"/>
        <v>0.8520512006</v>
      </c>
      <c r="X178" s="1">
        <f t="shared" si="17"/>
        <v>80.00140259</v>
      </c>
      <c r="Y178" s="1">
        <f t="shared" si="18"/>
        <v>15.98878124</v>
      </c>
      <c r="Z178" s="3">
        <f t="shared" si="19"/>
        <v>84</v>
      </c>
      <c r="AA178" s="3">
        <f t="shared" si="20"/>
        <v>0</v>
      </c>
    </row>
    <row r="179" ht="15.75" customHeight="1">
      <c r="B179" s="1">
        <v>50.9</v>
      </c>
      <c r="C179" s="1">
        <v>-4.9</v>
      </c>
      <c r="D179" s="1">
        <v>-2.7</v>
      </c>
      <c r="E179" s="1">
        <v>8.0</v>
      </c>
      <c r="F179" s="1">
        <v>84.0</v>
      </c>
      <c r="G179" s="1">
        <f t="shared" ref="G179:I179" si="851">SUMPRODUCT($B179:$E179, INDEX($B$2:$E$4, G$10, 0))+ INDEX($F$2:$F$4,G$10,1)</f>
        <v>41.82733759</v>
      </c>
      <c r="H179" s="1">
        <f t="shared" si="851"/>
        <v>161.9094863</v>
      </c>
      <c r="I179" s="1">
        <f t="shared" si="851"/>
        <v>353.2577351</v>
      </c>
      <c r="J179" s="1">
        <f t="shared" ref="J179:L179" si="852">(G179-G$7)/(G$6-G$7)*2-1</f>
        <v>0.1467105901</v>
      </c>
      <c r="K179" s="1">
        <f t="shared" si="852"/>
        <v>0.2182777058</v>
      </c>
      <c r="L179" s="1">
        <f t="shared" si="852"/>
        <v>0.3537906371</v>
      </c>
      <c r="M179" s="1">
        <f t="shared" ref="M179:O179" si="853">1/(1+EXP(-J179))</f>
        <v>0.5366120014</v>
      </c>
      <c r="N179" s="1">
        <f t="shared" si="853"/>
        <v>0.5543537897</v>
      </c>
      <c r="O179" s="1">
        <f t="shared" si="853"/>
        <v>0.5875364957</v>
      </c>
      <c r="P179" s="1">
        <f t="shared" si="13"/>
        <v>74.77150656</v>
      </c>
      <c r="Q179" s="1">
        <f t="shared" si="14"/>
        <v>85.1650912</v>
      </c>
      <c r="R179" s="1">
        <f t="shared" ref="R179:T179" si="854">SUMPRODUCT($M179:$O179, INDEX($I$2:$K$4, R$10, 0))+ INDEX($L$2:$L$4, R$10,1)</f>
        <v>7.438264923</v>
      </c>
      <c r="S179" s="1">
        <f t="shared" si="854"/>
        <v>-2.972998721</v>
      </c>
      <c r="T179" s="1">
        <f t="shared" si="854"/>
        <v>1.161991559</v>
      </c>
      <c r="U179" s="1">
        <f t="shared" ref="U179:W179" si="855">1/(1+EXP(-R179))</f>
        <v>0.9994120408</v>
      </c>
      <c r="V179" s="1">
        <f t="shared" si="855"/>
        <v>0.04866071564</v>
      </c>
      <c r="W179" s="1">
        <f t="shared" si="855"/>
        <v>0.7616944032</v>
      </c>
      <c r="X179" s="1">
        <f t="shared" si="17"/>
        <v>74.86474984</v>
      </c>
      <c r="Y179" s="1">
        <f t="shared" si="18"/>
        <v>83.45279551</v>
      </c>
      <c r="Z179" s="3">
        <f t="shared" si="19"/>
        <v>84</v>
      </c>
      <c r="AA179" s="3">
        <f t="shared" si="20"/>
        <v>0</v>
      </c>
    </row>
    <row r="180" ht="15.75" customHeight="1">
      <c r="B180" s="1">
        <v>46.1</v>
      </c>
      <c r="C180" s="1">
        <v>-4.8</v>
      </c>
      <c r="D180" s="1">
        <v>-0.6</v>
      </c>
      <c r="E180" s="1">
        <v>7.0</v>
      </c>
      <c r="F180" s="1">
        <v>84.0</v>
      </c>
      <c r="G180" s="1">
        <f t="shared" ref="G180:I180" si="856">SUMPRODUCT($B180:$E180, INDEX($B$2:$E$4, G$10, 0))+ INDEX($F$2:$F$4,G$10,1)</f>
        <v>46.31066718</v>
      </c>
      <c r="H180" s="1">
        <f t="shared" si="856"/>
        <v>167.7253678</v>
      </c>
      <c r="I180" s="1">
        <f t="shared" si="856"/>
        <v>357.076187</v>
      </c>
      <c r="J180" s="1">
        <f t="shared" ref="J180:L180" si="857">(G180-G$7)/(G$6-G$7)*2-1</f>
        <v>0.3885645786</v>
      </c>
      <c r="K180" s="1">
        <f t="shared" si="857"/>
        <v>0.310268767</v>
      </c>
      <c r="L180" s="1">
        <f t="shared" si="857"/>
        <v>0.3816635698</v>
      </c>
      <c r="M180" s="1">
        <f t="shared" ref="M180:O180" si="858">1/(1+EXP(-J180))</f>
        <v>0.5959371031</v>
      </c>
      <c r="N180" s="1">
        <f t="shared" si="858"/>
        <v>0.5769508627</v>
      </c>
      <c r="O180" s="1">
        <f t="shared" si="858"/>
        <v>0.594274273</v>
      </c>
      <c r="P180" s="1">
        <f t="shared" si="13"/>
        <v>76.59248622</v>
      </c>
      <c r="Q180" s="1">
        <f t="shared" si="14"/>
        <v>54.87126047</v>
      </c>
      <c r="R180" s="1">
        <f t="shared" ref="R180:T180" si="859">SUMPRODUCT($M180:$O180, INDEX($I$2:$K$4, R$10, 0))+ INDEX($L$2:$L$4, R$10,1)</f>
        <v>7.614127551</v>
      </c>
      <c r="S180" s="1">
        <f t="shared" si="859"/>
        <v>-2.943630092</v>
      </c>
      <c r="T180" s="1">
        <f t="shared" si="859"/>
        <v>1.591524132</v>
      </c>
      <c r="U180" s="1">
        <f t="shared" ref="U180:W180" si="860">1/(1+EXP(-R180))</f>
        <v>0.9995068124</v>
      </c>
      <c r="V180" s="1">
        <f t="shared" si="860"/>
        <v>0.05003843613</v>
      </c>
      <c r="W180" s="1">
        <f t="shared" si="860"/>
        <v>0.8308304297</v>
      </c>
      <c r="X180" s="1">
        <f t="shared" si="17"/>
        <v>78.79261233</v>
      </c>
      <c r="Y180" s="1">
        <f t="shared" si="18"/>
        <v>27.11688639</v>
      </c>
      <c r="Z180" s="3">
        <f t="shared" si="19"/>
        <v>84</v>
      </c>
      <c r="AA180" s="3">
        <f t="shared" si="20"/>
        <v>0</v>
      </c>
    </row>
    <row r="181" ht="15.75" customHeight="1">
      <c r="B181" s="1">
        <v>60.4</v>
      </c>
      <c r="C181" s="1">
        <v>-5.4</v>
      </c>
      <c r="D181" s="1">
        <v>-2.4</v>
      </c>
      <c r="E181" s="1">
        <v>7.0</v>
      </c>
      <c r="F181" s="1">
        <v>84.0</v>
      </c>
      <c r="G181" s="1">
        <f t="shared" ref="G181:I181" si="861">SUMPRODUCT($B181:$E181, INDEX($B$2:$E$4, G$10, 0))+ INDEX($F$2:$F$4,G$10,1)</f>
        <v>48.87936236</v>
      </c>
      <c r="H181" s="1">
        <f t="shared" si="861"/>
        <v>194.8846769</v>
      </c>
      <c r="I181" s="1">
        <f t="shared" si="861"/>
        <v>430.693592</v>
      </c>
      <c r="J181" s="1">
        <f t="shared" ref="J181:L181" si="862">(G181-G$7)/(G$6-G$7)*2-1</f>
        <v>0.5271332832</v>
      </c>
      <c r="K181" s="1">
        <f t="shared" si="862"/>
        <v>0.7398534639</v>
      </c>
      <c r="L181" s="1">
        <f t="shared" si="862"/>
        <v>0.9190365726</v>
      </c>
      <c r="M181" s="1">
        <f t="shared" ref="M181:O181" si="863">1/(1+EXP(-J181))</f>
        <v>0.628814248</v>
      </c>
      <c r="N181" s="1">
        <f t="shared" si="863"/>
        <v>0.676963812</v>
      </c>
      <c r="O181" s="1">
        <f t="shared" si="863"/>
        <v>0.7148457601</v>
      </c>
      <c r="P181" s="1">
        <f t="shared" si="13"/>
        <v>86.2813283</v>
      </c>
      <c r="Q181" s="1">
        <f t="shared" si="14"/>
        <v>5.204458803</v>
      </c>
      <c r="R181" s="1">
        <f t="shared" ref="R181:T181" si="864">SUMPRODUCT($M181:$O181, INDEX($I$2:$K$4, R$10, 0))+ INDEX($L$2:$L$4, R$10,1)</f>
        <v>8.129249076</v>
      </c>
      <c r="S181" s="1">
        <f t="shared" si="864"/>
        <v>-2.860136933</v>
      </c>
      <c r="T181" s="1">
        <f t="shared" si="864"/>
        <v>2.823010051</v>
      </c>
      <c r="U181" s="1">
        <f t="shared" ref="U181:W181" si="865">1/(1+EXP(-R181))</f>
        <v>0.9997052974</v>
      </c>
      <c r="V181" s="1">
        <f t="shared" si="865"/>
        <v>0.05415968547</v>
      </c>
      <c r="W181" s="1">
        <f t="shared" si="865"/>
        <v>0.9439066523</v>
      </c>
      <c r="X181" s="1">
        <f t="shared" si="17"/>
        <v>85.27805994</v>
      </c>
      <c r="Y181" s="1">
        <f t="shared" si="18"/>
        <v>1.633437216</v>
      </c>
      <c r="Z181" s="3">
        <f t="shared" si="19"/>
        <v>84</v>
      </c>
      <c r="AA181" s="3">
        <f t="shared" si="20"/>
        <v>0</v>
      </c>
    </row>
    <row r="182" ht="15.75" customHeight="1">
      <c r="B182" s="1">
        <v>55.6</v>
      </c>
      <c r="C182" s="1">
        <v>-5.1</v>
      </c>
      <c r="D182" s="1">
        <v>-2.7</v>
      </c>
      <c r="E182" s="1">
        <v>7.0</v>
      </c>
      <c r="F182" s="1">
        <v>84.0</v>
      </c>
      <c r="G182" s="1">
        <f t="shared" ref="G182:I182" si="866">SUMPRODUCT($B182:$E182, INDEX($B$2:$E$4, G$10, 0))+ INDEX($F$2:$F$4,G$10,1)</f>
        <v>44.00750781</v>
      </c>
      <c r="H182" s="1">
        <f t="shared" si="866"/>
        <v>175.9102262</v>
      </c>
      <c r="I182" s="1">
        <f t="shared" si="866"/>
        <v>388.2042653</v>
      </c>
      <c r="J182" s="1">
        <f t="shared" ref="J182:L182" si="867">(G182-G$7)/(G$6-G$7)*2-1</f>
        <v>0.264320249</v>
      </c>
      <c r="K182" s="1">
        <f t="shared" si="867"/>
        <v>0.4397304521</v>
      </c>
      <c r="L182" s="1">
        <f t="shared" si="867"/>
        <v>0.608884142</v>
      </c>
      <c r="M182" s="1">
        <f t="shared" ref="M182:O182" si="868">1/(1+EXP(-J182))</f>
        <v>0.5656980066</v>
      </c>
      <c r="N182" s="1">
        <f t="shared" si="868"/>
        <v>0.608194801</v>
      </c>
      <c r="O182" s="1">
        <f t="shared" si="868"/>
        <v>0.6476862178</v>
      </c>
      <c r="P182" s="1">
        <f t="shared" si="13"/>
        <v>79.89309331</v>
      </c>
      <c r="Q182" s="1">
        <f t="shared" si="14"/>
        <v>16.86668259</v>
      </c>
      <c r="R182" s="1">
        <f t="shared" ref="R182:T182" si="869">SUMPRODUCT($M182:$O182, INDEX($I$2:$K$4, R$10, 0))+ INDEX($L$2:$L$4, R$10,1)</f>
        <v>7.728082808</v>
      </c>
      <c r="S182" s="1">
        <f t="shared" si="869"/>
        <v>-2.925833789</v>
      </c>
      <c r="T182" s="1">
        <f t="shared" si="869"/>
        <v>1.856908408</v>
      </c>
      <c r="U182" s="1">
        <f t="shared" ref="U182:W182" si="870">1/(1+EXP(-R182))</f>
        <v>0.9995599063</v>
      </c>
      <c r="V182" s="1">
        <f t="shared" si="870"/>
        <v>0.05089118209</v>
      </c>
      <c r="W182" s="1">
        <f t="shared" si="870"/>
        <v>0.8649361907</v>
      </c>
      <c r="X182" s="1">
        <f t="shared" si="17"/>
        <v>80.73598553</v>
      </c>
      <c r="Y182" s="1">
        <f t="shared" si="18"/>
        <v>10.65379044</v>
      </c>
      <c r="Z182" s="3">
        <f t="shared" si="19"/>
        <v>84</v>
      </c>
      <c r="AA182" s="3">
        <f t="shared" si="20"/>
        <v>0</v>
      </c>
    </row>
    <row r="183" ht="15.75" customHeight="1">
      <c r="A183" s="7" t="s">
        <v>39</v>
      </c>
      <c r="B183" s="8">
        <v>47.6</v>
      </c>
      <c r="C183" s="8">
        <v>-5.9</v>
      </c>
      <c r="D183" s="8">
        <v>-4.3</v>
      </c>
      <c r="E183" s="8">
        <v>6.0</v>
      </c>
      <c r="G183" s="1">
        <f t="shared" ref="G183:I183" si="871">SUMPRODUCT($B183:$E183, INDEX($B$2:$E$4, G$10, 0))+ INDEX($F$2:$F$4,G$10,1)</f>
        <v>33.6481534</v>
      </c>
      <c r="H183" s="1">
        <f t="shared" si="871"/>
        <v>140.6946876</v>
      </c>
      <c r="I183" s="1">
        <f t="shared" si="871"/>
        <v>302.2444252</v>
      </c>
      <c r="J183" s="1">
        <f t="shared" ref="J183:L183" si="872">(G183-G$7)/(G$6-G$7)*2-1</f>
        <v>-0.294516913</v>
      </c>
      <c r="K183" s="1">
        <f t="shared" si="872"/>
        <v>-0.1172813763</v>
      </c>
      <c r="L183" s="1">
        <f t="shared" si="872"/>
        <v>-0.01858292801</v>
      </c>
      <c r="M183" s="1">
        <f t="shared" ref="M183:O183" si="873">1/(1+EXP(-J183))</f>
        <v>0.4268984134</v>
      </c>
      <c r="N183" s="1">
        <f t="shared" si="873"/>
        <v>0.470713218</v>
      </c>
      <c r="O183" s="1">
        <f t="shared" si="873"/>
        <v>0.4953544017</v>
      </c>
      <c r="P183" s="1">
        <f t="shared" si="13"/>
        <v>66.01050237</v>
      </c>
      <c r="Q183" s="1">
        <f t="shared" si="14"/>
        <v>4357.386423</v>
      </c>
      <c r="R183" s="1">
        <f t="shared" ref="R183:T183" si="874">SUMPRODUCT($M183:$O183, INDEX($I$2:$K$4, R$10, 0))+ INDEX($L$2:$L$4, R$10,1)</f>
        <v>6.863477056</v>
      </c>
      <c r="S183" s="1">
        <f t="shared" si="874"/>
        <v>-3.067495757</v>
      </c>
      <c r="T183" s="1">
        <f t="shared" si="874"/>
        <v>-0.2210171824</v>
      </c>
      <c r="U183" s="1">
        <f t="shared" ref="U183:W183" si="875">1/(1+EXP(-R183))</f>
        <v>0.9989558183</v>
      </c>
      <c r="V183" s="1">
        <f t="shared" si="875"/>
        <v>0.04446811333</v>
      </c>
      <c r="W183" s="1">
        <f t="shared" si="875"/>
        <v>0.4449695356</v>
      </c>
      <c r="X183" s="1">
        <f t="shared" si="17"/>
        <v>56.93885109</v>
      </c>
      <c r="Z183" s="3">
        <f t="shared" si="19"/>
        <v>39</v>
      </c>
    </row>
    <row r="184" ht="15.75" customHeight="1">
      <c r="A184" s="9"/>
      <c r="B184" s="8">
        <v>38.1</v>
      </c>
      <c r="C184" s="8">
        <v>-3.8</v>
      </c>
      <c r="D184" s="8">
        <v>-1.8</v>
      </c>
      <c r="E184" s="8">
        <v>7.0</v>
      </c>
      <c r="G184" s="1">
        <f t="shared" ref="G184:I184" si="876">SUMPRODUCT($B184:$E184, INDEX($B$2:$E$4, G$10, 0))+ INDEX($F$2:$F$4,G$10,1)</f>
        <v>33.96421563</v>
      </c>
      <c r="H184" s="1">
        <f t="shared" si="876"/>
        <v>125.6738441</v>
      </c>
      <c r="I184" s="1">
        <f t="shared" si="876"/>
        <v>270.3907821</v>
      </c>
      <c r="J184" s="1">
        <f t="shared" ref="J184:L184" si="877">(G184-G$7)/(G$6-G$7)*2-1</f>
        <v>-0.2774668813</v>
      </c>
      <c r="K184" s="1">
        <f t="shared" si="877"/>
        <v>-0.3548693234</v>
      </c>
      <c r="L184" s="1">
        <f t="shared" si="877"/>
        <v>-0.2510997874</v>
      </c>
      <c r="M184" s="1">
        <f t="shared" ref="M184:O184" si="878">1/(1+EXP(-J184))</f>
        <v>0.431074913</v>
      </c>
      <c r="N184" s="1">
        <f t="shared" si="878"/>
        <v>0.412202123</v>
      </c>
      <c r="O184" s="1">
        <f t="shared" si="878"/>
        <v>0.4375528225</v>
      </c>
      <c r="P184" s="1">
        <f t="shared" si="13"/>
        <v>61.3214184</v>
      </c>
      <c r="Q184" s="1">
        <f t="shared" si="14"/>
        <v>3760.316355</v>
      </c>
      <c r="R184" s="1">
        <f t="shared" ref="R184:T184" si="879">SUMPRODUCT($M184:$O184, INDEX($I$2:$K$4, R$10, 0))+ INDEX($L$2:$L$4, R$10,1)</f>
        <v>6.634854951</v>
      </c>
      <c r="S184" s="1">
        <f t="shared" si="879"/>
        <v>-3.104195253</v>
      </c>
      <c r="T184" s="1">
        <f t="shared" si="879"/>
        <v>-0.7685829718</v>
      </c>
      <c r="U184" s="1">
        <f t="shared" ref="U184:W184" si="880">1/(1+EXP(-R184))</f>
        <v>0.9986879544</v>
      </c>
      <c r="V184" s="1">
        <f t="shared" si="880"/>
        <v>0.04293453619</v>
      </c>
      <c r="W184" s="1">
        <f t="shared" si="880"/>
        <v>0.3167857176</v>
      </c>
      <c r="X184" s="1">
        <f t="shared" si="17"/>
        <v>49.68800995</v>
      </c>
      <c r="Z184" s="3">
        <f t="shared" si="19"/>
        <v>39</v>
      </c>
    </row>
    <row r="185" ht="15.75" customHeight="1">
      <c r="A185" s="9"/>
      <c r="B185" s="8">
        <v>47.6</v>
      </c>
      <c r="C185" s="8">
        <v>-5.9</v>
      </c>
      <c r="D185" s="8">
        <v>-4.6</v>
      </c>
      <c r="E185" s="8">
        <v>5.0</v>
      </c>
      <c r="G185" s="1">
        <f t="shared" ref="G185:I185" si="881">SUMPRODUCT($B185:$E185, INDEX($B$2:$E$4, G$10, 0))+ INDEX($F$2:$F$4,G$10,1)</f>
        <v>31.28045979</v>
      </c>
      <c r="H185" s="1">
        <f t="shared" si="881"/>
        <v>136.6712647</v>
      </c>
      <c r="I185" s="1">
        <f t="shared" si="881"/>
        <v>295.9333954</v>
      </c>
      <c r="J185" s="1">
        <f t="shared" ref="J185:L185" si="882">(G185-G$7)/(G$6-G$7)*2-1</f>
        <v>-0.422242553</v>
      </c>
      <c r="K185" s="1">
        <f t="shared" si="882"/>
        <v>-0.1809207306</v>
      </c>
      <c r="L185" s="1">
        <f t="shared" si="882"/>
        <v>-0.06465052627</v>
      </c>
      <c r="M185" s="1">
        <f t="shared" ref="M185:O185" si="883">1/(1+EXP(-J185))</f>
        <v>0.3959802516</v>
      </c>
      <c r="N185" s="1">
        <f t="shared" si="883"/>
        <v>0.4548927889</v>
      </c>
      <c r="O185" s="1">
        <f t="shared" si="883"/>
        <v>0.4838429956</v>
      </c>
      <c r="P185" s="1">
        <f t="shared" si="13"/>
        <v>64.52488214</v>
      </c>
      <c r="Q185" s="1">
        <f t="shared" si="14"/>
        <v>4163.460415</v>
      </c>
      <c r="R185" s="1">
        <f t="shared" ref="R185:T185" si="884">SUMPRODUCT($M185:$O185, INDEX($I$2:$K$4, R$10, 0))+ INDEX($L$2:$L$4, R$10,1)</f>
        <v>6.747090953</v>
      </c>
      <c r="S185" s="1">
        <f t="shared" si="884"/>
        <v>-3.08678438</v>
      </c>
      <c r="T185" s="1">
        <f t="shared" si="884"/>
        <v>-0.5031645134</v>
      </c>
      <c r="U185" s="1">
        <f t="shared" ref="U185:W185" si="885">1/(1+EXP(-R185))</f>
        <v>0.9988270866</v>
      </c>
      <c r="V185" s="1">
        <f t="shared" si="885"/>
        <v>0.04365568986</v>
      </c>
      <c r="W185" s="1">
        <f t="shared" si="885"/>
        <v>0.3767972851</v>
      </c>
      <c r="X185" s="1">
        <f t="shared" si="17"/>
        <v>53.08292699</v>
      </c>
      <c r="Z185" s="3">
        <f t="shared" si="19"/>
        <v>39</v>
      </c>
    </row>
    <row r="186" ht="15.75" customHeight="1">
      <c r="A186" s="9"/>
      <c r="B186" s="8">
        <v>52.4</v>
      </c>
      <c r="C186" s="8">
        <v>-5.6</v>
      </c>
      <c r="D186" s="8">
        <v>-3.7</v>
      </c>
      <c r="E186" s="8">
        <v>5.0</v>
      </c>
      <c r="G186" s="1">
        <f t="shared" ref="G186:I186" si="886">SUMPRODUCT($B186:$E186, INDEX($B$2:$E$4, G$10, 0))+ INDEX($F$2:$F$4,G$10,1)</f>
        <v>37.0498552</v>
      </c>
      <c r="H186" s="1">
        <f t="shared" si="886"/>
        <v>157.7962606</v>
      </c>
      <c r="I186" s="1">
        <f t="shared" si="886"/>
        <v>346.911966</v>
      </c>
      <c r="J186" s="1">
        <f t="shared" ref="J186:L186" si="887">(G186-G$7)/(G$6-G$7)*2-1</f>
        <v>-0.1110115222</v>
      </c>
      <c r="K186" s="1">
        <f t="shared" si="887"/>
        <v>0.1532179213</v>
      </c>
      <c r="L186" s="1">
        <f t="shared" si="887"/>
        <v>0.3074694576</v>
      </c>
      <c r="M186" s="1">
        <f t="shared" ref="M186:O186" si="888">1/(1+EXP(-J186))</f>
        <v>0.4722755856</v>
      </c>
      <c r="N186" s="1">
        <f t="shared" si="888"/>
        <v>0.5382297204</v>
      </c>
      <c r="O186" s="1">
        <f t="shared" si="888"/>
        <v>0.5762674646</v>
      </c>
      <c r="P186" s="1">
        <f t="shared" si="13"/>
        <v>72.83878503</v>
      </c>
      <c r="Q186" s="1">
        <f t="shared" si="14"/>
        <v>5305.488604</v>
      </c>
      <c r="R186" s="1">
        <f t="shared" ref="R186:T186" si="889">SUMPRODUCT($M186:$O186, INDEX($I$2:$K$4, R$10, 0))+ INDEX($L$2:$L$4, R$10,1)</f>
        <v>7.255912113</v>
      </c>
      <c r="S186" s="1">
        <f t="shared" si="889"/>
        <v>-3.003515288</v>
      </c>
      <c r="T186" s="1">
        <f t="shared" si="889"/>
        <v>0.7192145962</v>
      </c>
      <c r="U186" s="1">
        <f t="shared" ref="U186:W186" si="890">1/(1+EXP(-R186))</f>
        <v>0.9992945099</v>
      </c>
      <c r="V186" s="1">
        <f t="shared" si="890"/>
        <v>0.04726731663</v>
      </c>
      <c r="W186" s="1">
        <f t="shared" si="890"/>
        <v>0.6724340424</v>
      </c>
      <c r="X186" s="1">
        <f t="shared" si="17"/>
        <v>69.80611477</v>
      </c>
      <c r="Z186" s="3">
        <f t="shared" si="19"/>
        <v>69</v>
      </c>
    </row>
    <row r="187" ht="15.75" customHeight="1">
      <c r="A187" s="9"/>
      <c r="B187" s="8">
        <v>47.6</v>
      </c>
      <c r="C187" s="8">
        <v>-6.4</v>
      </c>
      <c r="D187" s="8">
        <v>-2.5</v>
      </c>
      <c r="E187" s="8">
        <v>7.0</v>
      </c>
      <c r="G187" s="1">
        <f t="shared" ref="G187:I187" si="891">SUMPRODUCT($B187:$E187, INDEX($B$2:$E$4, G$10, 0))+ INDEX($F$2:$F$4,G$10,1)</f>
        <v>43.55897078</v>
      </c>
      <c r="H187" s="1">
        <f t="shared" si="891"/>
        <v>163.291923</v>
      </c>
      <c r="I187" s="1">
        <f t="shared" si="891"/>
        <v>339.7214688</v>
      </c>
      <c r="J187" s="1">
        <f t="shared" ref="J187:L187" si="892">(G187-G$7)/(G$6-G$7)*2-1</f>
        <v>0.2401238413</v>
      </c>
      <c r="K187" s="1">
        <f t="shared" si="892"/>
        <v>0.2401440069</v>
      </c>
      <c r="L187" s="1">
        <f t="shared" si="892"/>
        <v>0.2549821547</v>
      </c>
      <c r="M187" s="1">
        <f t="shared" ref="M187:O187" si="893">1/(1+EXP(-J187))</f>
        <v>0.5597441678</v>
      </c>
      <c r="N187" s="1">
        <f t="shared" si="893"/>
        <v>0.5597491372</v>
      </c>
      <c r="O187" s="1">
        <f t="shared" si="893"/>
        <v>0.5634023967</v>
      </c>
      <c r="P187" s="1">
        <f t="shared" si="13"/>
        <v>73.98627523</v>
      </c>
      <c r="Q187" s="1">
        <f t="shared" si="14"/>
        <v>5473.968922</v>
      </c>
      <c r="R187" s="1">
        <f t="shared" ref="R187:T187" si="894">SUMPRODUCT($M187:$O187, INDEX($I$2:$K$4, R$10, 0))+ INDEX($L$2:$L$4, R$10,1)</f>
        <v>7.444173552</v>
      </c>
      <c r="S187" s="1">
        <f t="shared" si="894"/>
        <v>-2.971651906</v>
      </c>
      <c r="T187" s="1">
        <f t="shared" si="894"/>
        <v>1.185025117</v>
      </c>
      <c r="U187" s="1">
        <f t="shared" ref="U187:W187" si="895">1/(1+EXP(-R187))</f>
        <v>0.9994155026</v>
      </c>
      <c r="V187" s="1">
        <f t="shared" si="895"/>
        <v>0.04872310146</v>
      </c>
      <c r="W187" s="1">
        <f t="shared" si="895"/>
        <v>0.7658501299</v>
      </c>
      <c r="X187" s="1">
        <f t="shared" si="17"/>
        <v>75.10015636</v>
      </c>
      <c r="Z187" s="3">
        <f t="shared" si="19"/>
        <v>84</v>
      </c>
    </row>
    <row r="188" ht="15.75" customHeight="1">
      <c r="A188" s="9"/>
      <c r="B188" s="8">
        <v>52.4</v>
      </c>
      <c r="C188" s="8">
        <v>-5.8</v>
      </c>
      <c r="D188" s="8">
        <v>-3.6</v>
      </c>
      <c r="E188" s="8">
        <v>8.0</v>
      </c>
      <c r="G188" s="1">
        <f t="shared" ref="G188:I188" si="896">SUMPRODUCT($B188:$E188, INDEX($B$2:$E$4, G$10, 0))+ INDEX($F$2:$F$4,G$10,1)</f>
        <v>41.36643337</v>
      </c>
      <c r="H188" s="1">
        <f t="shared" si="896"/>
        <v>163.0399009</v>
      </c>
      <c r="I188" s="1">
        <f t="shared" si="896"/>
        <v>351.5431923</v>
      </c>
      <c r="J188" s="1">
        <f t="shared" ref="J188:L188" si="897">(G188-G$7)/(G$6-G$7)*2-1</f>
        <v>0.1218470323</v>
      </c>
      <c r="K188" s="1">
        <f t="shared" si="897"/>
        <v>0.2361577186</v>
      </c>
      <c r="L188" s="1">
        <f t="shared" si="897"/>
        <v>0.3412752676</v>
      </c>
      <c r="M188" s="1">
        <f t="shared" ref="M188:O188" si="898">1/(1+EXP(-J188))</f>
        <v>0.5304241259</v>
      </c>
      <c r="N188" s="1">
        <f t="shared" si="898"/>
        <v>0.5587665633</v>
      </c>
      <c r="O188" s="1">
        <f t="shared" si="898"/>
        <v>0.5845002674</v>
      </c>
      <c r="P188" s="1">
        <f t="shared" si="13"/>
        <v>74.66069994</v>
      </c>
      <c r="Q188" s="1">
        <f t="shared" si="14"/>
        <v>5574.220116</v>
      </c>
      <c r="R188" s="1">
        <f t="shared" ref="R188:T188" si="899">SUMPRODUCT($M188:$O188, INDEX($I$2:$K$4, R$10, 0))+ INDEX($L$2:$L$4, R$10,1)</f>
        <v>7.428487753</v>
      </c>
      <c r="S188" s="1">
        <f t="shared" si="899"/>
        <v>-2.974693451</v>
      </c>
      <c r="T188" s="1">
        <f t="shared" si="899"/>
        <v>1.139922269</v>
      </c>
      <c r="U188" s="1">
        <f t="shared" ref="U188:W188" si="900">1/(1+EXP(-R188))</f>
        <v>0.9994062675</v>
      </c>
      <c r="V188" s="1">
        <f t="shared" si="900"/>
        <v>0.04858232174</v>
      </c>
      <c r="W188" s="1">
        <f t="shared" si="900"/>
        <v>0.7576653672</v>
      </c>
      <c r="X188" s="1">
        <f t="shared" si="17"/>
        <v>74.63590379</v>
      </c>
      <c r="Z188" s="3">
        <f t="shared" si="19"/>
        <v>84</v>
      </c>
    </row>
    <row r="189" ht="15.75" customHeight="1">
      <c r="A189" s="9"/>
      <c r="B189" s="8">
        <v>57.6</v>
      </c>
      <c r="C189" s="8">
        <v>-6.4</v>
      </c>
      <c r="D189" s="8">
        <v>-1.5</v>
      </c>
      <c r="E189" s="8">
        <v>8.0</v>
      </c>
      <c r="G189" s="1">
        <f t="shared" ref="G189:I189" si="901">SUMPRODUCT($B189:$E189, INDEX($B$2:$E$4, G$10, 0))+ INDEX($F$2:$F$4,G$10,1)</f>
        <v>54.73125426</v>
      </c>
      <c r="H189" s="1">
        <f t="shared" si="901"/>
        <v>203.4849711</v>
      </c>
      <c r="I189" s="1">
        <f t="shared" si="901"/>
        <v>432.8787862</v>
      </c>
      <c r="J189" s="1">
        <f t="shared" ref="J189:L189" si="902">(G189-G$7)/(G$6-G$7)*2-1</f>
        <v>0.8428146017</v>
      </c>
      <c r="K189" s="1">
        <f t="shared" si="902"/>
        <v>0.8758861853</v>
      </c>
      <c r="L189" s="1">
        <f t="shared" si="902"/>
        <v>0.9349874789</v>
      </c>
      <c r="M189" s="1">
        <f t="shared" ref="M189:O189" si="903">1/(1+EXP(-J189))</f>
        <v>0.6990576723</v>
      </c>
      <c r="N189" s="1">
        <f t="shared" si="903"/>
        <v>0.7059690129</v>
      </c>
      <c r="O189" s="1">
        <f t="shared" si="903"/>
        <v>0.7180860404</v>
      </c>
      <c r="P189" s="1">
        <f t="shared" si="13"/>
        <v>88.25734163</v>
      </c>
      <c r="Q189" s="1">
        <f t="shared" si="14"/>
        <v>7789.358352</v>
      </c>
      <c r="R189" s="1">
        <f t="shared" ref="R189:T189" si="904">SUMPRODUCT($M189:$O189, INDEX($I$2:$K$4, R$10, 0))+ INDEX($L$2:$L$4, R$10,1)</f>
        <v>8.33205004</v>
      </c>
      <c r="S189" s="1">
        <f t="shared" si="904"/>
        <v>-2.826243624</v>
      </c>
      <c r="T189" s="1">
        <f t="shared" si="904"/>
        <v>3.320288851</v>
      </c>
      <c r="U189" s="1">
        <f t="shared" ref="U189:W189" si="905">1/(1+EXP(-R189))</f>
        <v>0.9997593798</v>
      </c>
      <c r="V189" s="1">
        <f t="shared" si="905"/>
        <v>0.05592238556</v>
      </c>
      <c r="W189" s="1">
        <f t="shared" si="905"/>
        <v>0.9651183169</v>
      </c>
      <c r="X189" s="1">
        <f t="shared" si="17"/>
        <v>86.52697326</v>
      </c>
      <c r="Z189" s="3">
        <f t="shared" si="19"/>
        <v>84</v>
      </c>
    </row>
    <row r="190" ht="15.75" customHeight="1">
      <c r="A190" s="10"/>
      <c r="B190" s="8">
        <v>42.9</v>
      </c>
      <c r="C190" s="8">
        <v>-3.3</v>
      </c>
      <c r="D190" s="8">
        <v>-2.4</v>
      </c>
      <c r="E190" s="8">
        <v>6.0</v>
      </c>
      <c r="G190" s="1">
        <f t="shared" ref="G190:I190" si="906">SUMPRODUCT($B190:$E190, INDEX($B$2:$E$4, G$10, 0))+ INDEX($F$2:$F$4,G$10,1)</f>
        <v>31.86134557</v>
      </c>
      <c r="H190" s="1">
        <f t="shared" si="906"/>
        <v>129.2361121</v>
      </c>
      <c r="I190" s="1">
        <f t="shared" si="906"/>
        <v>291.1198023</v>
      </c>
      <c r="J190" s="1">
        <f t="shared" ref="J190:L190" si="907">(G190-G$7)/(G$6-G$7)*2-1</f>
        <v>-0.3909065696</v>
      </c>
      <c r="K190" s="1">
        <f t="shared" si="907"/>
        <v>-0.2985241561</v>
      </c>
      <c r="L190" s="1">
        <f t="shared" si="907"/>
        <v>-0.09978752924</v>
      </c>
      <c r="M190" s="1">
        <f t="shared" ref="M190:O190" si="908">1/(1+EXP(-J190))</f>
        <v>0.4034990816</v>
      </c>
      <c r="N190" s="1">
        <f t="shared" si="908"/>
        <v>0.4259183051</v>
      </c>
      <c r="O190" s="1">
        <f t="shared" si="908"/>
        <v>0.4750737979</v>
      </c>
      <c r="P190" s="1">
        <f t="shared" si="13"/>
        <v>63.3105856</v>
      </c>
      <c r="Q190" s="1">
        <f t="shared" si="14"/>
        <v>4008.230249</v>
      </c>
      <c r="R190" s="1">
        <f t="shared" ref="R190:T190" si="909">SUMPRODUCT($M190:$O190, INDEX($I$2:$K$4, R$10, 0))+ INDEX($L$2:$L$4, R$10,1)</f>
        <v>6.686081065</v>
      </c>
      <c r="S190" s="1">
        <f t="shared" si="909"/>
        <v>-3.096439029</v>
      </c>
      <c r="T190" s="1">
        <f t="shared" si="909"/>
        <v>-0.6536778408</v>
      </c>
      <c r="U190" s="1">
        <f t="shared" ref="U190:W190" si="910">1/(1+EXP(-R190))</f>
        <v>0.9987533913</v>
      </c>
      <c r="V190" s="1">
        <f t="shared" si="910"/>
        <v>0.04325438072</v>
      </c>
      <c r="W190" s="1">
        <f t="shared" si="910"/>
        <v>0.3421612236</v>
      </c>
      <c r="X190" s="1">
        <f t="shared" si="17"/>
        <v>51.1241092</v>
      </c>
      <c r="Z190" s="3">
        <f t="shared" si="19"/>
        <v>39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G9:I9"/>
    <mergeCell ref="J9:L9"/>
    <mergeCell ref="M9:O9"/>
    <mergeCell ref="R9:T9"/>
    <mergeCell ref="U9:W9"/>
    <mergeCell ref="A183:A19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