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1" sheetId="1" r:id="rId4"/>
    <sheet state="visible" name="k2" sheetId="2" r:id="rId5"/>
    <sheet state="visible" name="k3" sheetId="3" r:id="rId6"/>
    <sheet state="visible" name="k4" sheetId="4" r:id="rId7"/>
    <sheet state="visible" name="k5" sheetId="5" r:id="rId8"/>
    <sheet state="visible" name="k6" sheetId="6" r:id="rId9"/>
  </sheets>
  <definedNames/>
  <calcPr/>
  <extLst>
    <ext uri="GoogleSheetsCustomDataVersion2">
      <go:sheetsCustomData xmlns:go="http://customooxmlschemas.google.com/" r:id="rId10" roundtripDataChecksum="e7r8wQi5RP8UHeAyBJtpQmzmnkPtK72m7mtqXpIqo2U="/>
    </ext>
  </extLst>
</workbook>
</file>

<file path=xl/sharedStrings.xml><?xml version="1.0" encoding="utf-8"?>
<sst xmlns="http://schemas.openxmlformats.org/spreadsheetml/2006/main" count="422" uniqueCount="70">
  <si>
    <t>Średnia</t>
  </si>
  <si>
    <t>Odległości</t>
  </si>
  <si>
    <t>Obiekt</t>
  </si>
  <si>
    <t>Zabójstwa</t>
  </si>
  <si>
    <t>Napady</t>
  </si>
  <si>
    <t>Ludność miejska</t>
  </si>
  <si>
    <t>Gwałty</t>
  </si>
  <si>
    <t>Skupienie</t>
  </si>
  <si>
    <t>S1</t>
  </si>
  <si>
    <t>S2</t>
  </si>
  <si>
    <t>S3</t>
  </si>
  <si>
    <t>S4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</si>
  <si>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</si>
  <si>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</si>
  <si>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</si>
  <si>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</si>
  <si>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</si>
  <si>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</si>
  <si>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</si>
  <si>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</si>
  <si>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</si>
  <si>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</si>
  <si>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</si>
  <si>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</si>
  <si>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</si>
  <si>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</si>
  <si>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</si>
  <si>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</si>
  <si>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</si>
  <si>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</si>
  <si>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</si>
  <si>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</si>
  <si>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</si>
  <si>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</si>
  <si>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</si>
  <si>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</si>
  <si>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</si>
  <si>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</si>
  <si>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</si>
  <si>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</si>
  <si>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</si>
  <si>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</si>
  <si>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</si>
  <si>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</si>
  <si>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</si>
  <si>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</si>
  <si>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</si>
  <si>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</si>
  <si>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</si>
  <si>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</si>
  <si>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</si>
  <si>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</si>
  <si>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</si>
  <si>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</si>
  <si>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</si>
  <si>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</si>
  <si>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</si>
  <si>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</si>
  <si>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</si>
  <si>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</si>
  <si>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</si>
  <si>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</si>
  <si>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k1</t>
  </si>
  <si>
    <t xml:space="preserve">Dawne skupienie </t>
  </si>
  <si>
    <t>różnica</t>
  </si>
  <si>
    <t>Konwergencja</t>
  </si>
  <si>
    <t>k2</t>
  </si>
  <si>
    <t>k3</t>
  </si>
  <si>
    <t>k4</t>
  </si>
  <si>
    <t>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</si>
</sst>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8.71"/>
    <col customWidth="1" min="4" max="4" width="15.57"/>
    <col customWidth="1" min="5" max="6" width="8.71"/>
    <col customWidth="1" min="7" max="7" width="15.57"/>
    <col customWidth="1" min="8" max="15" width="8.71"/>
    <col customWidth="1" min="16" max="16" width="11.29"/>
    <col customWidth="1" min="17" max="17" width="10.0"/>
    <col customWidth="1" min="18" max="26" width="8.71"/>
  </cols>
  <sheetData>
    <row r="1">
      <c r="G1" s="1" t="s">
        <v>0</v>
      </c>
      <c r="M1" s="2" t="s">
        <v>1</v>
      </c>
      <c r="Q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M2" s="3" t="str">
        <f t="shared" ref="M2:P2" si="1">H2</f>
        <v>S1</v>
      </c>
      <c r="N2" s="3" t="str">
        <f t="shared" si="1"/>
        <v>S2</v>
      </c>
      <c r="O2" s="3" t="str">
        <f t="shared" si="1"/>
        <v>S3</v>
      </c>
      <c r="P2" s="3" t="str">
        <f t="shared" si="1"/>
        <v>S4</v>
      </c>
      <c r="Q2" s="4" t="s">
        <v>7</v>
      </c>
    </row>
    <row r="3">
      <c r="A3" s="3" t="s">
        <v>12</v>
      </c>
      <c r="B3" s="3">
        <v>12.0</v>
      </c>
      <c r="C3" s="3">
        <v>193.0</v>
      </c>
      <c r="D3" s="3">
        <v>51.0</v>
      </c>
      <c r="E3" s="3">
        <v>21.0</v>
      </c>
      <c r="G3" s="3" t="s">
        <v>3</v>
      </c>
      <c r="H3" s="3">
        <v>2.3</v>
      </c>
      <c r="I3" s="3">
        <v>5.6</v>
      </c>
      <c r="J3" s="3">
        <v>11.0</v>
      </c>
      <c r="K3" s="3">
        <v>15.0</v>
      </c>
      <c r="M3" s="3">
        <f t="shared" ref="M3:P3" si="2">SQRT(($B3-H$3)^2+($C3-H$4)^2+($D3-H$5)^2+($E3-H$6)^2)</f>
        <v>183.2711107</v>
      </c>
      <c r="N3" s="3">
        <f t="shared" si="2"/>
        <v>143.9547151</v>
      </c>
      <c r="O3" s="3">
        <f t="shared" si="2"/>
        <v>93.0967239</v>
      </c>
      <c r="P3" s="3">
        <f t="shared" si="2"/>
        <v>35.4964787</v>
      </c>
      <c r="Q3" s="3" t="str">
        <f t="shared" ref="Q3:Q53" si="4">INDEX($M$2:$P$2,1,MATCH(MIN(M3:P3),M3:P3,0))</f>
        <v>S4</v>
      </c>
    </row>
    <row r="4">
      <c r="A4" s="3" t="s">
        <v>13</v>
      </c>
      <c r="B4" s="3">
        <v>9.0</v>
      </c>
      <c r="C4" s="3">
        <v>222.0</v>
      </c>
      <c r="D4" s="3">
        <v>39.0</v>
      </c>
      <c r="E4" s="3">
        <v>42.0</v>
      </c>
      <c r="G4" s="3" t="s">
        <v>4</v>
      </c>
      <c r="H4" s="3">
        <v>15.0</v>
      </c>
      <c r="I4" s="3">
        <v>53.0</v>
      </c>
      <c r="J4" s="3">
        <v>100.0</v>
      </c>
      <c r="K4" s="3">
        <v>200.0</v>
      </c>
      <c r="M4" s="3">
        <f t="shared" ref="M4:P4" si="3">SQRT(($B4-H$3)^2+($C4-H$4)^2+($D4-H$5)^2+($E4-H$6)^2)</f>
        <v>211.5767</v>
      </c>
      <c r="N4" s="3">
        <f t="shared" si="3"/>
        <v>173.0825237</v>
      </c>
      <c r="O4" s="3">
        <f t="shared" si="3"/>
        <v>123.685084</v>
      </c>
      <c r="P4" s="3">
        <f t="shared" si="3"/>
        <v>46.95742753</v>
      </c>
      <c r="Q4" s="3" t="str">
        <f t="shared" si="4"/>
        <v>S4</v>
      </c>
    </row>
    <row r="5">
      <c r="A5" s="3" t="s">
        <v>14</v>
      </c>
      <c r="B5" s="3">
        <v>6.0</v>
      </c>
      <c r="C5" s="3">
        <v>226.0</v>
      </c>
      <c r="D5" s="3">
        <v>72.0</v>
      </c>
      <c r="E5" s="3">
        <v>30.0</v>
      </c>
      <c r="G5" s="3" t="s">
        <v>5</v>
      </c>
      <c r="H5" s="3">
        <v>9.9</v>
      </c>
      <c r="I5" s="3">
        <v>20.0</v>
      </c>
      <c r="J5" s="3">
        <v>50.0</v>
      </c>
      <c r="K5" s="3">
        <v>80.0</v>
      </c>
      <c r="M5" s="3">
        <f t="shared" ref="M5:P5" si="5">SQRT(($B5-H$3)^2+($C5-H$4)^2+($D5-H$5)^2+($E5-H$6)^2)</f>
        <v>220.8870752</v>
      </c>
      <c r="N5" s="3">
        <f t="shared" si="5"/>
        <v>181.7502682</v>
      </c>
      <c r="O5" s="3">
        <f t="shared" si="5"/>
        <v>128.1015222</v>
      </c>
      <c r="P5" s="3">
        <f t="shared" si="5"/>
        <v>30.34798181</v>
      </c>
      <c r="Q5" s="3" t="str">
        <f t="shared" si="4"/>
        <v>S4</v>
      </c>
    </row>
    <row r="6">
      <c r="A6" s="3" t="s">
        <v>15</v>
      </c>
      <c r="B6" s="3">
        <v>8.0</v>
      </c>
      <c r="C6" s="3">
        <v>177.0</v>
      </c>
      <c r="D6" s="3">
        <v>50.0</v>
      </c>
      <c r="E6" s="3">
        <v>17.0</v>
      </c>
      <c r="G6" s="3" t="s">
        <v>6</v>
      </c>
      <c r="H6" s="3">
        <v>10.0</v>
      </c>
      <c r="I6" s="3">
        <v>10.0</v>
      </c>
      <c r="J6" s="3">
        <v>25.0</v>
      </c>
      <c r="K6" s="3">
        <v>40.0</v>
      </c>
      <c r="M6" s="3">
        <f t="shared" ref="M6:P6" si="6">SQRT(($B6-H$3)^2+($C6-H$4)^2+($D6-H$5)^2+($E6-H$6)^2)</f>
        <v>167.1331804</v>
      </c>
      <c r="N6" s="3">
        <f t="shared" si="6"/>
        <v>127.791862</v>
      </c>
      <c r="O6" s="3">
        <f t="shared" si="6"/>
        <v>77.47257579</v>
      </c>
      <c r="P6" s="3">
        <f t="shared" si="6"/>
        <v>44.79955357</v>
      </c>
      <c r="Q6" s="3" t="str">
        <f t="shared" si="4"/>
        <v>S4</v>
      </c>
    </row>
    <row r="7">
      <c r="A7" s="3" t="s">
        <v>16</v>
      </c>
      <c r="B7" s="3">
        <v>7.0</v>
      </c>
      <c r="C7" s="3">
        <v>235.0</v>
      </c>
      <c r="D7" s="3">
        <v>86.0</v>
      </c>
      <c r="E7" s="3">
        <v>39.0</v>
      </c>
      <c r="M7" s="3">
        <f t="shared" ref="M7:P7" si="7">SQRT(($B7-H$3)^2+($C7-H$4)^2+($D7-H$5)^2+($E7-H$6)^2)</f>
        <v>234.6365274</v>
      </c>
      <c r="N7" s="3">
        <f t="shared" si="7"/>
        <v>195.7625092</v>
      </c>
      <c r="O7" s="3">
        <f t="shared" si="7"/>
        <v>140.4741969</v>
      </c>
      <c r="P7" s="3">
        <f t="shared" si="7"/>
        <v>36.41428291</v>
      </c>
      <c r="Q7" s="3" t="str">
        <f t="shared" si="4"/>
        <v>S4</v>
      </c>
    </row>
    <row r="8">
      <c r="A8" s="3" t="s">
        <v>17</v>
      </c>
      <c r="B8" s="3">
        <v>5.0</v>
      </c>
      <c r="C8" s="3">
        <v>170.0</v>
      </c>
      <c r="D8" s="3">
        <v>78.0</v>
      </c>
      <c r="E8" s="3">
        <v>37.0</v>
      </c>
      <c r="M8" s="3">
        <f t="shared" ref="M8:P8" si="8">SQRT(($B8-H$3)^2+($C8-H$4)^2+($D8-H$5)^2+($E8-H$6)^2)</f>
        <v>171.4610743</v>
      </c>
      <c r="N8" s="3">
        <f t="shared" si="8"/>
        <v>133.3505156</v>
      </c>
      <c r="O8" s="3">
        <f t="shared" si="8"/>
        <v>76.57675888</v>
      </c>
      <c r="P8" s="3">
        <f t="shared" si="8"/>
        <v>31.82766093</v>
      </c>
      <c r="Q8" s="3" t="str">
        <f t="shared" si="4"/>
        <v>S4</v>
      </c>
    </row>
    <row r="9">
      <c r="A9" s="3" t="s">
        <v>18</v>
      </c>
      <c r="B9" s="3">
        <v>0.0</v>
      </c>
      <c r="C9" s="3">
        <v>35.0</v>
      </c>
      <c r="D9" s="3">
        <v>75.0</v>
      </c>
      <c r="E9" s="3">
        <v>7.0</v>
      </c>
      <c r="M9" s="3">
        <f t="shared" ref="M9:P9" si="9">SQRT(($B9-H$3)^2+($C9-H$4)^2+($D9-H$5)^2+($E9-H$6)^2)</f>
        <v>68.20777082</v>
      </c>
      <c r="N9" s="3">
        <f t="shared" si="9"/>
        <v>58.21821021</v>
      </c>
      <c r="O9" s="3">
        <f t="shared" si="9"/>
        <v>72.76675065</v>
      </c>
      <c r="P9" s="3">
        <f t="shared" si="9"/>
        <v>169.0088755</v>
      </c>
      <c r="Q9" s="3" t="str">
        <f t="shared" si="4"/>
        <v>S2</v>
      </c>
    </row>
    <row r="10">
      <c r="A10" s="3" t="s">
        <v>19</v>
      </c>
      <c r="B10" s="3">
        <v>4.0</v>
      </c>
      <c r="C10" s="3">
        <v>198.0</v>
      </c>
      <c r="D10" s="3">
        <v>70.0</v>
      </c>
      <c r="E10" s="3">
        <v>15.0</v>
      </c>
      <c r="M10" s="3">
        <f t="shared" ref="M10:P10" si="10">SQRT(($B10-H$3)^2+($C10-H$4)^2+($D10-H$5)^2+($E10-H$6)^2)</f>
        <v>192.6886089</v>
      </c>
      <c r="N10" s="3">
        <f t="shared" si="10"/>
        <v>153.4684332</v>
      </c>
      <c r="O10" s="3">
        <f t="shared" si="10"/>
        <v>100.762096</v>
      </c>
      <c r="P10" s="3">
        <f t="shared" si="10"/>
        <v>29.15475947</v>
      </c>
      <c r="Q10" s="3" t="str">
        <f t="shared" si="4"/>
        <v>S4</v>
      </c>
    </row>
    <row r="11">
      <c r="A11" s="3" t="s">
        <v>20</v>
      </c>
      <c r="B11" s="3">
        <v>13.0</v>
      </c>
      <c r="C11" s="3">
        <v>259.0</v>
      </c>
      <c r="D11" s="3">
        <v>74.0</v>
      </c>
      <c r="E11" s="3">
        <v>30.0</v>
      </c>
      <c r="M11" s="3">
        <f t="shared" ref="M11:P11" si="11">SQRT(($B11-H$3)^2+($C11-H$4)^2+($D11-H$5)^2+($E11-H$6)^2)</f>
        <v>253.2968614</v>
      </c>
      <c r="N11" s="3">
        <f t="shared" si="11"/>
        <v>214.0251387</v>
      </c>
      <c r="O11" s="3">
        <f t="shared" si="11"/>
        <v>160.8912676</v>
      </c>
      <c r="P11" s="3">
        <f t="shared" si="11"/>
        <v>60.17474553</v>
      </c>
      <c r="Q11" s="3" t="str">
        <f t="shared" si="4"/>
        <v>S4</v>
      </c>
    </row>
    <row r="12">
      <c r="A12" s="3" t="s">
        <v>21</v>
      </c>
      <c r="B12" s="3">
        <v>15.0</v>
      </c>
      <c r="C12" s="3">
        <v>136.0</v>
      </c>
      <c r="D12" s="3">
        <v>52.0</v>
      </c>
      <c r="E12" s="3">
        <v>24.0</v>
      </c>
      <c r="M12" s="3">
        <f t="shared" ref="M12:P12" si="12">SQRT(($B12-H$3)^2+($C12-H$4)^2+($D12-H$5)^2+($E12-H$6)^2)</f>
        <v>129.5017374</v>
      </c>
      <c r="N12" s="3">
        <f t="shared" si="12"/>
        <v>90.53927325</v>
      </c>
      <c r="O12" s="3">
        <f t="shared" si="12"/>
        <v>36.29049462</v>
      </c>
      <c r="P12" s="3">
        <f t="shared" si="12"/>
        <v>71.66589147</v>
      </c>
      <c r="Q12" s="3" t="str">
        <f t="shared" si="4"/>
        <v>S3</v>
      </c>
    </row>
    <row r="13">
      <c r="A13" s="3" t="s">
        <v>22</v>
      </c>
      <c r="B13" s="3">
        <v>5.0</v>
      </c>
      <c r="C13" s="3">
        <v>32.0</v>
      </c>
      <c r="D13" s="3">
        <v>82.0</v>
      </c>
      <c r="E13" s="3">
        <v>17.0</v>
      </c>
      <c r="M13" s="3">
        <f t="shared" ref="M13:P13" si="13">SQRT(($B13-H$3)^2+($C13-H$4)^2+($D13-H$5)^2+($E13-H$6)^2)</f>
        <v>74.45602729</v>
      </c>
      <c r="N13" s="3">
        <f t="shared" si="13"/>
        <v>65.83585649</v>
      </c>
      <c r="O13" s="3">
        <f t="shared" si="13"/>
        <v>75.81556568</v>
      </c>
      <c r="P13" s="3">
        <f t="shared" si="13"/>
        <v>169.8734823</v>
      </c>
      <c r="Q13" s="3" t="str">
        <f t="shared" si="4"/>
        <v>S2</v>
      </c>
    </row>
    <row r="14">
      <c r="A14" s="3" t="s">
        <v>23</v>
      </c>
      <c r="B14" s="3">
        <v>0.0</v>
      </c>
      <c r="C14" s="3">
        <v>54.0</v>
      </c>
      <c r="D14" s="3">
        <v>47.0</v>
      </c>
      <c r="E14" s="3">
        <v>12.0</v>
      </c>
      <c r="M14" s="3">
        <f t="shared" ref="M14:P14" si="14">SQRT(($B14-H$3)^2+($C14-H$4)^2+($D14-H$5)^2+($E14-H$6)^2)</f>
        <v>53.91382012</v>
      </c>
      <c r="N14" s="3">
        <f t="shared" si="14"/>
        <v>27.66514052</v>
      </c>
      <c r="O14" s="3">
        <f t="shared" si="14"/>
        <v>49.1426495</v>
      </c>
      <c r="P14" s="3">
        <f t="shared" si="14"/>
        <v>153.016339</v>
      </c>
      <c r="Q14" s="3" t="str">
        <f t="shared" si="4"/>
        <v>S2</v>
      </c>
    </row>
    <row r="15">
      <c r="A15" s="3" t="s">
        <v>24</v>
      </c>
      <c r="B15" s="3">
        <v>10.0</v>
      </c>
      <c r="C15" s="3">
        <v>218.0</v>
      </c>
      <c r="D15" s="3">
        <v>79.0</v>
      </c>
      <c r="E15" s="3">
        <v>20.0</v>
      </c>
      <c r="M15" s="3">
        <f t="shared" ref="M15:P15" si="15">SQRT(($B15-H$3)^2+($C15-H$4)^2+($D15-H$5)^2+($E15-H$6)^2)</f>
        <v>214.8094504</v>
      </c>
      <c r="N15" s="3">
        <f t="shared" si="15"/>
        <v>175.5715239</v>
      </c>
      <c r="O15" s="3">
        <f t="shared" si="15"/>
        <v>121.6182552</v>
      </c>
      <c r="P15" s="3">
        <f t="shared" si="15"/>
        <v>27.38612788</v>
      </c>
      <c r="Q15" s="3" t="str">
        <f t="shared" si="4"/>
        <v>S4</v>
      </c>
    </row>
    <row r="16">
      <c r="A16" s="3" t="s">
        <v>25</v>
      </c>
      <c r="B16" s="3">
        <v>7.0</v>
      </c>
      <c r="C16" s="3">
        <v>26.0</v>
      </c>
      <c r="D16" s="3">
        <v>65.0</v>
      </c>
      <c r="E16" s="3">
        <v>19.0</v>
      </c>
      <c r="M16" s="3">
        <f t="shared" ref="M16:P16" si="16">SQRT(($B16-H$3)^2+($C16-H$4)^2+($D16-H$5)^2+($E16-H$6)^2)</f>
        <v>57.0972854</v>
      </c>
      <c r="N16" s="3">
        <f t="shared" si="16"/>
        <v>53.26312045</v>
      </c>
      <c r="O16" s="3">
        <f t="shared" si="16"/>
        <v>75.84853328</v>
      </c>
      <c r="P16" s="3">
        <f t="shared" si="16"/>
        <v>176.0852066</v>
      </c>
      <c r="Q16" s="3" t="str">
        <f t="shared" si="4"/>
        <v>S2</v>
      </c>
    </row>
    <row r="17">
      <c r="A17" s="3" t="s">
        <v>26</v>
      </c>
      <c r="B17" s="3">
        <v>2.0</v>
      </c>
      <c r="C17" s="3">
        <v>0.1</v>
      </c>
      <c r="D17" s="3">
        <v>53.0</v>
      </c>
      <c r="E17" s="3">
        <v>9.0</v>
      </c>
      <c r="M17" s="3">
        <f t="shared" ref="M17:P17" si="17">SQRT(($B17-H$3)^2+($C17-H$4)^2+($D17-H$5)^2+($E17-H$6)^2)</f>
        <v>45.61480023</v>
      </c>
      <c r="N17" s="3">
        <f t="shared" si="17"/>
        <v>62.4609478</v>
      </c>
      <c r="O17" s="3">
        <f t="shared" si="17"/>
        <v>101.6169769</v>
      </c>
      <c r="P17" s="3">
        <f t="shared" si="17"/>
        <v>204.4969682</v>
      </c>
      <c r="Q17" s="3" t="str">
        <f t="shared" si="4"/>
        <v>S1</v>
      </c>
    </row>
    <row r="18">
      <c r="A18" s="3" t="s">
        <v>27</v>
      </c>
      <c r="B18" s="3">
        <v>3.0</v>
      </c>
      <c r="C18" s="3">
        <v>80.0</v>
      </c>
      <c r="D18" s="3">
        <v>56.0</v>
      </c>
      <c r="E18" s="3">
        <v>16.0</v>
      </c>
      <c r="M18" s="3">
        <f t="shared" ref="M18:P18" si="18">SQRT(($B18-H$3)^2+($C18-H$4)^2+($D18-H$5)^2+($E18-H$6)^2)</f>
        <v>79.91683177</v>
      </c>
      <c r="N18" s="3">
        <f t="shared" si="18"/>
        <v>45.47262913</v>
      </c>
      <c r="O18" s="3">
        <f t="shared" si="18"/>
        <v>24.10394159</v>
      </c>
      <c r="P18" s="3">
        <f t="shared" si="18"/>
        <v>125.2836781</v>
      </c>
      <c r="Q18" s="3" t="str">
        <f t="shared" si="4"/>
        <v>S3</v>
      </c>
    </row>
    <row r="19">
      <c r="A19" s="3" t="s">
        <v>28</v>
      </c>
      <c r="B19" s="3">
        <v>7.0</v>
      </c>
      <c r="C19" s="3">
        <v>70.0</v>
      </c>
      <c r="D19" s="3">
        <v>43.0</v>
      </c>
      <c r="E19" s="3">
        <v>15.0</v>
      </c>
      <c r="M19" s="3">
        <f t="shared" ref="M19:P19" si="19">SQRT(($B19-H$3)^2+($C19-H$4)^2+($D19-H$5)^2+($E19-H$6)^2)</f>
        <v>64.55772611</v>
      </c>
      <c r="N19" s="3">
        <f t="shared" si="19"/>
        <v>29.06819568</v>
      </c>
      <c r="O19" s="3">
        <f t="shared" si="19"/>
        <v>32.63433774</v>
      </c>
      <c r="P19" s="3">
        <f t="shared" si="19"/>
        <v>137.6880532</v>
      </c>
      <c r="Q19" s="3" t="str">
        <f t="shared" si="4"/>
        <v>S2</v>
      </c>
    </row>
    <row r="20">
      <c r="A20" s="3" t="s">
        <v>29</v>
      </c>
      <c r="B20" s="3">
        <v>15.0</v>
      </c>
      <c r="C20" s="3">
        <v>159.0</v>
      </c>
      <c r="D20" s="3">
        <v>61.0</v>
      </c>
      <c r="E20" s="3">
        <v>19.0</v>
      </c>
      <c r="M20" s="3">
        <f t="shared" ref="M20:P20" si="20">SQRT(($B20-H$3)^2+($C20-H$4)^2+($D20-H$5)^2+($E20-H$6)^2)</f>
        <v>153.5887366</v>
      </c>
      <c r="N20" s="3">
        <f t="shared" si="20"/>
        <v>114.3956293</v>
      </c>
      <c r="O20" s="3">
        <f t="shared" si="20"/>
        <v>60.44832504</v>
      </c>
      <c r="P20" s="3">
        <f t="shared" si="20"/>
        <v>49.82971001</v>
      </c>
      <c r="Q20" s="3" t="str">
        <f t="shared" si="4"/>
        <v>S4</v>
      </c>
    </row>
    <row r="21" ht="15.75" customHeight="1">
      <c r="A21" s="3" t="s">
        <v>30</v>
      </c>
      <c r="B21" s="3">
        <v>1.0</v>
      </c>
      <c r="C21" s="3">
        <v>0.1</v>
      </c>
      <c r="D21" s="3">
        <v>45.0</v>
      </c>
      <c r="E21" s="3">
        <v>7.0</v>
      </c>
      <c r="M21" s="3">
        <f t="shared" ref="M21:P21" si="21">SQRT(($B21-H$3)^2+($C21-H$4)^2+($D21-H$5)^2+($E21-H$6)^2)</f>
        <v>38.27152989</v>
      </c>
      <c r="N21" s="3">
        <f t="shared" si="21"/>
        <v>58.76708262</v>
      </c>
      <c r="O21" s="3">
        <f t="shared" si="21"/>
        <v>102.1225244</v>
      </c>
      <c r="P21" s="3">
        <f t="shared" si="21"/>
        <v>206.082532</v>
      </c>
      <c r="Q21" s="3" t="str">
        <f t="shared" si="4"/>
        <v>S1</v>
      </c>
    </row>
    <row r="22" ht="15.75" customHeight="1">
      <c r="A22" s="3" t="s">
        <v>31</v>
      </c>
      <c r="B22" s="3">
        <v>10.0</v>
      </c>
      <c r="C22" s="3">
        <v>260.0</v>
      </c>
      <c r="D22" s="3">
        <v>63.0</v>
      </c>
      <c r="E22" s="3">
        <v>28.0</v>
      </c>
      <c r="M22" s="3">
        <f t="shared" ref="M22:P22" si="22">SQRT(($B22-H$3)^2+($C22-H$4)^2+($D22-H$5)^2+($E22-H$6)^2)</f>
        <v>251.4515858</v>
      </c>
      <c r="N22" s="3">
        <f t="shared" si="22"/>
        <v>212.2294984</v>
      </c>
      <c r="O22" s="3">
        <f t="shared" si="22"/>
        <v>160.5584006</v>
      </c>
      <c r="P22" s="3">
        <f t="shared" si="22"/>
        <v>63.70243323</v>
      </c>
      <c r="Q22" s="3" t="str">
        <f t="shared" si="4"/>
        <v>S4</v>
      </c>
    </row>
    <row r="23" ht="15.75" customHeight="1">
      <c r="A23" s="3" t="s">
        <v>32</v>
      </c>
      <c r="B23" s="3">
        <v>2.0</v>
      </c>
      <c r="C23" s="3">
        <v>138.0</v>
      </c>
      <c r="D23" s="3">
        <v>82.0</v>
      </c>
      <c r="E23" s="3">
        <v>13.0</v>
      </c>
      <c r="M23" s="3">
        <f t="shared" ref="M23:P23" si="23">SQRT(($B23-H$3)^2+($C23-H$4)^2+($D23-H$5)^2+($E23-H$6)^2)</f>
        <v>142.6061009</v>
      </c>
      <c r="N23" s="3">
        <f t="shared" si="23"/>
        <v>105.3136268</v>
      </c>
      <c r="O23" s="3">
        <f t="shared" si="23"/>
        <v>51.89412298</v>
      </c>
      <c r="P23" s="3">
        <f t="shared" si="23"/>
        <v>68.8912186</v>
      </c>
      <c r="Q23" s="3" t="str">
        <f t="shared" si="4"/>
        <v>S3</v>
      </c>
    </row>
    <row r="24" ht="15.75" customHeight="1">
      <c r="A24" s="3" t="s">
        <v>33</v>
      </c>
      <c r="B24" s="3">
        <v>11.0</v>
      </c>
      <c r="C24" s="3">
        <v>251.0</v>
      </c>
      <c r="D24" s="3">
        <v>68.0</v>
      </c>
      <c r="E24" s="3">
        <v>35.0</v>
      </c>
      <c r="M24" s="3">
        <f t="shared" ref="M24:P24" si="24">SQRT(($B24-H$3)^2+($C24-H$4)^2+($D24-H$5)^2+($E24-H$6)^2)</f>
        <v>244.4837418</v>
      </c>
      <c r="N24" s="3">
        <f t="shared" si="24"/>
        <v>205.3342641</v>
      </c>
      <c r="O24" s="3">
        <f t="shared" si="24"/>
        <v>152.3975065</v>
      </c>
      <c r="P24" s="3">
        <f t="shared" si="24"/>
        <v>52.78257288</v>
      </c>
      <c r="Q24" s="3" t="str">
        <f t="shared" si="4"/>
        <v>S4</v>
      </c>
    </row>
    <row r="25" ht="15.75" customHeight="1">
      <c r="A25" s="3" t="s">
        <v>34</v>
      </c>
      <c r="B25" s="3">
        <v>1.0</v>
      </c>
      <c r="C25" s="3">
        <v>3.0</v>
      </c>
      <c r="D25" s="3">
        <v>62.0</v>
      </c>
      <c r="E25" s="3">
        <v>14.0</v>
      </c>
      <c r="M25" s="3">
        <f t="shared" ref="M25:P25" si="25">SQRT(($B25-H$3)^2+($C25-H$4)^2+($D25-H$5)^2+($E25-H$6)^2)</f>
        <v>53.62928305</v>
      </c>
      <c r="N25" s="3">
        <f t="shared" si="25"/>
        <v>65.58322956</v>
      </c>
      <c r="O25" s="3">
        <f t="shared" si="25"/>
        <v>98.86354232</v>
      </c>
      <c r="P25" s="3">
        <f t="shared" si="25"/>
        <v>200.0124996</v>
      </c>
      <c r="Q25" s="3" t="str">
        <f t="shared" si="4"/>
        <v>S1</v>
      </c>
    </row>
    <row r="26" ht="15.75" customHeight="1">
      <c r="A26" s="3" t="s">
        <v>35</v>
      </c>
      <c r="B26" s="3">
        <v>13.0</v>
      </c>
      <c r="C26" s="3">
        <v>209.0</v>
      </c>
      <c r="D26" s="3">
        <v>44.0</v>
      </c>
      <c r="E26" s="3">
        <v>13.0</v>
      </c>
      <c r="M26" s="3">
        <f t="shared" ref="M26:P26" si="26">SQRT(($B26-H$3)^2+($C26-H$4)^2+($D26-H$5)^2+($E26-H$6)^2)</f>
        <v>197.2873539</v>
      </c>
      <c r="N26" s="3">
        <f t="shared" si="26"/>
        <v>158.0372108</v>
      </c>
      <c r="O26" s="3">
        <f t="shared" si="26"/>
        <v>109.8407939</v>
      </c>
      <c r="P26" s="3">
        <f t="shared" si="26"/>
        <v>45.93473631</v>
      </c>
      <c r="Q26" s="3" t="str">
        <f t="shared" si="4"/>
        <v>S4</v>
      </c>
    </row>
    <row r="27" ht="15.75" customHeight="1">
      <c r="A27" s="3" t="s">
        <v>36</v>
      </c>
      <c r="B27" s="3">
        <v>8.0</v>
      </c>
      <c r="C27" s="3">
        <v>80.0</v>
      </c>
      <c r="D27" s="3">
        <v>61.0</v>
      </c>
      <c r="E27" s="3">
        <v>28.0</v>
      </c>
      <c r="M27" s="3">
        <f t="shared" ref="M27:P27" si="27">SQRT(($B27-H$3)^2+($C27-H$4)^2+($D27-H$5)^2+($E27-H$6)^2)</f>
        <v>84.80978717</v>
      </c>
      <c r="N27" s="3">
        <f t="shared" si="27"/>
        <v>52.34271678</v>
      </c>
      <c r="O27" s="3">
        <f t="shared" si="27"/>
        <v>23.21637353</v>
      </c>
      <c r="P27" s="3">
        <f t="shared" si="27"/>
        <v>122.2865487</v>
      </c>
      <c r="Q27" s="3" t="str">
        <f t="shared" si="4"/>
        <v>S3</v>
      </c>
    </row>
    <row r="28" ht="15.75" customHeight="1">
      <c r="A28" s="3" t="s">
        <v>37</v>
      </c>
      <c r="B28" s="3">
        <v>5.0</v>
      </c>
      <c r="C28" s="3">
        <v>19.0</v>
      </c>
      <c r="D28" s="3">
        <v>45.0</v>
      </c>
      <c r="E28" s="3">
        <v>15.0</v>
      </c>
      <c r="M28" s="3">
        <f t="shared" ref="M28:P28" si="28">SQRT(($B28-H$3)^2+($C28-H$4)^2+($D28-H$5)^2+($E28-H$6)^2)</f>
        <v>35.78128002</v>
      </c>
      <c r="N28" s="3">
        <f t="shared" si="28"/>
        <v>42.5012941</v>
      </c>
      <c r="O28" s="3">
        <f t="shared" si="28"/>
        <v>81.98780397</v>
      </c>
      <c r="P28" s="3">
        <f t="shared" si="28"/>
        <v>186.3088833</v>
      </c>
      <c r="Q28" s="3" t="str">
        <f t="shared" si="4"/>
        <v>S1</v>
      </c>
    </row>
    <row r="29" ht="15.75" customHeight="1">
      <c r="A29" s="3" t="s">
        <v>38</v>
      </c>
      <c r="B29" s="3">
        <v>4.0</v>
      </c>
      <c r="C29" s="3">
        <v>10.0</v>
      </c>
      <c r="D29" s="3">
        <v>56.0</v>
      </c>
      <c r="E29" s="3">
        <v>13.0</v>
      </c>
      <c r="M29" s="3">
        <f t="shared" ref="M29:P29" si="29">SQRT(($B29-H$3)^2+($C29-H$4)^2+($D29-H$5)^2+($E29-H$6)^2)</f>
        <v>46.49838707</v>
      </c>
      <c r="N29" s="3">
        <f t="shared" si="29"/>
        <v>56.18327153</v>
      </c>
      <c r="O29" s="3">
        <f t="shared" si="29"/>
        <v>91.26335519</v>
      </c>
      <c r="P29" s="3">
        <f t="shared" si="29"/>
        <v>193.7162874</v>
      </c>
      <c r="Q29" s="3" t="str">
        <f t="shared" si="4"/>
        <v>S1</v>
      </c>
    </row>
    <row r="30" ht="15.75" customHeight="1">
      <c r="A30" s="3" t="s">
        <v>39</v>
      </c>
      <c r="B30" s="3">
        <v>11.0</v>
      </c>
      <c r="C30" s="3">
        <v>239.0</v>
      </c>
      <c r="D30" s="3">
        <v>75.0</v>
      </c>
      <c r="E30" s="3">
        <v>43.0</v>
      </c>
      <c r="M30" s="3">
        <f t="shared" ref="M30:P30" si="30">SQRT(($B30-H$3)^2+($C30-H$4)^2+($D30-H$5)^2+($E30-H$6)^2)</f>
        <v>235.7513521</v>
      </c>
      <c r="N30" s="3">
        <f t="shared" si="30"/>
        <v>196.8226613</v>
      </c>
      <c r="O30" s="3">
        <f t="shared" si="30"/>
        <v>142.3727502</v>
      </c>
      <c r="P30" s="3">
        <f t="shared" si="30"/>
        <v>39.63584237</v>
      </c>
      <c r="Q30" s="3" t="str">
        <f t="shared" si="4"/>
        <v>S4</v>
      </c>
    </row>
    <row r="31" ht="15.75" customHeight="1">
      <c r="A31" s="3" t="s">
        <v>40</v>
      </c>
      <c r="B31" s="3">
        <v>0.0</v>
      </c>
      <c r="C31" s="3">
        <v>0.1</v>
      </c>
      <c r="D31" s="3">
        <v>53.0</v>
      </c>
      <c r="E31" s="3">
        <v>6.0</v>
      </c>
      <c r="M31" s="3">
        <f t="shared" ref="M31:P31" si="31">SQRT(($B31-H$3)^2+($C31-H$4)^2+($D31-H$5)^2+($E31-H$6)^2)</f>
        <v>45.83568479</v>
      </c>
      <c r="N31" s="3">
        <f t="shared" si="31"/>
        <v>62.72774506</v>
      </c>
      <c r="O31" s="3">
        <f t="shared" si="31"/>
        <v>102.3279532</v>
      </c>
      <c r="P31" s="3">
        <f t="shared" si="31"/>
        <v>205.1097511</v>
      </c>
      <c r="Q31" s="3" t="str">
        <f t="shared" si="4"/>
        <v>S1</v>
      </c>
    </row>
    <row r="32" ht="15.75" customHeight="1">
      <c r="A32" s="3" t="s">
        <v>41</v>
      </c>
      <c r="B32" s="3">
        <v>5.0</v>
      </c>
      <c r="C32" s="3">
        <v>155.0</v>
      </c>
      <c r="D32" s="3">
        <v>87.0</v>
      </c>
      <c r="E32" s="3">
        <v>19.0</v>
      </c>
      <c r="M32" s="3">
        <f t="shared" ref="M32:P32" si="32">SQRT(($B32-H$3)^2+($C32-H$4)^2+($D32-H$5)^2+($E32-H$6)^2)</f>
        <v>160.1021549</v>
      </c>
      <c r="N32" s="3">
        <f t="shared" si="32"/>
        <v>122.3697675</v>
      </c>
      <c r="O32" s="3">
        <f t="shared" si="32"/>
        <v>66.82813779</v>
      </c>
      <c r="P32" s="3">
        <f t="shared" si="32"/>
        <v>51.1370707</v>
      </c>
      <c r="Q32" s="3" t="str">
        <f t="shared" si="4"/>
        <v>S4</v>
      </c>
    </row>
    <row r="33" ht="15.75" customHeight="1">
      <c r="A33" s="3" t="s">
        <v>42</v>
      </c>
      <c r="B33" s="3">
        <v>12.0</v>
      </c>
      <c r="C33" s="3">
        <v>229.0</v>
      </c>
      <c r="D33" s="3">
        <v>64.0</v>
      </c>
      <c r="E33" s="3">
        <v>32.0</v>
      </c>
      <c r="M33" s="3">
        <f t="shared" ref="M33:P33" si="33">SQRT(($B33-H$3)^2+($C33-H$4)^2+($D33-H$5)^2+($E33-H$6)^2)</f>
        <v>222.0380598</v>
      </c>
      <c r="N33" s="3">
        <f t="shared" si="33"/>
        <v>182.8577589</v>
      </c>
      <c r="O33" s="3">
        <f t="shared" si="33"/>
        <v>129.9499904</v>
      </c>
      <c r="P33" s="3">
        <f t="shared" si="33"/>
        <v>34.20526275</v>
      </c>
      <c r="Q33" s="3" t="str">
        <f t="shared" si="4"/>
        <v>S4</v>
      </c>
    </row>
    <row r="34" ht="15.75" customHeight="1">
      <c r="A34" s="3" t="s">
        <v>43</v>
      </c>
      <c r="B34" s="3">
        <v>9.0</v>
      </c>
      <c r="C34" s="3">
        <v>161.0</v>
      </c>
      <c r="D34" s="3">
        <v>85.0</v>
      </c>
      <c r="E34" s="3">
        <v>23.0</v>
      </c>
      <c r="M34" s="3">
        <f t="shared" ref="M34:P34" si="34">SQRT(($B34-H$3)^2+($C34-H$4)^2+($D34-H$5)^2+($E34-H$6)^2)</f>
        <v>164.8329457</v>
      </c>
      <c r="N34" s="3">
        <f t="shared" si="34"/>
        <v>126.7657682</v>
      </c>
      <c r="O34" s="3">
        <f t="shared" si="34"/>
        <v>70.38465742</v>
      </c>
      <c r="P34" s="3">
        <f t="shared" si="34"/>
        <v>43.25505751</v>
      </c>
      <c r="Q34" s="3" t="str">
        <f t="shared" si="4"/>
        <v>S4</v>
      </c>
    </row>
    <row r="35" ht="15.75" customHeight="1">
      <c r="A35" s="3" t="s">
        <v>44</v>
      </c>
      <c r="B35" s="3">
        <v>13.0</v>
      </c>
      <c r="C35" s="3">
        <v>321.0</v>
      </c>
      <c r="D35" s="3">
        <v>45.0</v>
      </c>
      <c r="E35" s="3">
        <v>13.0</v>
      </c>
      <c r="M35" s="3">
        <f t="shared" ref="M35:P35" si="35">SQRT(($B35-H$3)^2+($C35-H$4)^2+($D35-H$5)^2+($E35-H$6)^2)</f>
        <v>308.206911</v>
      </c>
      <c r="N35" s="3">
        <f t="shared" si="35"/>
        <v>269.281934</v>
      </c>
      <c r="O35" s="3">
        <f t="shared" si="35"/>
        <v>221.3910567</v>
      </c>
      <c r="P35" s="3">
        <f t="shared" si="35"/>
        <v>128.8371065</v>
      </c>
      <c r="Q35" s="3" t="str">
        <f t="shared" si="4"/>
        <v>S4</v>
      </c>
    </row>
    <row r="36" ht="15.75" customHeight="1">
      <c r="A36" s="3" t="s">
        <v>45</v>
      </c>
      <c r="B36" s="3">
        <v>0.1</v>
      </c>
      <c r="C36" s="3">
        <v>27.0</v>
      </c>
      <c r="D36" s="3">
        <v>44.0</v>
      </c>
      <c r="E36" s="3">
        <v>6.0</v>
      </c>
      <c r="M36" s="3">
        <f t="shared" ref="M36:P36" si="36">SQRT(($B36-H$3)^2+($C36-H$4)^2+($D36-H$5)^2+($E36-H$6)^2)</f>
        <v>36.43693181</v>
      </c>
      <c r="N36" s="3">
        <f t="shared" si="36"/>
        <v>36.03123645</v>
      </c>
      <c r="O36" s="3">
        <f t="shared" si="36"/>
        <v>76.45135708</v>
      </c>
      <c r="P36" s="3">
        <f t="shared" si="36"/>
        <v>180.5630361</v>
      </c>
      <c r="Q36" s="3" t="str">
        <f t="shared" si="4"/>
        <v>S2</v>
      </c>
    </row>
    <row r="37" ht="15.75" customHeight="1">
      <c r="A37" s="3" t="s">
        <v>46</v>
      </c>
      <c r="B37" s="3">
        <v>8.0</v>
      </c>
      <c r="C37" s="3">
        <v>119.0</v>
      </c>
      <c r="D37" s="3">
        <v>73.0</v>
      </c>
      <c r="E37" s="3">
        <v>18.0</v>
      </c>
      <c r="M37" s="3">
        <f t="shared" ref="M37:P37" si="37">SQRT(($B37-H$3)^2+($C37-H$4)^2+($D37-H$5)^2+($E37-H$6)^2)</f>
        <v>122.0413864</v>
      </c>
      <c r="N37" s="3">
        <f t="shared" si="37"/>
        <v>85.05739239</v>
      </c>
      <c r="O37" s="3">
        <f t="shared" si="37"/>
        <v>30.78960864</v>
      </c>
      <c r="P37" s="3">
        <f t="shared" si="37"/>
        <v>84.51627062</v>
      </c>
      <c r="Q37" s="3" t="str">
        <f t="shared" si="4"/>
        <v>S3</v>
      </c>
    </row>
    <row r="38" ht="15.75" customHeight="1">
      <c r="A38" s="3" t="s">
        <v>47</v>
      </c>
      <c r="B38" s="3">
        <v>4.0</v>
      </c>
      <c r="C38" s="3">
        <v>116.0</v>
      </c>
      <c r="D38" s="3">
        <v>59.0</v>
      </c>
      <c r="E38" s="3">
        <v>20.0</v>
      </c>
      <c r="M38" s="3">
        <f t="shared" ref="M38:P38" si="38">SQRT(($B38-H$3)^2+($C38-H$4)^2+($D38-H$5)^2+($E38-H$6)^2)</f>
        <v>112.7594785</v>
      </c>
      <c r="N38" s="3">
        <f t="shared" si="38"/>
        <v>74.78342062</v>
      </c>
      <c r="O38" s="3">
        <f t="shared" si="38"/>
        <v>20.27313493</v>
      </c>
      <c r="P38" s="3">
        <f t="shared" si="38"/>
        <v>89.54328562</v>
      </c>
      <c r="Q38" s="3" t="str">
        <f t="shared" si="4"/>
        <v>S3</v>
      </c>
    </row>
    <row r="39" ht="15.75" customHeight="1">
      <c r="A39" s="3" t="s">
        <v>48</v>
      </c>
      <c r="B39" s="3">
        <v>4.0</v>
      </c>
      <c r="C39" s="3">
        <v>103.0</v>
      </c>
      <c r="D39" s="3">
        <v>58.0</v>
      </c>
      <c r="E39" s="3">
        <v>29.0</v>
      </c>
      <c r="M39" s="3">
        <f t="shared" ref="M39:P39" si="39">SQRT(($B39-H$3)^2+($C39-H$4)^2+($D39-H$5)^2+($E39-H$6)^2)</f>
        <v>102.0857483</v>
      </c>
      <c r="N39" s="3">
        <f t="shared" si="39"/>
        <v>65.63200439</v>
      </c>
      <c r="O39" s="3">
        <f t="shared" si="39"/>
        <v>11.74734012</v>
      </c>
      <c r="P39" s="3">
        <f t="shared" si="39"/>
        <v>100.6727371</v>
      </c>
      <c r="Q39" s="3" t="str">
        <f t="shared" si="4"/>
        <v>S3</v>
      </c>
    </row>
    <row r="40" ht="15.75" customHeight="1">
      <c r="A40" s="3" t="s">
        <v>49</v>
      </c>
      <c r="B40" s="3">
        <v>4.0</v>
      </c>
      <c r="C40" s="3">
        <v>57.0</v>
      </c>
      <c r="D40" s="3">
        <v>67.0</v>
      </c>
      <c r="E40" s="3">
        <v>13.0</v>
      </c>
      <c r="M40" s="3">
        <f t="shared" ref="M40:P40" si="40">SQRT(($B40-H$3)^2+($C40-H$4)^2+($D40-H$5)^2+($E40-H$6)^2)</f>
        <v>70.96689369</v>
      </c>
      <c r="N40" s="3">
        <f t="shared" si="40"/>
        <v>47.29228267</v>
      </c>
      <c r="O40" s="3">
        <f t="shared" si="40"/>
        <v>48.28043082</v>
      </c>
      <c r="P40" s="3">
        <f t="shared" si="40"/>
        <v>146.5196233</v>
      </c>
      <c r="Q40" s="3" t="str">
        <f t="shared" si="4"/>
        <v>S2</v>
      </c>
    </row>
    <row r="41" ht="15.75" customHeight="1">
      <c r="A41" s="3" t="s">
        <v>50</v>
      </c>
      <c r="B41" s="3">
        <v>2.0</v>
      </c>
      <c r="C41" s="3">
        <v>97.0</v>
      </c>
      <c r="D41" s="3">
        <v>83.0</v>
      </c>
      <c r="E41" s="3">
        <v>5.0</v>
      </c>
      <c r="M41" s="3">
        <f t="shared" ref="M41:P41" si="41">SQRT(($B41-H$3)^2+($C41-H$4)^2+($D41-H$5)^2+($E41-H$6)^2)</f>
        <v>109.9668132</v>
      </c>
      <c r="N41" s="3">
        <f t="shared" si="41"/>
        <v>77.09059605</v>
      </c>
      <c r="O41" s="3">
        <f t="shared" si="41"/>
        <v>39.73663297</v>
      </c>
      <c r="P41" s="3">
        <f t="shared" si="41"/>
        <v>109.5992701</v>
      </c>
      <c r="Q41" s="3" t="str">
        <f t="shared" si="4"/>
        <v>S3</v>
      </c>
    </row>
    <row r="42" ht="15.75" customHeight="1">
      <c r="A42" s="3" t="s">
        <v>51</v>
      </c>
      <c r="B42" s="3">
        <v>13.0</v>
      </c>
      <c r="C42" s="3">
        <v>210.0</v>
      </c>
      <c r="D42" s="3">
        <v>46.0</v>
      </c>
      <c r="E42" s="3">
        <v>21.0</v>
      </c>
      <c r="M42" s="3">
        <f t="shared" ref="M42:P42" si="42">SQRT(($B42-H$3)^2+($C42-H$4)^2+($D42-H$5)^2+($E42-H$6)^2)</f>
        <v>198.9062593</v>
      </c>
      <c r="N42" s="3">
        <f t="shared" si="42"/>
        <v>159.6895739</v>
      </c>
      <c r="O42" s="3">
        <f t="shared" si="42"/>
        <v>110.1635148</v>
      </c>
      <c r="P42" s="3">
        <f t="shared" si="42"/>
        <v>40.26164428</v>
      </c>
      <c r="Q42" s="3" t="str">
        <f t="shared" si="4"/>
        <v>S4</v>
      </c>
    </row>
    <row r="43" ht="15.75" customHeight="1">
      <c r="A43" s="3" t="s">
        <v>52</v>
      </c>
      <c r="B43" s="3">
        <v>3.0</v>
      </c>
      <c r="C43" s="3">
        <v>1.0</v>
      </c>
      <c r="D43" s="3">
        <v>43.0</v>
      </c>
      <c r="E43" s="3">
        <v>12.0</v>
      </c>
      <c r="M43" s="3">
        <f t="shared" ref="M43:P43" si="43">SQRT(($B43-H$3)^2+($C43-H$4)^2+($D43-H$5)^2+($E43-H$6)^2)</f>
        <v>36.00138886</v>
      </c>
      <c r="N43" s="3">
        <f t="shared" si="43"/>
        <v>56.95401654</v>
      </c>
      <c r="O43" s="3">
        <f t="shared" si="43"/>
        <v>100.4141424</v>
      </c>
      <c r="P43" s="3">
        <f t="shared" si="43"/>
        <v>204.6900095</v>
      </c>
      <c r="Q43" s="3" t="str">
        <f t="shared" si="4"/>
        <v>S1</v>
      </c>
    </row>
    <row r="44" ht="15.75" customHeight="1">
      <c r="A44" s="3" t="s">
        <v>53</v>
      </c>
      <c r="B44" s="3">
        <v>14.0</v>
      </c>
      <c r="C44" s="3">
        <v>96.0</v>
      </c>
      <c r="D44" s="3">
        <v>58.0</v>
      </c>
      <c r="E44" s="3">
        <v>27.0</v>
      </c>
      <c r="M44" s="3">
        <f t="shared" ref="M44:P44" si="44">SQRT(($B44-H$3)^2+($C44-H$4)^2+($D44-H$5)^2+($E44-H$6)^2)</f>
        <v>96.43909995</v>
      </c>
      <c r="N44" s="3">
        <f t="shared" si="44"/>
        <v>60.43641287</v>
      </c>
      <c r="O44" s="3">
        <f t="shared" si="44"/>
        <v>9.643650761</v>
      </c>
      <c r="P44" s="3">
        <f t="shared" si="44"/>
        <v>107.0980859</v>
      </c>
      <c r="Q44" s="3" t="str">
        <f t="shared" si="4"/>
        <v>S3</v>
      </c>
    </row>
    <row r="45" ht="15.75" customHeight="1">
      <c r="A45" s="3" t="s">
        <v>54</v>
      </c>
      <c r="B45" s="3">
        <v>13.0</v>
      </c>
      <c r="C45" s="3">
        <v>137.0</v>
      </c>
      <c r="D45" s="3">
        <v>79.0</v>
      </c>
      <c r="E45" s="3">
        <v>25.0</v>
      </c>
      <c r="M45" s="3">
        <f t="shared" ref="M45:P45" si="45">SQRT(($B45-H$3)^2+($C45-H$4)^2+($D45-H$5)^2+($E45-H$6)^2)</f>
        <v>141.4153457</v>
      </c>
      <c r="N45" s="3">
        <f t="shared" si="45"/>
        <v>104.0036538</v>
      </c>
      <c r="O45" s="3">
        <f t="shared" si="45"/>
        <v>47.05316142</v>
      </c>
      <c r="P45" s="3">
        <f t="shared" si="45"/>
        <v>64.79969136</v>
      </c>
      <c r="Q45" s="3" t="str">
        <f t="shared" si="4"/>
        <v>S3</v>
      </c>
    </row>
    <row r="46" ht="15.75" customHeight="1">
      <c r="A46" s="3" t="s">
        <v>55</v>
      </c>
      <c r="B46" s="3">
        <v>0.0</v>
      </c>
      <c r="C46" s="3">
        <v>49.0</v>
      </c>
      <c r="D46" s="3">
        <v>74.0</v>
      </c>
      <c r="E46" s="3">
        <v>21.0</v>
      </c>
      <c r="M46" s="3">
        <f t="shared" ref="M46:P46" si="46">SQRT(($B46-H$3)^2+($C46-H$4)^2+($D46-H$5)^2+($E46-H$6)^2)</f>
        <v>73.42411048</v>
      </c>
      <c r="N46" s="3">
        <f t="shared" si="46"/>
        <v>55.53701468</v>
      </c>
      <c r="O46" s="3">
        <f t="shared" si="46"/>
        <v>57.56735186</v>
      </c>
      <c r="P46" s="3">
        <f t="shared" si="46"/>
        <v>153.0457448</v>
      </c>
      <c r="Q46" s="3" t="str">
        <f t="shared" si="4"/>
        <v>S2</v>
      </c>
    </row>
    <row r="47" ht="15.75" customHeight="1">
      <c r="A47" s="3" t="s">
        <v>56</v>
      </c>
      <c r="B47" s="3">
        <v>0.1</v>
      </c>
      <c r="C47" s="3">
        <v>44.0</v>
      </c>
      <c r="D47" s="3">
        <v>24.0</v>
      </c>
      <c r="E47" s="3">
        <v>8.0</v>
      </c>
      <c r="M47" s="3">
        <f t="shared" ref="M47:P47" si="47">SQRT(($B47-H$3)^2+($C47-H$4)^2+($D47-H$5)^2+($E47-H$6)^2)</f>
        <v>32.38286584</v>
      </c>
      <c r="N47" s="3">
        <f t="shared" si="47"/>
        <v>11.45643924</v>
      </c>
      <c r="O47" s="3">
        <f t="shared" si="47"/>
        <v>64.96006466</v>
      </c>
      <c r="P47" s="3">
        <f t="shared" si="47"/>
        <v>169.46389</v>
      </c>
      <c r="Q47" s="3" t="str">
        <f t="shared" si="4"/>
        <v>S2</v>
      </c>
    </row>
    <row r="48" ht="15.75" customHeight="1">
      <c r="A48" s="3" t="s">
        <v>57</v>
      </c>
      <c r="B48" s="3">
        <v>7.0</v>
      </c>
      <c r="C48" s="3">
        <v>100.0</v>
      </c>
      <c r="D48" s="3">
        <v>58.0</v>
      </c>
      <c r="E48" s="3">
        <v>16.0</v>
      </c>
      <c r="M48" s="3">
        <f t="shared" ref="M48:P48" si="48">SQRT(($B48-H$3)^2+($C48-H$4)^2+($D48-H$5)^2+($E48-H$6)^2)</f>
        <v>97.96274802</v>
      </c>
      <c r="N48" s="3">
        <f t="shared" si="48"/>
        <v>60.75327152</v>
      </c>
      <c r="O48" s="3">
        <f t="shared" si="48"/>
        <v>12.68857754</v>
      </c>
      <c r="P48" s="3">
        <f t="shared" si="48"/>
        <v>105.470375</v>
      </c>
      <c r="Q48" s="3" t="str">
        <f t="shared" si="4"/>
        <v>S3</v>
      </c>
    </row>
    <row r="49" ht="15.75" customHeight="1">
      <c r="A49" s="3" t="s">
        <v>58</v>
      </c>
      <c r="B49" s="3">
        <v>1.0</v>
      </c>
      <c r="C49" s="3">
        <v>62.0</v>
      </c>
      <c r="D49" s="3">
        <v>73.0</v>
      </c>
      <c r="E49" s="3">
        <v>24.0</v>
      </c>
      <c r="M49" s="3">
        <f t="shared" ref="M49:P49" si="49">SQRT(($B49-H$3)^2+($C49-H$4)^2+($D49-H$5)^2+($E49-H$6)^2)</f>
        <v>79.92684155</v>
      </c>
      <c r="N49" s="3">
        <f t="shared" si="49"/>
        <v>55.74190524</v>
      </c>
      <c r="O49" s="3">
        <f t="shared" si="49"/>
        <v>45.54119015</v>
      </c>
      <c r="P49" s="3">
        <f t="shared" si="49"/>
        <v>139.8034334</v>
      </c>
      <c r="Q49" s="3" t="str">
        <f t="shared" si="4"/>
        <v>S3</v>
      </c>
    </row>
    <row r="50" ht="15.75" customHeight="1">
      <c r="A50" s="3" t="s">
        <v>59</v>
      </c>
      <c r="B50" s="3">
        <v>5.0</v>
      </c>
      <c r="C50" s="3">
        <v>65.0</v>
      </c>
      <c r="D50" s="3">
        <v>34.0</v>
      </c>
      <c r="E50" s="3">
        <v>9.0</v>
      </c>
      <c r="M50" s="3">
        <f t="shared" ref="M50:P50" si="50">SQRT(($B50-H$3)^2+($C50-H$4)^2+($D50-H$5)^2+($E50-H$6)^2)</f>
        <v>55.57967254</v>
      </c>
      <c r="N50" s="3">
        <f t="shared" si="50"/>
        <v>18.47593029</v>
      </c>
      <c r="O50" s="3">
        <f t="shared" si="50"/>
        <v>42.10700654</v>
      </c>
      <c r="P50" s="3">
        <f t="shared" si="50"/>
        <v>146.2942241</v>
      </c>
      <c r="Q50" s="3" t="str">
        <f t="shared" si="4"/>
        <v>S2</v>
      </c>
    </row>
    <row r="51" ht="15.75" customHeight="1">
      <c r="A51" s="3" t="s">
        <v>60</v>
      </c>
      <c r="B51" s="3">
        <v>0.0</v>
      </c>
      <c r="C51" s="3">
        <v>0.1</v>
      </c>
      <c r="D51" s="3">
        <v>60.0</v>
      </c>
      <c r="E51" s="3">
        <v>11.0</v>
      </c>
      <c r="M51" s="3">
        <f t="shared" ref="M51:P51" si="51">SQRT(($B51-H$3)^2+($C51-H$4)^2+($D51-H$5)^2+($E51-H$6)^2)</f>
        <v>52.32886393</v>
      </c>
      <c r="N51" s="3">
        <f t="shared" si="51"/>
        <v>66.56402933</v>
      </c>
      <c r="O51" s="3">
        <f t="shared" si="51"/>
        <v>101.9657295</v>
      </c>
      <c r="P51" s="3">
        <f t="shared" si="51"/>
        <v>203.5338055</v>
      </c>
      <c r="Q51" s="3" t="str">
        <f t="shared" si="4"/>
        <v>S1</v>
      </c>
    </row>
    <row r="52" ht="15.75" customHeight="1">
      <c r="A52" s="3" t="s">
        <v>61</v>
      </c>
      <c r="B52" s="3">
        <v>6.0</v>
      </c>
      <c r="C52" s="3">
        <v>143.0</v>
      </c>
      <c r="D52" s="3">
        <v>51.0</v>
      </c>
      <c r="E52" s="3">
        <v>11.0</v>
      </c>
      <c r="M52" s="3">
        <f t="shared" ref="M52:P52" si="52">SQRT(($B52-H$3)^2+($C52-H$4)^2+($D52-H$5)^2+($E52-H$6)^2)</f>
        <v>134.4912637</v>
      </c>
      <c r="N52" s="3">
        <f t="shared" si="52"/>
        <v>95.19537804</v>
      </c>
      <c r="O52" s="3">
        <f t="shared" si="52"/>
        <v>45.50824101</v>
      </c>
      <c r="P52" s="3">
        <f t="shared" si="52"/>
        <v>70.79548008</v>
      </c>
      <c r="Q52" s="3" t="str">
        <f t="shared" si="4"/>
        <v>S3</v>
      </c>
    </row>
    <row r="53" ht="15.75" customHeight="1">
      <c r="M53" s="3">
        <f t="shared" ref="M53:P53" si="53">SQRT(($B53-H$3)^2+($C53-H$4)^2+($D53-H$5)^2+($E53-H$6)^2)</f>
        <v>20.69541012</v>
      </c>
      <c r="N53" s="3">
        <f t="shared" si="53"/>
        <v>57.7958476</v>
      </c>
      <c r="O53" s="3">
        <f t="shared" si="53"/>
        <v>115.0912681</v>
      </c>
      <c r="P53" s="3">
        <f t="shared" si="53"/>
        <v>219.6019126</v>
      </c>
      <c r="Q53" s="3" t="str">
        <f t="shared" si="4"/>
        <v>S1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1:K1"/>
    <mergeCell ref="M1:P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8.71"/>
    <col customWidth="1" min="4" max="4" width="15.57"/>
    <col customWidth="1" min="5" max="6" width="8.71"/>
    <col customWidth="1" min="7" max="7" width="15.57"/>
    <col customWidth="1" min="8" max="15" width="8.71"/>
    <col customWidth="1" min="16" max="16" width="11.29"/>
    <col customWidth="1" min="17" max="17" width="10.0"/>
    <col customWidth="1" min="18" max="18" width="8.71"/>
    <col customWidth="1" min="19" max="19" width="16.57"/>
    <col customWidth="1" min="20" max="26" width="8.71"/>
  </cols>
  <sheetData>
    <row r="1">
      <c r="F1" s="4" t="s">
        <v>62</v>
      </c>
      <c r="G1" s="1" t="s">
        <v>0</v>
      </c>
      <c r="M1" s="2" t="s">
        <v>1</v>
      </c>
      <c r="Q1" s="2"/>
      <c r="R1" s="4">
        <v>1.0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M2" s="3" t="str">
        <f t="shared" ref="M2:P2" si="1">H2</f>
        <v>S1</v>
      </c>
      <c r="N2" s="3" t="str">
        <f t="shared" si="1"/>
        <v>S2</v>
      </c>
      <c r="O2" s="3" t="str">
        <f t="shared" si="1"/>
        <v>S3</v>
      </c>
      <c r="P2" s="3" t="str">
        <f t="shared" si="1"/>
        <v>S4</v>
      </c>
      <c r="Q2" s="4" t="s">
        <v>7</v>
      </c>
      <c r="R2" s="4">
        <v>2.0</v>
      </c>
      <c r="S2" s="4" t="s">
        <v>63</v>
      </c>
      <c r="T2" s="4" t="s">
        <v>64</v>
      </c>
    </row>
    <row r="3">
      <c r="A3" s="3" t="s">
        <v>12</v>
      </c>
      <c r="B3" s="3">
        <v>12.0</v>
      </c>
      <c r="C3" s="3">
        <v>193.0</v>
      </c>
      <c r="D3" s="3">
        <v>51.0</v>
      </c>
      <c r="E3" s="3">
        <v>21.0</v>
      </c>
      <c r="F3" s="4">
        <v>2.0</v>
      </c>
      <c r="G3" s="3" t="s">
        <v>3</v>
      </c>
      <c r="H3" s="3">
        <f t="shared" ref="H3:K3" si="2">AVERAGEIFS(INDIRECT($F$1 &amp; "!" &amp; ADDRESS(3, $F3,1)) : INDIRECT($F$1 &amp; "!" &amp; ADDRESS(52, $F3, 1)), INDIRECT($F$1 &amp; "!$Q$3"): INDIRECT($F$1 &amp; "!$Q$52"),H$2)</f>
        <v>2</v>
      </c>
      <c r="I3" s="3">
        <f t="shared" si="2"/>
        <v>2.82</v>
      </c>
      <c r="J3" s="3">
        <f t="shared" si="2"/>
        <v>6.692307692</v>
      </c>
      <c r="K3" s="3">
        <f t="shared" si="2"/>
        <v>9.789473684</v>
      </c>
      <c r="M3" s="3">
        <f t="shared" ref="M3:P3" si="3">SQRT(($B3-H$3)^2+($C3-H$4)^2+($D3-H$5)^2+($E3-H$6)^2)</f>
        <v>189.3638347</v>
      </c>
      <c r="N3" s="3">
        <f t="shared" si="3"/>
        <v>147.6882609</v>
      </c>
      <c r="O3" s="3">
        <f t="shared" si="3"/>
        <v>86.06637043</v>
      </c>
      <c r="P3" s="3">
        <f t="shared" si="3"/>
        <v>27.03322056</v>
      </c>
      <c r="Q3" s="3" t="str">
        <f t="shared" ref="Q3:Q53" si="6">INDEX($M$2:$P$2,1,MATCH(MIN(M3:P3),M3:P3,0))</f>
        <v>S4</v>
      </c>
      <c r="R3" s="4">
        <v>3.0</v>
      </c>
      <c r="S3" s="3" t="str">
        <f t="shared" ref="S3:S52" si="7">INDIRECT($F$1 &amp; "!Q" &amp; R3)</f>
        <v>S4</v>
      </c>
      <c r="T3" s="3">
        <f t="shared" ref="T3:T52" si="8">IF(Q3=S3,0,1)</f>
        <v>0</v>
      </c>
    </row>
    <row r="4">
      <c r="A4" s="3" t="s">
        <v>13</v>
      </c>
      <c r="B4" s="3">
        <v>9.0</v>
      </c>
      <c r="C4" s="3">
        <v>222.0</v>
      </c>
      <c r="D4" s="3">
        <v>39.0</v>
      </c>
      <c r="E4" s="3">
        <v>42.0</v>
      </c>
      <c r="F4" s="4">
        <v>3.0</v>
      </c>
      <c r="G4" s="3" t="s">
        <v>4</v>
      </c>
      <c r="H4" s="3">
        <f t="shared" ref="H4:K4" si="4">AVERAGEIFS(INDIRECT($F$1 &amp; "!" &amp; ADDRESS(3, $F4,1)) : INDIRECT($F$1 &amp; "!" &amp; ADDRESS(52, $F4, 1)), INDIRECT($F$1 &amp; "!$Q$3"): INDIRECT($F$1 &amp; "!$Q$52"),H$2)</f>
        <v>4.175</v>
      </c>
      <c r="I4" s="3">
        <f t="shared" si="4"/>
        <v>45.9</v>
      </c>
      <c r="J4" s="3">
        <f t="shared" si="4"/>
        <v>108.2307692</v>
      </c>
      <c r="K4" s="3">
        <f t="shared" si="4"/>
        <v>215.3684211</v>
      </c>
      <c r="M4" s="3">
        <f t="shared" ref="M4:P4" si="5">SQRT(($B4-H$3)^2+($C4-H$4)^2+($D4-H$5)^2+($E4-H$6)^2)</f>
        <v>220.5397059</v>
      </c>
      <c r="N4" s="3">
        <f t="shared" si="5"/>
        <v>179.3882449</v>
      </c>
      <c r="O4" s="3">
        <f t="shared" si="5"/>
        <v>118.804125</v>
      </c>
      <c r="P4" s="3">
        <f t="shared" si="5"/>
        <v>31.25792974</v>
      </c>
      <c r="Q4" s="3" t="str">
        <f t="shared" si="6"/>
        <v>S4</v>
      </c>
      <c r="R4" s="4">
        <v>4.0</v>
      </c>
      <c r="S4" s="3" t="str">
        <f t="shared" si="7"/>
        <v>S4</v>
      </c>
      <c r="T4" s="3">
        <f t="shared" si="8"/>
        <v>0</v>
      </c>
    </row>
    <row r="5">
      <c r="A5" s="3" t="s">
        <v>14</v>
      </c>
      <c r="B5" s="3">
        <v>6.0</v>
      </c>
      <c r="C5" s="3">
        <v>226.0</v>
      </c>
      <c r="D5" s="3">
        <v>72.0</v>
      </c>
      <c r="E5" s="3">
        <v>30.0</v>
      </c>
      <c r="F5" s="4">
        <v>4.0</v>
      </c>
      <c r="G5" s="3" t="s">
        <v>5</v>
      </c>
      <c r="H5" s="3">
        <f t="shared" ref="H5:K5" si="9">AVERAGEIFS(INDIRECT($F$1 &amp; "!" &amp; ADDRESS(3, $F5,1)) : INDIRECT($F$1 &amp; "!" &amp; ADDRESS(52, $F5, 1)), INDIRECT($F$1 &amp; "!$Q$3"): INDIRECT($F$1 &amp; "!$Q$52"),H$2)</f>
        <v>52.125</v>
      </c>
      <c r="I5" s="3">
        <f t="shared" si="9"/>
        <v>55.5</v>
      </c>
      <c r="J5" s="3">
        <f t="shared" si="9"/>
        <v>64.84615385</v>
      </c>
      <c r="K5" s="3">
        <f t="shared" si="9"/>
        <v>65.10526316</v>
      </c>
      <c r="M5" s="3">
        <f t="shared" ref="M5:P5" si="10">SQRT(($B5-H$3)^2+($C5-H$4)^2+($D5-H$5)^2+($E5-H$6)^2)</f>
        <v>223.5690316</v>
      </c>
      <c r="N5" s="3">
        <f t="shared" si="10"/>
        <v>181.7076289</v>
      </c>
      <c r="O5" s="3">
        <f t="shared" si="10"/>
        <v>118.4377349</v>
      </c>
      <c r="P5" s="3">
        <f t="shared" si="10"/>
        <v>13.77279023</v>
      </c>
      <c r="Q5" s="3" t="str">
        <f t="shared" si="6"/>
        <v>S4</v>
      </c>
      <c r="R5" s="4">
        <v>5.0</v>
      </c>
      <c r="S5" s="3" t="str">
        <f t="shared" si="7"/>
        <v>S4</v>
      </c>
      <c r="T5" s="3">
        <f t="shared" si="8"/>
        <v>0</v>
      </c>
    </row>
    <row r="6">
      <c r="A6" s="3" t="s">
        <v>15</v>
      </c>
      <c r="B6" s="3">
        <v>8.0</v>
      </c>
      <c r="C6" s="3">
        <v>177.0</v>
      </c>
      <c r="D6" s="3">
        <v>50.0</v>
      </c>
      <c r="E6" s="3">
        <v>17.0</v>
      </c>
      <c r="F6" s="4">
        <v>5.0</v>
      </c>
      <c r="G6" s="3" t="s">
        <v>6</v>
      </c>
      <c r="H6" s="3">
        <f t="shared" ref="H6:K6" si="11">AVERAGEIFS(INDIRECT($F$1 &amp; "!" &amp; ADDRESS(3, $F6,1)) : INDIRECT($F$1 &amp; "!" &amp; ADDRESS(52, $F6, 1)), INDIRECT($F$1 &amp; "!$Q$3"): INDIRECT($F$1 &amp; "!$Q$52"),H$2)</f>
        <v>10.875</v>
      </c>
      <c r="I6" s="3">
        <f t="shared" si="11"/>
        <v>12.7</v>
      </c>
      <c r="J6" s="3">
        <f t="shared" si="11"/>
        <v>19.69230769</v>
      </c>
      <c r="K6" s="3">
        <f t="shared" si="11"/>
        <v>26.15789474</v>
      </c>
      <c r="M6" s="3">
        <f t="shared" ref="M6:P6" si="12">SQRT(($B6-H$3)^2+($C6-H$4)^2+($D6-H$5)^2+($E6-H$6)^2)</f>
        <v>173.050605</v>
      </c>
      <c r="N6" s="3">
        <f t="shared" si="12"/>
        <v>131.3879081</v>
      </c>
      <c r="O6" s="3">
        <f t="shared" si="12"/>
        <v>70.41714255</v>
      </c>
      <c r="P6" s="3">
        <f t="shared" si="12"/>
        <v>42.27734572</v>
      </c>
      <c r="Q6" s="3" t="str">
        <f t="shared" si="6"/>
        <v>S4</v>
      </c>
      <c r="R6" s="4">
        <v>6.0</v>
      </c>
      <c r="S6" s="3" t="str">
        <f t="shared" si="7"/>
        <v>S4</v>
      </c>
      <c r="T6" s="3">
        <f t="shared" si="8"/>
        <v>0</v>
      </c>
    </row>
    <row r="7">
      <c r="A7" s="3" t="s">
        <v>16</v>
      </c>
      <c r="B7" s="3">
        <v>7.0</v>
      </c>
      <c r="C7" s="3">
        <v>235.0</v>
      </c>
      <c r="D7" s="3">
        <v>86.0</v>
      </c>
      <c r="E7" s="3">
        <v>39.0</v>
      </c>
      <c r="M7" s="3">
        <f t="shared" ref="M7:P7" si="13">SQRT(($B7-H$3)^2+($C7-H$4)^2+($D7-H$5)^2+($E7-H$6)^2)</f>
        <v>235.0398091</v>
      </c>
      <c r="N7" s="3">
        <f t="shared" si="13"/>
        <v>193.3862001</v>
      </c>
      <c r="O7" s="3">
        <f t="shared" si="13"/>
        <v>129.9646288</v>
      </c>
      <c r="P7" s="3">
        <f t="shared" si="13"/>
        <v>31.53870243</v>
      </c>
      <c r="Q7" s="3" t="str">
        <f t="shared" si="6"/>
        <v>S4</v>
      </c>
      <c r="R7" s="4">
        <v>7.0</v>
      </c>
      <c r="S7" s="3" t="str">
        <f t="shared" si="7"/>
        <v>S4</v>
      </c>
      <c r="T7" s="3">
        <f t="shared" si="8"/>
        <v>0</v>
      </c>
    </row>
    <row r="8">
      <c r="A8" s="3" t="s">
        <v>17</v>
      </c>
      <c r="B8" s="3">
        <v>5.0</v>
      </c>
      <c r="C8" s="3">
        <v>170.0</v>
      </c>
      <c r="D8" s="3">
        <v>78.0</v>
      </c>
      <c r="E8" s="3">
        <v>37.0</v>
      </c>
      <c r="M8" s="3">
        <f t="shared" ref="M8:P8" si="14">SQRT(($B8-H$3)^2+($C8-H$4)^2+($D8-H$5)^2+($E8-H$6)^2)</f>
        <v>169.8792568</v>
      </c>
      <c r="N8" s="3">
        <f t="shared" si="14"/>
        <v>128.4612876</v>
      </c>
      <c r="O8" s="3">
        <f t="shared" si="14"/>
        <v>65.50482163</v>
      </c>
      <c r="P8" s="3">
        <f t="shared" si="14"/>
        <v>48.63186375</v>
      </c>
      <c r="Q8" s="3" t="str">
        <f t="shared" si="6"/>
        <v>S4</v>
      </c>
      <c r="R8" s="4">
        <v>8.0</v>
      </c>
      <c r="S8" s="3" t="str">
        <f t="shared" si="7"/>
        <v>S4</v>
      </c>
      <c r="T8" s="3">
        <f t="shared" si="8"/>
        <v>0</v>
      </c>
    </row>
    <row r="9">
      <c r="A9" s="3" t="s">
        <v>18</v>
      </c>
      <c r="B9" s="3">
        <v>0.0</v>
      </c>
      <c r="C9" s="3">
        <v>35.0</v>
      </c>
      <c r="D9" s="3">
        <v>75.0</v>
      </c>
      <c r="E9" s="3">
        <v>7.0</v>
      </c>
      <c r="M9" s="3">
        <f t="shared" ref="M9:P9" si="15">SQRT(($B9-H$3)^2+($C9-H$4)^2+($D9-H$5)^2+($E9-H$6)^2)</f>
        <v>38.63239411</v>
      </c>
      <c r="N9" s="3">
        <f t="shared" si="15"/>
        <v>23.22719096</v>
      </c>
      <c r="O9" s="3">
        <f t="shared" si="15"/>
        <v>75.31087445</v>
      </c>
      <c r="P9" s="3">
        <f t="shared" si="15"/>
        <v>181.9162771</v>
      </c>
      <c r="Q9" s="3" t="str">
        <f t="shared" si="6"/>
        <v>S2</v>
      </c>
      <c r="R9" s="4">
        <v>9.0</v>
      </c>
      <c r="S9" s="3" t="str">
        <f t="shared" si="7"/>
        <v>S2</v>
      </c>
      <c r="T9" s="3">
        <f t="shared" si="8"/>
        <v>0</v>
      </c>
    </row>
    <row r="10">
      <c r="A10" s="3" t="s">
        <v>19</v>
      </c>
      <c r="B10" s="3">
        <v>4.0</v>
      </c>
      <c r="C10" s="3">
        <v>198.0</v>
      </c>
      <c r="D10" s="3">
        <v>70.0</v>
      </c>
      <c r="E10" s="3">
        <v>15.0</v>
      </c>
      <c r="G10" s="4" t="s">
        <v>65</v>
      </c>
      <c r="I10" s="3">
        <f>SUM(T3:T52)</f>
        <v>4</v>
      </c>
      <c r="M10" s="3">
        <f t="shared" ref="M10:P10" si="16">SQRT(($B10-H$3)^2+($C10-H$4)^2+($D10-H$5)^2+($E10-H$6)^2)</f>
        <v>194.7014686</v>
      </c>
      <c r="N10" s="3">
        <f t="shared" si="16"/>
        <v>152.8114603</v>
      </c>
      <c r="O10" s="3">
        <f t="shared" si="16"/>
        <v>90.07964917</v>
      </c>
      <c r="P10" s="3">
        <f t="shared" si="16"/>
        <v>21.99175116</v>
      </c>
      <c r="Q10" s="3" t="str">
        <f t="shared" si="6"/>
        <v>S4</v>
      </c>
      <c r="R10" s="4">
        <v>10.0</v>
      </c>
      <c r="S10" s="3" t="str">
        <f t="shared" si="7"/>
        <v>S4</v>
      </c>
      <c r="T10" s="3">
        <f t="shared" si="8"/>
        <v>0</v>
      </c>
    </row>
    <row r="11">
      <c r="A11" s="3" t="s">
        <v>20</v>
      </c>
      <c r="B11" s="3">
        <v>13.0</v>
      </c>
      <c r="C11" s="3">
        <v>259.0</v>
      </c>
      <c r="D11" s="3">
        <v>74.0</v>
      </c>
      <c r="E11" s="3">
        <v>30.0</v>
      </c>
      <c r="M11" s="3">
        <f t="shared" ref="M11:P11" si="17">SQRT(($B11-H$3)^2+($C11-H$4)^2+($D11-H$5)^2+($E11-H$6)^2)</f>
        <v>256.7120213</v>
      </c>
      <c r="N11" s="3">
        <f t="shared" si="17"/>
        <v>214.8412958</v>
      </c>
      <c r="O11" s="3">
        <f t="shared" si="17"/>
        <v>151.5294999</v>
      </c>
      <c r="P11" s="3">
        <f t="shared" si="17"/>
        <v>44.80960028</v>
      </c>
      <c r="Q11" s="3" t="str">
        <f t="shared" si="6"/>
        <v>S4</v>
      </c>
      <c r="R11" s="4">
        <v>11.0</v>
      </c>
      <c r="S11" s="3" t="str">
        <f t="shared" si="7"/>
        <v>S4</v>
      </c>
      <c r="T11" s="3">
        <f t="shared" si="8"/>
        <v>0</v>
      </c>
    </row>
    <row r="12">
      <c r="A12" s="3" t="s">
        <v>21</v>
      </c>
      <c r="B12" s="3">
        <v>15.0</v>
      </c>
      <c r="C12" s="3">
        <v>136.0</v>
      </c>
      <c r="D12" s="3">
        <v>52.0</v>
      </c>
      <c r="E12" s="3">
        <v>24.0</v>
      </c>
      <c r="M12" s="3">
        <f t="shared" ref="M12:P12" si="18">SQRT(($B12-H$3)^2+($C12-H$4)^2+($D12-H$5)^2+($E12-H$6)^2)</f>
        <v>133.1131544</v>
      </c>
      <c r="N12" s="3">
        <f t="shared" si="18"/>
        <v>91.68588986</v>
      </c>
      <c r="O12" s="3">
        <f t="shared" si="18"/>
        <v>31.99574676</v>
      </c>
      <c r="P12" s="3">
        <f t="shared" si="18"/>
        <v>80.64056223</v>
      </c>
      <c r="Q12" s="3" t="str">
        <f t="shared" si="6"/>
        <v>S3</v>
      </c>
      <c r="R12" s="4">
        <v>12.0</v>
      </c>
      <c r="S12" s="3" t="str">
        <f t="shared" si="7"/>
        <v>S3</v>
      </c>
      <c r="T12" s="3">
        <f t="shared" si="8"/>
        <v>0</v>
      </c>
    </row>
    <row r="13">
      <c r="A13" s="3" t="s">
        <v>22</v>
      </c>
      <c r="B13" s="3">
        <v>5.0</v>
      </c>
      <c r="C13" s="3">
        <v>32.0</v>
      </c>
      <c r="D13" s="3">
        <v>82.0</v>
      </c>
      <c r="E13" s="3">
        <v>17.0</v>
      </c>
      <c r="M13" s="3">
        <f t="shared" ref="M13:P13" si="19">SQRT(($B13-H$3)^2+($C13-H$4)^2+($D13-H$5)^2+($E13-H$6)^2)</f>
        <v>41.39156768</v>
      </c>
      <c r="N13" s="3">
        <f t="shared" si="19"/>
        <v>30.31010393</v>
      </c>
      <c r="O13" s="3">
        <f t="shared" si="19"/>
        <v>78.20164347</v>
      </c>
      <c r="P13" s="3">
        <f t="shared" si="19"/>
        <v>184.4348559</v>
      </c>
      <c r="Q13" s="3" t="str">
        <f t="shared" si="6"/>
        <v>S2</v>
      </c>
      <c r="R13" s="4">
        <v>13.0</v>
      </c>
      <c r="S13" s="3" t="str">
        <f t="shared" si="7"/>
        <v>S2</v>
      </c>
      <c r="T13" s="3">
        <f t="shared" si="8"/>
        <v>0</v>
      </c>
    </row>
    <row r="14">
      <c r="A14" s="3" t="s">
        <v>23</v>
      </c>
      <c r="B14" s="3">
        <v>0.0</v>
      </c>
      <c r="C14" s="3">
        <v>54.0</v>
      </c>
      <c r="D14" s="3">
        <v>47.0</v>
      </c>
      <c r="E14" s="3">
        <v>12.0</v>
      </c>
      <c r="M14" s="3">
        <f t="shared" ref="M14:P14" si="20">SQRT(($B14-H$3)^2+($C14-H$4)^2+($D14-H$5)^2+($E14-H$6)^2)</f>
        <v>50.14042157</v>
      </c>
      <c r="N14" s="3">
        <f t="shared" si="20"/>
        <v>12.0955529</v>
      </c>
      <c r="O14" s="3">
        <f t="shared" si="20"/>
        <v>57.9950008</v>
      </c>
      <c r="P14" s="3">
        <f t="shared" si="20"/>
        <v>163.2906845</v>
      </c>
      <c r="Q14" s="3" t="str">
        <f t="shared" si="6"/>
        <v>S2</v>
      </c>
      <c r="R14" s="4">
        <v>14.0</v>
      </c>
      <c r="S14" s="3" t="str">
        <f t="shared" si="7"/>
        <v>S2</v>
      </c>
      <c r="T14" s="3">
        <f t="shared" si="8"/>
        <v>0</v>
      </c>
    </row>
    <row r="15">
      <c r="A15" s="3" t="s">
        <v>24</v>
      </c>
      <c r="B15" s="3">
        <v>10.0</v>
      </c>
      <c r="C15" s="3">
        <v>218.0</v>
      </c>
      <c r="D15" s="3">
        <v>79.0</v>
      </c>
      <c r="E15" s="3">
        <v>20.0</v>
      </c>
      <c r="M15" s="3">
        <f t="shared" ref="M15:P15" si="21">SQRT(($B15-H$3)^2+($C15-H$4)^2+($D15-H$5)^2+($E15-H$6)^2)</f>
        <v>215.8487014</v>
      </c>
      <c r="N15" s="3">
        <f t="shared" si="21"/>
        <v>173.9985701</v>
      </c>
      <c r="O15" s="3">
        <f t="shared" si="21"/>
        <v>110.7278235</v>
      </c>
      <c r="P15" s="3">
        <f t="shared" si="21"/>
        <v>15.4257223</v>
      </c>
      <c r="Q15" s="3" t="str">
        <f t="shared" si="6"/>
        <v>S4</v>
      </c>
      <c r="R15" s="4">
        <v>15.0</v>
      </c>
      <c r="S15" s="3" t="str">
        <f t="shared" si="7"/>
        <v>S4</v>
      </c>
      <c r="T15" s="3">
        <f t="shared" si="8"/>
        <v>0</v>
      </c>
    </row>
    <row r="16">
      <c r="A16" s="3" t="s">
        <v>25</v>
      </c>
      <c r="B16" s="3">
        <v>7.0</v>
      </c>
      <c r="C16" s="3">
        <v>26.0</v>
      </c>
      <c r="D16" s="3">
        <v>65.0</v>
      </c>
      <c r="E16" s="3">
        <v>19.0</v>
      </c>
      <c r="M16" s="3">
        <f t="shared" ref="M16:P16" si="22">SQRT(($B16-H$3)^2+($C16-H$4)^2+($D16-H$5)^2+($E16-H$6)^2)</f>
        <v>27.07603876</v>
      </c>
      <c r="N16" s="3">
        <f t="shared" si="22"/>
        <v>23.31142209</v>
      </c>
      <c r="O16" s="3">
        <f t="shared" si="22"/>
        <v>82.23440303</v>
      </c>
      <c r="P16" s="3">
        <f t="shared" si="22"/>
        <v>189.5242111</v>
      </c>
      <c r="Q16" s="3" t="str">
        <f t="shared" si="6"/>
        <v>S2</v>
      </c>
      <c r="R16" s="4">
        <v>16.0</v>
      </c>
      <c r="S16" s="3" t="str">
        <f t="shared" si="7"/>
        <v>S2</v>
      </c>
      <c r="T16" s="3">
        <f t="shared" si="8"/>
        <v>0</v>
      </c>
    </row>
    <row r="17">
      <c r="A17" s="3" t="s">
        <v>26</v>
      </c>
      <c r="B17" s="3">
        <v>2.0</v>
      </c>
      <c r="C17" s="3">
        <v>0.1</v>
      </c>
      <c r="D17" s="3">
        <v>53.0</v>
      </c>
      <c r="E17" s="3">
        <v>9.0</v>
      </c>
      <c r="M17" s="3">
        <f t="shared" ref="M17:P17" si="23">SQRT(($B17-H$3)^2+($C17-H$4)^2+($D17-H$5)^2+($E17-H$6)^2)</f>
        <v>4.570216078</v>
      </c>
      <c r="N17" s="3">
        <f t="shared" si="23"/>
        <v>46.0244761</v>
      </c>
      <c r="O17" s="3">
        <f t="shared" si="23"/>
        <v>109.4026408</v>
      </c>
      <c r="P17" s="3">
        <f t="shared" si="23"/>
        <v>216.4303577</v>
      </c>
      <c r="Q17" s="3" t="str">
        <f t="shared" si="6"/>
        <v>S1</v>
      </c>
      <c r="R17" s="4">
        <v>17.0</v>
      </c>
      <c r="S17" s="3" t="str">
        <f t="shared" si="7"/>
        <v>S1</v>
      </c>
      <c r="T17" s="3">
        <f t="shared" si="8"/>
        <v>0</v>
      </c>
    </row>
    <row r="18">
      <c r="A18" s="3" t="s">
        <v>27</v>
      </c>
      <c r="B18" s="3">
        <v>3.0</v>
      </c>
      <c r="C18" s="3">
        <v>80.0</v>
      </c>
      <c r="D18" s="3">
        <v>56.0</v>
      </c>
      <c r="E18" s="3">
        <v>16.0</v>
      </c>
      <c r="M18" s="3">
        <f t="shared" ref="M18:P18" si="24">SQRT(($B18-H$3)^2+($C18-H$4)^2+($D18-H$5)^2+($E18-H$6)^2)</f>
        <v>76.1032974</v>
      </c>
      <c r="N18" s="3">
        <f t="shared" si="24"/>
        <v>34.26342657</v>
      </c>
      <c r="O18" s="3">
        <f t="shared" si="24"/>
        <v>30.04158853</v>
      </c>
      <c r="P18" s="3">
        <f t="shared" si="24"/>
        <v>136.2233277</v>
      </c>
      <c r="Q18" s="3" t="str">
        <f t="shared" si="6"/>
        <v>S3</v>
      </c>
      <c r="R18" s="4">
        <v>18.0</v>
      </c>
      <c r="S18" s="3" t="str">
        <f t="shared" si="7"/>
        <v>S3</v>
      </c>
      <c r="T18" s="3">
        <f t="shared" si="8"/>
        <v>0</v>
      </c>
    </row>
    <row r="19">
      <c r="A19" s="3" t="s">
        <v>28</v>
      </c>
      <c r="B19" s="3">
        <v>7.0</v>
      </c>
      <c r="C19" s="3">
        <v>70.0</v>
      </c>
      <c r="D19" s="3">
        <v>43.0</v>
      </c>
      <c r="E19" s="3">
        <v>15.0</v>
      </c>
      <c r="M19" s="3">
        <f t="shared" ref="M19:P19" si="25">SQRT(($B19-H$3)^2+($C19-H$4)^2+($D19-H$5)^2+($E19-H$6)^2)</f>
        <v>66.76984256</v>
      </c>
      <c r="N19" s="3">
        <f t="shared" si="25"/>
        <v>27.5648762</v>
      </c>
      <c r="O19" s="3">
        <f t="shared" si="25"/>
        <v>44.28271198</v>
      </c>
      <c r="P19" s="3">
        <f t="shared" si="25"/>
        <v>147.4886446</v>
      </c>
      <c r="Q19" s="3" t="str">
        <f t="shared" si="6"/>
        <v>S2</v>
      </c>
      <c r="R19" s="4">
        <v>19.0</v>
      </c>
      <c r="S19" s="3" t="str">
        <f t="shared" si="7"/>
        <v>S2</v>
      </c>
      <c r="T19" s="3">
        <f t="shared" si="8"/>
        <v>0</v>
      </c>
    </row>
    <row r="20">
      <c r="A20" s="3" t="s">
        <v>29</v>
      </c>
      <c r="B20" s="3">
        <v>15.0</v>
      </c>
      <c r="C20" s="3">
        <v>159.0</v>
      </c>
      <c r="D20" s="3">
        <v>61.0</v>
      </c>
      <c r="E20" s="3">
        <v>19.0</v>
      </c>
      <c r="M20" s="3">
        <f t="shared" ref="M20:P20" si="26">SQRT(($B20-H$3)^2+($C20-H$4)^2+($D20-H$5)^2+($E20-H$6)^2)</f>
        <v>155.835047</v>
      </c>
      <c r="N20" s="3">
        <f t="shared" si="26"/>
        <v>114.0609591</v>
      </c>
      <c r="O20" s="3">
        <f t="shared" si="26"/>
        <v>51.59268101</v>
      </c>
      <c r="P20" s="3">
        <f t="shared" si="26"/>
        <v>57.2069674</v>
      </c>
      <c r="Q20" s="3" t="str">
        <f t="shared" si="6"/>
        <v>S3</v>
      </c>
      <c r="R20" s="4">
        <v>20.0</v>
      </c>
      <c r="S20" s="3" t="str">
        <f t="shared" si="7"/>
        <v>S4</v>
      </c>
      <c r="T20" s="3">
        <f t="shared" si="8"/>
        <v>1</v>
      </c>
    </row>
    <row r="21" ht="15.75" customHeight="1">
      <c r="A21" s="3" t="s">
        <v>30</v>
      </c>
      <c r="B21" s="3">
        <v>1.0</v>
      </c>
      <c r="C21" s="3">
        <v>0.1</v>
      </c>
      <c r="D21" s="3">
        <v>45.0</v>
      </c>
      <c r="E21" s="3">
        <v>7.0</v>
      </c>
      <c r="M21" s="3">
        <f t="shared" ref="M21:P21" si="27">SQRT(($B21-H$3)^2+($C21-H$4)^2+($D21-H$5)^2+($E21-H$6)^2)</f>
        <v>9.131641419</v>
      </c>
      <c r="N21" s="3">
        <f t="shared" si="27"/>
        <v>47.3676303</v>
      </c>
      <c r="O21" s="3">
        <f t="shared" si="27"/>
        <v>110.8134925</v>
      </c>
      <c r="P21" s="3">
        <f t="shared" si="27"/>
        <v>217.2302799</v>
      </c>
      <c r="Q21" s="3" t="str">
        <f t="shared" si="6"/>
        <v>S1</v>
      </c>
      <c r="R21" s="4">
        <v>21.0</v>
      </c>
      <c r="S21" s="3" t="str">
        <f t="shared" si="7"/>
        <v>S1</v>
      </c>
      <c r="T21" s="3">
        <f t="shared" si="8"/>
        <v>0</v>
      </c>
    </row>
    <row r="22" ht="15.75" customHeight="1">
      <c r="A22" s="3" t="s">
        <v>31</v>
      </c>
      <c r="B22" s="3">
        <v>10.0</v>
      </c>
      <c r="C22" s="3">
        <v>260.0</v>
      </c>
      <c r="D22" s="3">
        <v>63.0</v>
      </c>
      <c r="E22" s="3">
        <v>28.0</v>
      </c>
      <c r="M22" s="3">
        <f t="shared" ref="M22:P22" si="28">SQRT(($B22-H$3)^2+($C22-H$4)^2+($D22-H$5)^2+($E22-H$6)^2)</f>
        <v>256.7527252</v>
      </c>
      <c r="N22" s="3">
        <f t="shared" si="28"/>
        <v>214.8969576</v>
      </c>
      <c r="O22" s="3">
        <f t="shared" si="28"/>
        <v>152.0436328</v>
      </c>
      <c r="P22" s="3">
        <f t="shared" si="28"/>
        <v>44.71965614</v>
      </c>
      <c r="Q22" s="3" t="str">
        <f t="shared" si="6"/>
        <v>S4</v>
      </c>
      <c r="R22" s="4">
        <v>22.0</v>
      </c>
      <c r="S22" s="3" t="str">
        <f t="shared" si="7"/>
        <v>S4</v>
      </c>
      <c r="T22" s="3">
        <f t="shared" si="8"/>
        <v>0</v>
      </c>
    </row>
    <row r="23" ht="15.75" customHeight="1">
      <c r="A23" s="3" t="s">
        <v>32</v>
      </c>
      <c r="B23" s="3">
        <v>2.0</v>
      </c>
      <c r="C23" s="3">
        <v>138.0</v>
      </c>
      <c r="D23" s="3">
        <v>82.0</v>
      </c>
      <c r="E23" s="3">
        <v>13.0</v>
      </c>
      <c r="M23" s="3">
        <f t="shared" ref="M23:P23" si="29">SQRT(($B23-H$3)^2+($C23-H$4)^2+($D23-H$5)^2+($E23-H$6)^2)</f>
        <v>137.1355602</v>
      </c>
      <c r="N23" s="3">
        <f t="shared" si="29"/>
        <v>95.84060935</v>
      </c>
      <c r="O23" s="3">
        <f t="shared" si="29"/>
        <v>35.31665715</v>
      </c>
      <c r="P23" s="3">
        <f t="shared" si="29"/>
        <v>80.65426711</v>
      </c>
      <c r="Q23" s="3" t="str">
        <f t="shared" si="6"/>
        <v>S3</v>
      </c>
      <c r="R23" s="4">
        <v>23.0</v>
      </c>
      <c r="S23" s="3" t="str">
        <f t="shared" si="7"/>
        <v>S3</v>
      </c>
      <c r="T23" s="3">
        <f t="shared" si="8"/>
        <v>0</v>
      </c>
    </row>
    <row r="24" ht="15.75" customHeight="1">
      <c r="A24" s="3" t="s">
        <v>33</v>
      </c>
      <c r="B24" s="3">
        <v>11.0</v>
      </c>
      <c r="C24" s="3">
        <v>251.0</v>
      </c>
      <c r="D24" s="3">
        <v>68.0</v>
      </c>
      <c r="E24" s="3">
        <v>35.0</v>
      </c>
      <c r="M24" s="3">
        <f t="shared" ref="M24:P24" si="30">SQRT(($B24-H$3)^2+($C24-H$4)^2+($D24-H$5)^2+($E24-H$6)^2)</f>
        <v>248.671695</v>
      </c>
      <c r="N24" s="3">
        <f t="shared" si="30"/>
        <v>206.8488878</v>
      </c>
      <c r="O24" s="3">
        <f t="shared" si="30"/>
        <v>143.6867484</v>
      </c>
      <c r="P24" s="3">
        <f t="shared" si="30"/>
        <v>36.8461276</v>
      </c>
      <c r="Q24" s="3" t="str">
        <f t="shared" si="6"/>
        <v>S4</v>
      </c>
      <c r="R24" s="4">
        <v>24.0</v>
      </c>
      <c r="S24" s="3" t="str">
        <f t="shared" si="7"/>
        <v>S4</v>
      </c>
      <c r="T24" s="3">
        <f t="shared" si="8"/>
        <v>0</v>
      </c>
    </row>
    <row r="25" ht="15.75" customHeight="1">
      <c r="A25" s="3" t="s">
        <v>34</v>
      </c>
      <c r="B25" s="3">
        <v>1.0</v>
      </c>
      <c r="C25" s="3">
        <v>3.0</v>
      </c>
      <c r="D25" s="3">
        <v>62.0</v>
      </c>
      <c r="E25" s="3">
        <v>14.0</v>
      </c>
      <c r="M25" s="3">
        <f t="shared" ref="M25:P25" si="31">SQRT(($B25-H$3)^2+($C25-H$4)^2+($D25-H$5)^2+($E25-H$6)^2)</f>
        <v>10.4719566</v>
      </c>
      <c r="N25" s="3">
        <f t="shared" si="31"/>
        <v>43.44723697</v>
      </c>
      <c r="O25" s="3">
        <f t="shared" si="31"/>
        <v>105.5766078</v>
      </c>
      <c r="P25" s="3">
        <f t="shared" si="31"/>
        <v>212.9203094</v>
      </c>
      <c r="Q25" s="3" t="str">
        <f t="shared" si="6"/>
        <v>S1</v>
      </c>
      <c r="R25" s="4">
        <v>25.0</v>
      </c>
      <c r="S25" s="3" t="str">
        <f t="shared" si="7"/>
        <v>S1</v>
      </c>
      <c r="T25" s="3">
        <f t="shared" si="8"/>
        <v>0</v>
      </c>
    </row>
    <row r="26" ht="15.75" customHeight="1">
      <c r="A26" s="3" t="s">
        <v>35</v>
      </c>
      <c r="B26" s="3">
        <v>13.0</v>
      </c>
      <c r="C26" s="3">
        <v>209.0</v>
      </c>
      <c r="D26" s="3">
        <v>44.0</v>
      </c>
      <c r="E26" s="3">
        <v>13.0</v>
      </c>
      <c r="M26" s="3">
        <f t="shared" ref="M26:P26" si="32">SQRT(($B26-H$3)^2+($C26-H$4)^2+($D26-H$5)^2+($E26-H$6)^2)</f>
        <v>205.2920161</v>
      </c>
      <c r="N26" s="3">
        <f t="shared" si="32"/>
        <v>163.8218007</v>
      </c>
      <c r="O26" s="3">
        <f t="shared" si="32"/>
        <v>103.3129903</v>
      </c>
      <c r="P26" s="3">
        <f t="shared" si="32"/>
        <v>25.87327951</v>
      </c>
      <c r="Q26" s="3" t="str">
        <f t="shared" si="6"/>
        <v>S4</v>
      </c>
      <c r="R26" s="4">
        <v>26.0</v>
      </c>
      <c r="S26" s="3" t="str">
        <f t="shared" si="7"/>
        <v>S4</v>
      </c>
      <c r="T26" s="3">
        <f t="shared" si="8"/>
        <v>0</v>
      </c>
    </row>
    <row r="27" ht="15.75" customHeight="1">
      <c r="A27" s="3" t="s">
        <v>36</v>
      </c>
      <c r="B27" s="3">
        <v>8.0</v>
      </c>
      <c r="C27" s="3">
        <v>80.0</v>
      </c>
      <c r="D27" s="3">
        <v>61.0</v>
      </c>
      <c r="E27" s="3">
        <v>28.0</v>
      </c>
      <c r="M27" s="3">
        <f t="shared" ref="M27:P27" si="33">SQRT(($B27-H$3)^2+($C27-H$4)^2+($D27-H$5)^2+($E27-H$6)^2)</f>
        <v>78.46949646</v>
      </c>
      <c r="N27" s="3">
        <f t="shared" si="33"/>
        <v>38.13112115</v>
      </c>
      <c r="O27" s="3">
        <f t="shared" si="33"/>
        <v>29.70685176</v>
      </c>
      <c r="P27" s="3">
        <f t="shared" si="33"/>
        <v>135.4550042</v>
      </c>
      <c r="Q27" s="3" t="str">
        <f t="shared" si="6"/>
        <v>S3</v>
      </c>
      <c r="R27" s="4">
        <v>27.0</v>
      </c>
      <c r="S27" s="3" t="str">
        <f t="shared" si="7"/>
        <v>S3</v>
      </c>
      <c r="T27" s="3">
        <f t="shared" si="8"/>
        <v>0</v>
      </c>
    </row>
    <row r="28" ht="15.75" customHeight="1">
      <c r="A28" s="3" t="s">
        <v>37</v>
      </c>
      <c r="B28" s="3">
        <v>5.0</v>
      </c>
      <c r="C28" s="3">
        <v>19.0</v>
      </c>
      <c r="D28" s="3">
        <v>45.0</v>
      </c>
      <c r="E28" s="3">
        <v>15.0</v>
      </c>
      <c r="M28" s="3">
        <f t="shared" ref="M28:P28" si="34">SQRT(($B28-H$3)^2+($C28-H$4)^2+($D28-H$5)^2+($E28-H$6)^2)</f>
        <v>17.22097195</v>
      </c>
      <c r="N28" s="3">
        <f t="shared" si="34"/>
        <v>29.04999828</v>
      </c>
      <c r="O28" s="3">
        <f t="shared" si="34"/>
        <v>91.54715537</v>
      </c>
      <c r="P28" s="3">
        <f t="shared" si="34"/>
        <v>197.7680866</v>
      </c>
      <c r="Q28" s="3" t="str">
        <f t="shared" si="6"/>
        <v>S1</v>
      </c>
      <c r="R28" s="4">
        <v>28.0</v>
      </c>
      <c r="S28" s="3" t="str">
        <f t="shared" si="7"/>
        <v>S1</v>
      </c>
      <c r="T28" s="3">
        <f t="shared" si="8"/>
        <v>0</v>
      </c>
    </row>
    <row r="29" ht="15.75" customHeight="1">
      <c r="A29" s="3" t="s">
        <v>38</v>
      </c>
      <c r="B29" s="3">
        <v>4.0</v>
      </c>
      <c r="C29" s="3">
        <v>10.0</v>
      </c>
      <c r="D29" s="3">
        <v>56.0</v>
      </c>
      <c r="E29" s="3">
        <v>13.0</v>
      </c>
      <c r="M29" s="3">
        <f t="shared" ref="M29:P29" si="35">SQRT(($B29-H$3)^2+($C29-H$4)^2+($D29-H$5)^2+($E29-H$6)^2)</f>
        <v>7.580361139</v>
      </c>
      <c r="N29" s="3">
        <f t="shared" si="35"/>
        <v>35.92412003</v>
      </c>
      <c r="O29" s="3">
        <f t="shared" si="35"/>
        <v>98.89172849</v>
      </c>
      <c r="P29" s="3">
        <f t="shared" si="35"/>
        <v>206.0721776</v>
      </c>
      <c r="Q29" s="3" t="str">
        <f t="shared" si="6"/>
        <v>S1</v>
      </c>
      <c r="R29" s="4">
        <v>29.0</v>
      </c>
      <c r="S29" s="3" t="str">
        <f t="shared" si="7"/>
        <v>S1</v>
      </c>
      <c r="T29" s="3">
        <f t="shared" si="8"/>
        <v>0</v>
      </c>
    </row>
    <row r="30" ht="15.75" customHeight="1">
      <c r="A30" s="3" t="s">
        <v>39</v>
      </c>
      <c r="B30" s="3">
        <v>11.0</v>
      </c>
      <c r="C30" s="3">
        <v>239.0</v>
      </c>
      <c r="D30" s="3">
        <v>75.0</v>
      </c>
      <c r="E30" s="3">
        <v>43.0</v>
      </c>
      <c r="M30" s="3">
        <f t="shared" ref="M30:P30" si="36">SQRT(($B30-H$3)^2+($C30-H$4)^2+($D30-H$5)^2+($E30-H$6)^2)</f>
        <v>238.2835745</v>
      </c>
      <c r="N30" s="3">
        <f t="shared" si="36"/>
        <v>196.6033123</v>
      </c>
      <c r="O30" s="3">
        <f t="shared" si="36"/>
        <v>133.2872726</v>
      </c>
      <c r="P30" s="3">
        <f t="shared" si="36"/>
        <v>30.68353344</v>
      </c>
      <c r="Q30" s="3" t="str">
        <f t="shared" si="6"/>
        <v>S4</v>
      </c>
      <c r="R30" s="4">
        <v>30.0</v>
      </c>
      <c r="S30" s="3" t="str">
        <f t="shared" si="7"/>
        <v>S4</v>
      </c>
      <c r="T30" s="3">
        <f t="shared" si="8"/>
        <v>0</v>
      </c>
    </row>
    <row r="31" ht="15.75" customHeight="1">
      <c r="A31" s="3" t="s">
        <v>40</v>
      </c>
      <c r="B31" s="3">
        <v>0.0</v>
      </c>
      <c r="C31" s="3">
        <v>0.1</v>
      </c>
      <c r="D31" s="3">
        <v>53.0</v>
      </c>
      <c r="E31" s="3">
        <v>6.0</v>
      </c>
      <c r="M31" s="3">
        <f t="shared" ref="M31:P31" si="37">SQRT(($B31-H$3)^2+($C31-H$4)^2+($D31-H$5)^2+($E31-H$6)^2)</f>
        <v>6.718398247</v>
      </c>
      <c r="N31" s="3">
        <f t="shared" si="37"/>
        <v>46.44063307</v>
      </c>
      <c r="O31" s="3">
        <f t="shared" si="37"/>
        <v>109.8401606</v>
      </c>
      <c r="P31" s="3">
        <f t="shared" si="37"/>
        <v>216.7699357</v>
      </c>
      <c r="Q31" s="3" t="str">
        <f t="shared" si="6"/>
        <v>S1</v>
      </c>
      <c r="R31" s="4">
        <v>31.0</v>
      </c>
      <c r="S31" s="3" t="str">
        <f t="shared" si="7"/>
        <v>S1</v>
      </c>
      <c r="T31" s="3">
        <f t="shared" si="8"/>
        <v>0</v>
      </c>
    </row>
    <row r="32" ht="15.75" customHeight="1">
      <c r="A32" s="3" t="s">
        <v>41</v>
      </c>
      <c r="B32" s="3">
        <v>5.0</v>
      </c>
      <c r="C32" s="3">
        <v>155.0</v>
      </c>
      <c r="D32" s="3">
        <v>87.0</v>
      </c>
      <c r="E32" s="3">
        <v>19.0</v>
      </c>
      <c r="M32" s="3">
        <f t="shared" ref="M32:P32" si="38">SQRT(($B32-H$3)^2+($C32-H$4)^2+($D32-H$5)^2+($E32-H$6)^2)</f>
        <v>155.0466442</v>
      </c>
      <c r="N32" s="3">
        <f t="shared" si="38"/>
        <v>113.7519336</v>
      </c>
      <c r="O32" s="3">
        <f t="shared" si="38"/>
        <v>51.78317334</v>
      </c>
      <c r="P32" s="3">
        <f t="shared" si="38"/>
        <v>64.79120524</v>
      </c>
      <c r="Q32" s="3" t="str">
        <f t="shared" si="6"/>
        <v>S3</v>
      </c>
      <c r="R32" s="4">
        <v>32.0</v>
      </c>
      <c r="S32" s="3" t="str">
        <f t="shared" si="7"/>
        <v>S4</v>
      </c>
      <c r="T32" s="3">
        <f t="shared" si="8"/>
        <v>1</v>
      </c>
    </row>
    <row r="33" ht="15.75" customHeight="1">
      <c r="A33" s="3" t="s">
        <v>42</v>
      </c>
      <c r="B33" s="3">
        <v>12.0</v>
      </c>
      <c r="C33" s="3">
        <v>229.0</v>
      </c>
      <c r="D33" s="3">
        <v>64.0</v>
      </c>
      <c r="E33" s="3">
        <v>32.0</v>
      </c>
      <c r="M33" s="3">
        <f t="shared" ref="M33:P33" si="39">SQRT(($B33-H$3)^2+($C33-H$4)^2+($D33-H$5)^2+($E33-H$6)^2)</f>
        <v>226.3483198</v>
      </c>
      <c r="N33" s="3">
        <f t="shared" si="39"/>
        <v>184.5389455</v>
      </c>
      <c r="O33" s="3">
        <f t="shared" si="39"/>
        <v>121.5136781</v>
      </c>
      <c r="P33" s="3">
        <f t="shared" si="39"/>
        <v>15.03523102</v>
      </c>
      <c r="Q33" s="3" t="str">
        <f t="shared" si="6"/>
        <v>S4</v>
      </c>
      <c r="R33" s="4">
        <v>33.0</v>
      </c>
      <c r="S33" s="3" t="str">
        <f t="shared" si="7"/>
        <v>S4</v>
      </c>
      <c r="T33" s="3">
        <f t="shared" si="8"/>
        <v>0</v>
      </c>
    </row>
    <row r="34" ht="15.75" customHeight="1">
      <c r="A34" s="3" t="s">
        <v>43</v>
      </c>
      <c r="B34" s="3">
        <v>9.0</v>
      </c>
      <c r="C34" s="3">
        <v>161.0</v>
      </c>
      <c r="D34" s="3">
        <v>85.0</v>
      </c>
      <c r="E34" s="3">
        <v>23.0</v>
      </c>
      <c r="M34" s="3">
        <f t="shared" ref="M34:P34" si="40">SQRT(($B34-H$3)^2+($C34-H$4)^2+($D34-H$5)^2+($E34-H$6)^2)</f>
        <v>160.8442162</v>
      </c>
      <c r="N34" s="3">
        <f t="shared" si="40"/>
        <v>119.4258866</v>
      </c>
      <c r="O34" s="3">
        <f t="shared" si="40"/>
        <v>56.630694</v>
      </c>
      <c r="P34" s="3">
        <f t="shared" si="40"/>
        <v>57.9855269</v>
      </c>
      <c r="Q34" s="3" t="str">
        <f t="shared" si="6"/>
        <v>S3</v>
      </c>
      <c r="R34" s="4">
        <v>34.0</v>
      </c>
      <c r="S34" s="3" t="str">
        <f t="shared" si="7"/>
        <v>S4</v>
      </c>
      <c r="T34" s="3">
        <f t="shared" si="8"/>
        <v>1</v>
      </c>
    </row>
    <row r="35" ht="15.75" customHeight="1">
      <c r="A35" s="3" t="s">
        <v>44</v>
      </c>
      <c r="B35" s="3">
        <v>13.0</v>
      </c>
      <c r="C35" s="3">
        <v>321.0</v>
      </c>
      <c r="D35" s="3">
        <v>45.0</v>
      </c>
      <c r="E35" s="3">
        <v>13.0</v>
      </c>
      <c r="M35" s="3">
        <f t="shared" ref="M35:P35" si="41">SQRT(($B35-H$3)^2+($C35-H$4)^2+($D35-H$5)^2+($E35-H$6)^2)</f>
        <v>317.1030777</v>
      </c>
      <c r="N35" s="3">
        <f t="shared" si="41"/>
        <v>275.4886248</v>
      </c>
      <c r="O35" s="3">
        <f t="shared" si="41"/>
        <v>213.8906014</v>
      </c>
      <c r="P35" s="3">
        <f t="shared" si="41"/>
        <v>108.3775334</v>
      </c>
      <c r="Q35" s="3" t="str">
        <f t="shared" si="6"/>
        <v>S4</v>
      </c>
      <c r="R35" s="4">
        <v>35.0</v>
      </c>
      <c r="S35" s="3" t="str">
        <f t="shared" si="7"/>
        <v>S4</v>
      </c>
      <c r="T35" s="3">
        <f t="shared" si="8"/>
        <v>0</v>
      </c>
    </row>
    <row r="36" ht="15.75" customHeight="1">
      <c r="A36" s="3" t="s">
        <v>45</v>
      </c>
      <c r="B36" s="3">
        <v>0.1</v>
      </c>
      <c r="C36" s="3">
        <v>27.0</v>
      </c>
      <c r="D36" s="3">
        <v>44.0</v>
      </c>
      <c r="E36" s="3">
        <v>6.0</v>
      </c>
      <c r="M36" s="3">
        <f t="shared" ref="M36:P36" si="42">SQRT(($B36-H$3)^2+($C36-H$4)^2+($D36-H$5)^2+($E36-H$6)^2)</f>
        <v>24.78652608</v>
      </c>
      <c r="N36" s="3">
        <f t="shared" si="42"/>
        <v>23.27548925</v>
      </c>
      <c r="O36" s="3">
        <f t="shared" si="42"/>
        <v>85.22873817</v>
      </c>
      <c r="P36" s="3">
        <f t="shared" si="42"/>
        <v>190.8620465</v>
      </c>
      <c r="Q36" s="3" t="str">
        <f t="shared" si="6"/>
        <v>S2</v>
      </c>
      <c r="R36" s="4">
        <v>36.0</v>
      </c>
      <c r="S36" s="3" t="str">
        <f t="shared" si="7"/>
        <v>S2</v>
      </c>
      <c r="T36" s="3">
        <f t="shared" si="8"/>
        <v>0</v>
      </c>
    </row>
    <row r="37" ht="15.75" customHeight="1">
      <c r="A37" s="3" t="s">
        <v>46</v>
      </c>
      <c r="B37" s="3">
        <v>8.0</v>
      </c>
      <c r="C37" s="3">
        <v>119.0</v>
      </c>
      <c r="D37" s="3">
        <v>73.0</v>
      </c>
      <c r="E37" s="3">
        <v>18.0</v>
      </c>
      <c r="M37" s="3">
        <f t="shared" ref="M37:P37" si="43">SQRT(($B37-H$3)^2+($C37-H$4)^2+($D37-H$5)^2+($E37-H$6)^2)</f>
        <v>117.0782297</v>
      </c>
      <c r="N37" s="3">
        <f t="shared" si="43"/>
        <v>75.53000993</v>
      </c>
      <c r="O37" s="3">
        <f t="shared" si="43"/>
        <v>13.67609239</v>
      </c>
      <c r="P37" s="3">
        <f t="shared" si="43"/>
        <v>97.05129009</v>
      </c>
      <c r="Q37" s="3" t="str">
        <f t="shared" si="6"/>
        <v>S3</v>
      </c>
      <c r="R37" s="4">
        <v>37.0</v>
      </c>
      <c r="S37" s="3" t="str">
        <f t="shared" si="7"/>
        <v>S3</v>
      </c>
      <c r="T37" s="3">
        <f t="shared" si="8"/>
        <v>0</v>
      </c>
    </row>
    <row r="38" ht="15.75" customHeight="1">
      <c r="A38" s="3" t="s">
        <v>47</v>
      </c>
      <c r="B38" s="3">
        <v>4.0</v>
      </c>
      <c r="C38" s="3">
        <v>116.0</v>
      </c>
      <c r="D38" s="3">
        <v>59.0</v>
      </c>
      <c r="E38" s="3">
        <v>20.0</v>
      </c>
      <c r="M38" s="3">
        <f t="shared" ref="M38:P38" si="44">SQRT(($B38-H$3)^2+($C38-H$4)^2+($D38-H$5)^2+($E38-H$6)^2)</f>
        <v>112.4249166</v>
      </c>
      <c r="N38" s="3">
        <f t="shared" si="44"/>
        <v>70.57579188</v>
      </c>
      <c r="O38" s="3">
        <f t="shared" si="44"/>
        <v>10.09364438</v>
      </c>
      <c r="P38" s="3">
        <f t="shared" si="44"/>
        <v>99.91393804</v>
      </c>
      <c r="Q38" s="3" t="str">
        <f t="shared" si="6"/>
        <v>S3</v>
      </c>
      <c r="R38" s="4">
        <v>38.0</v>
      </c>
      <c r="S38" s="3" t="str">
        <f t="shared" si="7"/>
        <v>S3</v>
      </c>
      <c r="T38" s="3">
        <f t="shared" si="8"/>
        <v>0</v>
      </c>
    </row>
    <row r="39" ht="15.75" customHeight="1">
      <c r="A39" s="3" t="s">
        <v>48</v>
      </c>
      <c r="B39" s="3">
        <v>4.0</v>
      </c>
      <c r="C39" s="3">
        <v>103.0</v>
      </c>
      <c r="D39" s="3">
        <v>58.0</v>
      </c>
      <c r="E39" s="3">
        <v>29.0</v>
      </c>
      <c r="M39" s="3">
        <f t="shared" ref="M39:P39" si="45">SQRT(($B39-H$3)^2+($C39-H$4)^2+($D39-H$5)^2+($E39-H$6)^2)</f>
        <v>100.6648493</v>
      </c>
      <c r="N39" s="3">
        <f t="shared" si="45"/>
        <v>59.44528913</v>
      </c>
      <c r="O39" s="3">
        <f t="shared" si="45"/>
        <v>12.9658176</v>
      </c>
      <c r="P39" s="3">
        <f t="shared" si="45"/>
        <v>112.7774019</v>
      </c>
      <c r="Q39" s="3" t="str">
        <f t="shared" si="6"/>
        <v>S3</v>
      </c>
      <c r="R39" s="4">
        <v>39.0</v>
      </c>
      <c r="S39" s="3" t="str">
        <f t="shared" si="7"/>
        <v>S3</v>
      </c>
      <c r="T39" s="3">
        <f t="shared" si="8"/>
        <v>0</v>
      </c>
    </row>
    <row r="40" ht="15.75" customHeight="1">
      <c r="A40" s="3" t="s">
        <v>49</v>
      </c>
      <c r="B40" s="3">
        <v>4.0</v>
      </c>
      <c r="C40" s="3">
        <v>57.0</v>
      </c>
      <c r="D40" s="3">
        <v>67.0</v>
      </c>
      <c r="E40" s="3">
        <v>13.0</v>
      </c>
      <c r="M40" s="3">
        <f t="shared" ref="M40:P40" si="46">SQRT(($B40-H$3)^2+($C40-H$4)^2+($D40-H$5)^2+($E40-H$6)^2)</f>
        <v>54.95690926</v>
      </c>
      <c r="N40" s="3">
        <f t="shared" si="46"/>
        <v>16.02942295</v>
      </c>
      <c r="O40" s="3">
        <f t="shared" si="46"/>
        <v>51.78094507</v>
      </c>
      <c r="P40" s="3">
        <f t="shared" si="46"/>
        <v>159.0307989</v>
      </c>
      <c r="Q40" s="3" t="str">
        <f t="shared" si="6"/>
        <v>S2</v>
      </c>
      <c r="R40" s="4">
        <v>40.0</v>
      </c>
      <c r="S40" s="3" t="str">
        <f t="shared" si="7"/>
        <v>S2</v>
      </c>
      <c r="T40" s="3">
        <f t="shared" si="8"/>
        <v>0</v>
      </c>
    </row>
    <row r="41" ht="15.75" customHeight="1">
      <c r="A41" s="3" t="s">
        <v>50</v>
      </c>
      <c r="B41" s="3">
        <v>2.0</v>
      </c>
      <c r="C41" s="3">
        <v>97.0</v>
      </c>
      <c r="D41" s="3">
        <v>83.0</v>
      </c>
      <c r="E41" s="3">
        <v>5.0</v>
      </c>
      <c r="M41" s="3">
        <f t="shared" ref="M41:P41" si="47">SQRT(($B41-H$3)^2+($C41-H$4)^2+($D41-H$5)^2+($E41-H$6)^2)</f>
        <v>98.00133609</v>
      </c>
      <c r="N41" s="3">
        <f t="shared" si="47"/>
        <v>58.54419186</v>
      </c>
      <c r="O41" s="3">
        <f t="shared" si="47"/>
        <v>26.33579246</v>
      </c>
      <c r="P41" s="3">
        <f t="shared" si="47"/>
        <v>121.8180492</v>
      </c>
      <c r="Q41" s="3" t="str">
        <f t="shared" si="6"/>
        <v>S3</v>
      </c>
      <c r="R41" s="4">
        <v>41.0</v>
      </c>
      <c r="S41" s="3" t="str">
        <f t="shared" si="7"/>
        <v>S3</v>
      </c>
      <c r="T41" s="3">
        <f t="shared" si="8"/>
        <v>0</v>
      </c>
    </row>
    <row r="42" ht="15.75" customHeight="1">
      <c r="A42" s="3" t="s">
        <v>51</v>
      </c>
      <c r="B42" s="3">
        <v>13.0</v>
      </c>
      <c r="C42" s="3">
        <v>210.0</v>
      </c>
      <c r="D42" s="3">
        <v>46.0</v>
      </c>
      <c r="E42" s="3">
        <v>21.0</v>
      </c>
      <c r="M42" s="3">
        <f t="shared" ref="M42:P42" si="48">SQRT(($B42-H$3)^2+($C42-H$4)^2+($D42-H$5)^2+($E42-H$6)^2)</f>
        <v>206.4581359</v>
      </c>
      <c r="N42" s="3">
        <f t="shared" si="48"/>
        <v>164.8987035</v>
      </c>
      <c r="O42" s="3">
        <f t="shared" si="48"/>
        <v>103.6998114</v>
      </c>
      <c r="P42" s="3">
        <f t="shared" si="48"/>
        <v>20.75433406</v>
      </c>
      <c r="Q42" s="3" t="str">
        <f t="shared" si="6"/>
        <v>S4</v>
      </c>
      <c r="R42" s="4">
        <v>42.0</v>
      </c>
      <c r="S42" s="3" t="str">
        <f t="shared" si="7"/>
        <v>S4</v>
      </c>
      <c r="T42" s="3">
        <f t="shared" si="8"/>
        <v>0</v>
      </c>
    </row>
    <row r="43" ht="15.75" customHeight="1">
      <c r="A43" s="3" t="s">
        <v>52</v>
      </c>
      <c r="B43" s="3">
        <v>3.0</v>
      </c>
      <c r="C43" s="3">
        <v>1.0</v>
      </c>
      <c r="D43" s="3">
        <v>43.0</v>
      </c>
      <c r="E43" s="3">
        <v>12.0</v>
      </c>
      <c r="M43" s="3">
        <f t="shared" ref="M43:P43" si="49">SQRT(($B43-H$3)^2+($C43-H$4)^2+($D43-H$5)^2+($E43-H$6)^2)</f>
        <v>9.77813249</v>
      </c>
      <c r="N43" s="3">
        <f t="shared" si="49"/>
        <v>46.61311403</v>
      </c>
      <c r="O43" s="3">
        <f t="shared" si="49"/>
        <v>109.765646</v>
      </c>
      <c r="P43" s="3">
        <f t="shared" si="49"/>
        <v>216.0763882</v>
      </c>
      <c r="Q43" s="3" t="str">
        <f t="shared" si="6"/>
        <v>S1</v>
      </c>
      <c r="R43" s="4">
        <v>43.0</v>
      </c>
      <c r="S43" s="3" t="str">
        <f t="shared" si="7"/>
        <v>S1</v>
      </c>
      <c r="T43" s="3">
        <f t="shared" si="8"/>
        <v>0</v>
      </c>
    </row>
    <row r="44" ht="15.75" customHeight="1">
      <c r="A44" s="3" t="s">
        <v>53</v>
      </c>
      <c r="B44" s="3">
        <v>14.0</v>
      </c>
      <c r="C44" s="3">
        <v>96.0</v>
      </c>
      <c r="D44" s="3">
        <v>58.0</v>
      </c>
      <c r="E44" s="3">
        <v>27.0</v>
      </c>
      <c r="M44" s="3">
        <f t="shared" ref="M44:P44" si="50">SQRT(($B44-H$3)^2+($C44-H$4)^2+($D44-H$5)^2+($E44-H$6)^2)</f>
        <v>94.18259858</v>
      </c>
      <c r="N44" s="3">
        <f t="shared" si="50"/>
        <v>53.34550028</v>
      </c>
      <c r="O44" s="3">
        <f t="shared" si="50"/>
        <v>17.41454197</v>
      </c>
      <c r="P44" s="3">
        <f t="shared" si="50"/>
        <v>119.6567691</v>
      </c>
      <c r="Q44" s="3" t="str">
        <f t="shared" si="6"/>
        <v>S3</v>
      </c>
      <c r="R44" s="4">
        <v>44.0</v>
      </c>
      <c r="S44" s="3" t="str">
        <f t="shared" si="7"/>
        <v>S3</v>
      </c>
      <c r="T44" s="3">
        <f t="shared" si="8"/>
        <v>0</v>
      </c>
    </row>
    <row r="45" ht="15.75" customHeight="1">
      <c r="A45" s="3" t="s">
        <v>54</v>
      </c>
      <c r="B45" s="3">
        <v>13.0</v>
      </c>
      <c r="C45" s="3">
        <v>137.0</v>
      </c>
      <c r="D45" s="3">
        <v>79.0</v>
      </c>
      <c r="E45" s="3">
        <v>25.0</v>
      </c>
      <c r="M45" s="3">
        <f t="shared" ref="M45:P45" si="51">SQRT(($B45-H$3)^2+($C45-H$4)^2+($D45-H$5)^2+($E45-H$6)^2)</f>
        <v>136.6940448</v>
      </c>
      <c r="N45" s="3">
        <f t="shared" si="51"/>
        <v>95.42736714</v>
      </c>
      <c r="O45" s="3">
        <f t="shared" si="51"/>
        <v>33.10526514</v>
      </c>
      <c r="P45" s="3">
        <f t="shared" si="51"/>
        <v>79.66380188</v>
      </c>
      <c r="Q45" s="3" t="str">
        <f t="shared" si="6"/>
        <v>S3</v>
      </c>
      <c r="R45" s="4">
        <v>45.0</v>
      </c>
      <c r="S45" s="3" t="str">
        <f t="shared" si="7"/>
        <v>S3</v>
      </c>
      <c r="T45" s="3">
        <f t="shared" si="8"/>
        <v>0</v>
      </c>
    </row>
    <row r="46" ht="15.75" customHeight="1">
      <c r="A46" s="3" t="s">
        <v>55</v>
      </c>
      <c r="B46" s="3">
        <v>0.0</v>
      </c>
      <c r="C46" s="3">
        <v>49.0</v>
      </c>
      <c r="D46" s="3">
        <v>74.0</v>
      </c>
      <c r="E46" s="3">
        <v>21.0</v>
      </c>
      <c r="M46" s="3">
        <f t="shared" ref="M46:P46" si="52">SQRT(($B46-H$3)^2+($C46-H$4)^2+($D46-H$5)^2+($E46-H$6)^2)</f>
        <v>50.93438794</v>
      </c>
      <c r="N46" s="3">
        <f t="shared" si="52"/>
        <v>20.7051298</v>
      </c>
      <c r="O46" s="3">
        <f t="shared" si="52"/>
        <v>60.3205932</v>
      </c>
      <c r="P46" s="3">
        <f t="shared" si="52"/>
        <v>166.9730683</v>
      </c>
      <c r="Q46" s="3" t="str">
        <f t="shared" si="6"/>
        <v>S2</v>
      </c>
      <c r="R46" s="4">
        <v>46.0</v>
      </c>
      <c r="S46" s="3" t="str">
        <f t="shared" si="7"/>
        <v>S2</v>
      </c>
      <c r="T46" s="3">
        <f t="shared" si="8"/>
        <v>0</v>
      </c>
    </row>
    <row r="47" ht="15.75" customHeight="1">
      <c r="A47" s="3" t="s">
        <v>56</v>
      </c>
      <c r="B47" s="3">
        <v>0.1</v>
      </c>
      <c r="C47" s="3">
        <v>44.0</v>
      </c>
      <c r="D47" s="3">
        <v>24.0</v>
      </c>
      <c r="E47" s="3">
        <v>8.0</v>
      </c>
      <c r="M47" s="3">
        <f t="shared" ref="M47:P47" si="53">SQRT(($B47-H$3)^2+($C47-H$4)^2+($D47-H$5)^2+($E47-H$6)^2)</f>
        <v>48.87659844</v>
      </c>
      <c r="N47" s="3">
        <f t="shared" si="53"/>
        <v>32.02106182</v>
      </c>
      <c r="O47" s="3">
        <f t="shared" si="53"/>
        <v>77.29274597</v>
      </c>
      <c r="P47" s="3">
        <f t="shared" si="53"/>
        <v>177.4270933</v>
      </c>
      <c r="Q47" s="3" t="str">
        <f t="shared" si="6"/>
        <v>S2</v>
      </c>
      <c r="R47" s="4">
        <v>47.0</v>
      </c>
      <c r="S47" s="3" t="str">
        <f t="shared" si="7"/>
        <v>S2</v>
      </c>
      <c r="T47" s="3">
        <f t="shared" si="8"/>
        <v>0</v>
      </c>
    </row>
    <row r="48" ht="15.75" customHeight="1">
      <c r="A48" s="3" t="s">
        <v>57</v>
      </c>
      <c r="B48" s="3">
        <v>7.0</v>
      </c>
      <c r="C48" s="3">
        <v>100.0</v>
      </c>
      <c r="D48" s="3">
        <v>58.0</v>
      </c>
      <c r="E48" s="3">
        <v>16.0</v>
      </c>
      <c r="M48" s="3">
        <f t="shared" ref="M48:P48" si="54">SQRT(($B48-H$3)^2+($C48-H$4)^2+($D48-H$5)^2+($E48-H$6)^2)</f>
        <v>96.27155278</v>
      </c>
      <c r="N48" s="3">
        <f t="shared" si="54"/>
        <v>54.41895258</v>
      </c>
      <c r="O48" s="3">
        <f t="shared" si="54"/>
        <v>11.32886558</v>
      </c>
      <c r="P48" s="3">
        <f t="shared" si="54"/>
        <v>116.0660214</v>
      </c>
      <c r="Q48" s="3" t="str">
        <f t="shared" si="6"/>
        <v>S3</v>
      </c>
      <c r="R48" s="4">
        <v>48.0</v>
      </c>
      <c r="S48" s="3" t="str">
        <f t="shared" si="7"/>
        <v>S3</v>
      </c>
      <c r="T48" s="3">
        <f t="shared" si="8"/>
        <v>0</v>
      </c>
    </row>
    <row r="49" ht="15.75" customHeight="1">
      <c r="A49" s="3" t="s">
        <v>58</v>
      </c>
      <c r="B49" s="3">
        <v>1.0</v>
      </c>
      <c r="C49" s="3">
        <v>62.0</v>
      </c>
      <c r="D49" s="3">
        <v>73.0</v>
      </c>
      <c r="E49" s="3">
        <v>24.0</v>
      </c>
      <c r="M49" s="3">
        <f t="shared" ref="M49:P49" si="55">SQRT(($B49-H$3)^2+($C49-H$4)^2+($D49-H$5)^2+($E49-H$6)^2)</f>
        <v>62.87099391</v>
      </c>
      <c r="N49" s="3">
        <f t="shared" si="55"/>
        <v>26.39057407</v>
      </c>
      <c r="O49" s="3">
        <f t="shared" si="55"/>
        <v>47.48397425</v>
      </c>
      <c r="P49" s="3">
        <f t="shared" si="55"/>
        <v>153.8379368</v>
      </c>
      <c r="Q49" s="3" t="str">
        <f t="shared" si="6"/>
        <v>S2</v>
      </c>
      <c r="R49" s="4">
        <v>49.0</v>
      </c>
      <c r="S49" s="3" t="str">
        <f t="shared" si="7"/>
        <v>S3</v>
      </c>
      <c r="T49" s="3">
        <f t="shared" si="8"/>
        <v>1</v>
      </c>
    </row>
    <row r="50" ht="15.75" customHeight="1">
      <c r="A50" s="3" t="s">
        <v>59</v>
      </c>
      <c r="B50" s="3">
        <v>5.0</v>
      </c>
      <c r="C50" s="3">
        <v>65.0</v>
      </c>
      <c r="D50" s="3">
        <v>34.0</v>
      </c>
      <c r="E50" s="3">
        <v>9.0</v>
      </c>
      <c r="M50" s="3">
        <f t="shared" ref="M50:P50" si="56">SQRT(($B50-H$3)^2+($C50-H$4)^2+($D50-H$5)^2+($E50-H$6)^2)</f>
        <v>63.56659402</v>
      </c>
      <c r="N50" s="3">
        <f t="shared" si="56"/>
        <v>29.07752397</v>
      </c>
      <c r="O50" s="3">
        <f t="shared" si="56"/>
        <v>54.19939081</v>
      </c>
      <c r="P50" s="3">
        <f t="shared" si="56"/>
        <v>154.5817967</v>
      </c>
      <c r="Q50" s="3" t="str">
        <f t="shared" si="6"/>
        <v>S2</v>
      </c>
      <c r="R50" s="4">
        <v>50.0</v>
      </c>
      <c r="S50" s="3" t="str">
        <f t="shared" si="7"/>
        <v>S2</v>
      </c>
      <c r="T50" s="3">
        <f t="shared" si="8"/>
        <v>0</v>
      </c>
    </row>
    <row r="51" ht="15.75" customHeight="1">
      <c r="A51" s="3" t="s">
        <v>60</v>
      </c>
      <c r="B51" s="3">
        <v>0.0</v>
      </c>
      <c r="C51" s="3">
        <v>0.1</v>
      </c>
      <c r="D51" s="3">
        <v>60.0</v>
      </c>
      <c r="E51" s="3">
        <v>11.0</v>
      </c>
      <c r="M51" s="3">
        <f t="shared" ref="M51:P51" si="57">SQRT(($B51-H$3)^2+($C51-H$4)^2+($D51-H$5)^2+($E51-H$6)^2)</f>
        <v>9.09048266</v>
      </c>
      <c r="N51" s="3">
        <f t="shared" si="57"/>
        <v>46.13818809</v>
      </c>
      <c r="O51" s="3">
        <f t="shared" si="57"/>
        <v>108.7938034</v>
      </c>
      <c r="P51" s="3">
        <f t="shared" si="57"/>
        <v>216.0836699</v>
      </c>
      <c r="Q51" s="3" t="str">
        <f t="shared" si="6"/>
        <v>S1</v>
      </c>
      <c r="R51" s="4">
        <v>51.0</v>
      </c>
      <c r="S51" s="3" t="str">
        <f t="shared" si="7"/>
        <v>S1</v>
      </c>
      <c r="T51" s="3">
        <f t="shared" si="8"/>
        <v>0</v>
      </c>
    </row>
    <row r="52" ht="15.75" customHeight="1">
      <c r="A52" s="3" t="s">
        <v>61</v>
      </c>
      <c r="B52" s="3">
        <v>6.0</v>
      </c>
      <c r="C52" s="3">
        <v>143.0</v>
      </c>
      <c r="D52" s="3">
        <v>51.0</v>
      </c>
      <c r="E52" s="3">
        <v>11.0</v>
      </c>
      <c r="M52" s="3">
        <f t="shared" ref="M52:P52" si="58">SQRT(($B52-H$3)^2+($C52-H$4)^2+($D52-H$5)^2+($E52-H$6)^2)</f>
        <v>138.8872272</v>
      </c>
      <c r="N52" s="3">
        <f t="shared" si="58"/>
        <v>97.27107689</v>
      </c>
      <c r="O52" s="3">
        <f t="shared" si="58"/>
        <v>38.42721545</v>
      </c>
      <c r="P52" s="3">
        <f t="shared" si="58"/>
        <v>75.36755733</v>
      </c>
      <c r="Q52" s="3" t="str">
        <f t="shared" si="6"/>
        <v>S3</v>
      </c>
      <c r="R52" s="4">
        <v>52.0</v>
      </c>
      <c r="S52" s="3" t="str">
        <f t="shared" si="7"/>
        <v>S3</v>
      </c>
      <c r="T52" s="3">
        <f t="shared" si="8"/>
        <v>0</v>
      </c>
    </row>
    <row r="53" ht="15.75" customHeight="1">
      <c r="M53" s="3">
        <f t="shared" ref="M53:P53" si="59">SQRT(($B53-H$3)^2+($C53-H$4)^2+($D53-H$5)^2+($E53-H$6)^2)</f>
        <v>53.44821676</v>
      </c>
      <c r="N53" s="3">
        <f t="shared" si="59"/>
        <v>73.18676383</v>
      </c>
      <c r="O53" s="3">
        <f t="shared" si="59"/>
        <v>127.8729723</v>
      </c>
      <c r="P53" s="3">
        <f t="shared" si="59"/>
        <v>226.7208004</v>
      </c>
      <c r="Q53" s="3" t="str">
        <f t="shared" si="6"/>
        <v>S1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1:K1"/>
    <mergeCell ref="M1:P1"/>
    <mergeCell ref="G10:H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8.71"/>
    <col customWidth="1" min="4" max="4" width="15.57"/>
    <col customWidth="1" min="5" max="6" width="8.71"/>
    <col customWidth="1" min="7" max="7" width="15.57"/>
    <col customWidth="1" min="8" max="15" width="8.71"/>
    <col customWidth="1" min="16" max="16" width="11.29"/>
    <col customWidth="1" min="17" max="17" width="10.0"/>
    <col customWidth="1" min="18" max="18" width="8.71"/>
    <col customWidth="1" min="19" max="19" width="16.57"/>
    <col customWidth="1" min="20" max="26" width="8.71"/>
  </cols>
  <sheetData>
    <row r="1">
      <c r="F1" s="4" t="s">
        <v>66</v>
      </c>
      <c r="G1" s="1" t="s">
        <v>0</v>
      </c>
      <c r="M1" s="2" t="s">
        <v>1</v>
      </c>
      <c r="Q1" s="2"/>
      <c r="R1" s="4">
        <v>1.0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M2" s="3" t="str">
        <f t="shared" ref="M2:P2" si="1">H2</f>
        <v>S1</v>
      </c>
      <c r="N2" s="3" t="str">
        <f t="shared" si="1"/>
        <v>S2</v>
      </c>
      <c r="O2" s="3" t="str">
        <f t="shared" si="1"/>
        <v>S3</v>
      </c>
      <c r="P2" s="3" t="str">
        <f t="shared" si="1"/>
        <v>S4</v>
      </c>
      <c r="Q2" s="4" t="s">
        <v>7</v>
      </c>
      <c r="R2" s="4">
        <v>2.0</v>
      </c>
      <c r="S2" s="4" t="s">
        <v>63</v>
      </c>
      <c r="T2" s="4" t="s">
        <v>64</v>
      </c>
    </row>
    <row r="3">
      <c r="A3" s="3" t="s">
        <v>12</v>
      </c>
      <c r="B3" s="3">
        <v>12.0</v>
      </c>
      <c r="C3" s="3">
        <v>193.0</v>
      </c>
      <c r="D3" s="3">
        <v>51.0</v>
      </c>
      <c r="E3" s="3">
        <v>21.0</v>
      </c>
      <c r="F3" s="4">
        <v>2.0</v>
      </c>
      <c r="G3" s="3" t="s">
        <v>3</v>
      </c>
      <c r="H3" s="3">
        <f t="shared" ref="H3:K3" si="2">AVERAGEIFS(INDIRECT($F$1 &amp; "!" &amp; ADDRESS(3, $F3,1)) : INDIRECT($F$1 &amp; "!" &amp; ADDRESS(52, $F3, 1)), INDIRECT($F$1 &amp; "!$Q$3"): INDIRECT($F$1 &amp; "!$Q$52"),H$2)</f>
        <v>2</v>
      </c>
      <c r="I3" s="3">
        <f t="shared" si="2"/>
        <v>2.654545455</v>
      </c>
      <c r="J3" s="3">
        <f t="shared" si="2"/>
        <v>7.666666667</v>
      </c>
      <c r="K3" s="3">
        <f t="shared" si="2"/>
        <v>9.8125</v>
      </c>
      <c r="M3" s="3">
        <f t="shared" ref="M3:P3" si="3">SQRT(($B3-H$3)^2+($C3-H$4)^2+($D3-H$5)^2+($E3-H$6)^2)</f>
        <v>189.3638347</v>
      </c>
      <c r="N3" s="3">
        <f t="shared" si="3"/>
        <v>146.2439047</v>
      </c>
      <c r="O3" s="3">
        <f t="shared" si="3"/>
        <v>73.54448389</v>
      </c>
      <c r="P3" s="3">
        <f t="shared" si="3"/>
        <v>35.70768912</v>
      </c>
      <c r="Q3" s="3" t="str">
        <f t="shared" ref="Q3:Q53" si="6">INDEX($M$2:$P$2,1,MATCH(MIN(M3:P3),M3:P3,0))</f>
        <v>S4</v>
      </c>
      <c r="R3" s="4">
        <v>3.0</v>
      </c>
      <c r="S3" s="3" t="str">
        <f t="shared" ref="S3:S52" si="7">INDIRECT($F$1 &amp; "!Q" &amp; R3)</f>
        <v>S4</v>
      </c>
      <c r="T3" s="3">
        <f t="shared" ref="T3:T52" si="8">IF(Q3=S3,0,1)</f>
        <v>0</v>
      </c>
    </row>
    <row r="4">
      <c r="A4" s="3" t="s">
        <v>13</v>
      </c>
      <c r="B4" s="3">
        <v>9.0</v>
      </c>
      <c r="C4" s="3">
        <v>222.0</v>
      </c>
      <c r="D4" s="3">
        <v>39.0</v>
      </c>
      <c r="E4" s="3">
        <v>42.0</v>
      </c>
      <c r="F4" s="4">
        <v>3.0</v>
      </c>
      <c r="G4" s="3" t="s">
        <v>4</v>
      </c>
      <c r="H4" s="3">
        <f t="shared" ref="H4:K4" si="4">AVERAGEIFS(INDIRECT($F$1 &amp; "!" &amp; ADDRESS(3, $F4,1)) : INDIRECT($F$1 &amp; "!" &amp; ADDRESS(52, $F4, 1)), INDIRECT($F$1 &amp; "!$Q$3"): INDIRECT($F$1 &amp; "!$Q$52"),H$2)</f>
        <v>4.175</v>
      </c>
      <c r="I4" s="3">
        <f t="shared" si="4"/>
        <v>47.36363636</v>
      </c>
      <c r="J4" s="3">
        <f t="shared" si="4"/>
        <v>121.3333333</v>
      </c>
      <c r="K4" s="3">
        <f t="shared" si="4"/>
        <v>226.0625</v>
      </c>
      <c r="M4" s="3">
        <f t="shared" ref="M4:P4" si="5">SQRT(($B4-H$3)^2+($C4-H$4)^2+($D4-H$5)^2+($E4-H$6)^2)</f>
        <v>220.5397059</v>
      </c>
      <c r="N4" s="3">
        <f t="shared" si="5"/>
        <v>177.9459255</v>
      </c>
      <c r="O4" s="3">
        <f t="shared" si="5"/>
        <v>106.8496971</v>
      </c>
      <c r="P4" s="3">
        <f t="shared" si="5"/>
        <v>28.26285659</v>
      </c>
      <c r="Q4" s="3" t="str">
        <f t="shared" si="6"/>
        <v>S4</v>
      </c>
      <c r="R4" s="4">
        <v>4.0</v>
      </c>
      <c r="S4" s="3" t="str">
        <f t="shared" si="7"/>
        <v>S4</v>
      </c>
      <c r="T4" s="3">
        <f t="shared" si="8"/>
        <v>0</v>
      </c>
    </row>
    <row r="5">
      <c r="A5" s="3" t="s">
        <v>14</v>
      </c>
      <c r="B5" s="3">
        <v>6.0</v>
      </c>
      <c r="C5" s="3">
        <v>226.0</v>
      </c>
      <c r="D5" s="3">
        <v>72.0</v>
      </c>
      <c r="E5" s="3">
        <v>30.0</v>
      </c>
      <c r="F5" s="4">
        <v>4.0</v>
      </c>
      <c r="G5" s="3" t="s">
        <v>5</v>
      </c>
      <c r="H5" s="3">
        <f t="shared" ref="H5:K5" si="9">AVERAGEIFS(INDIRECT($F$1 &amp; "!" &amp; ADDRESS(3, $F5,1)) : INDIRECT($F$1 &amp; "!" &amp; ADDRESS(52, $F5, 1)), INDIRECT($F$1 &amp; "!$Q$3"): INDIRECT($F$1 &amp; "!$Q$52"),H$2)</f>
        <v>52.125</v>
      </c>
      <c r="I5" s="3">
        <f t="shared" si="9"/>
        <v>57.09090909</v>
      </c>
      <c r="J5" s="3">
        <f t="shared" si="9"/>
        <v>66.86666667</v>
      </c>
      <c r="K5" s="3">
        <f t="shared" si="9"/>
        <v>62.75</v>
      </c>
      <c r="M5" s="3">
        <f t="shared" ref="M5:P5" si="10">SQRT(($B5-H$3)^2+($C5-H$4)^2+($D5-H$5)^2+($E5-H$6)^2)</f>
        <v>223.5690316</v>
      </c>
      <c r="N5" s="3">
        <f t="shared" si="10"/>
        <v>180.0256235</v>
      </c>
      <c r="O5" s="3">
        <f t="shared" si="10"/>
        <v>105.3270673</v>
      </c>
      <c r="P5" s="3">
        <f t="shared" si="10"/>
        <v>10.37612946</v>
      </c>
      <c r="Q5" s="3" t="str">
        <f t="shared" si="6"/>
        <v>S4</v>
      </c>
      <c r="R5" s="4">
        <v>5.0</v>
      </c>
      <c r="S5" s="3" t="str">
        <f t="shared" si="7"/>
        <v>S4</v>
      </c>
      <c r="T5" s="3">
        <f t="shared" si="8"/>
        <v>0</v>
      </c>
    </row>
    <row r="6">
      <c r="A6" s="3" t="s">
        <v>15</v>
      </c>
      <c r="B6" s="3">
        <v>8.0</v>
      </c>
      <c r="C6" s="3">
        <v>177.0</v>
      </c>
      <c r="D6" s="3">
        <v>50.0</v>
      </c>
      <c r="E6" s="3">
        <v>17.0</v>
      </c>
      <c r="F6" s="4">
        <v>5.0</v>
      </c>
      <c r="G6" s="3" t="s">
        <v>6</v>
      </c>
      <c r="H6" s="3">
        <f t="shared" ref="H6:K6" si="11">AVERAGEIFS(INDIRECT($F$1 &amp; "!" &amp; ADDRESS(3, $F6,1)) : INDIRECT($F$1 &amp; "!" &amp; ADDRESS(52, $F6, 1)), INDIRECT($F$1 &amp; "!$Q$3"): INDIRECT($F$1 &amp; "!$Q$52"),H$2)</f>
        <v>10.875</v>
      </c>
      <c r="I6" s="3">
        <f t="shared" si="11"/>
        <v>13.72727273</v>
      </c>
      <c r="J6" s="3">
        <f t="shared" si="11"/>
        <v>19.53333333</v>
      </c>
      <c r="K6" s="3">
        <f t="shared" si="11"/>
        <v>27.25</v>
      </c>
      <c r="M6" s="3">
        <f t="shared" ref="M6:P6" si="12">SQRT(($B6-H$3)^2+($C6-H$4)^2+($D6-H$5)^2+($E6-H$6)^2)</f>
        <v>173.050605</v>
      </c>
      <c r="N6" s="3">
        <f t="shared" si="12"/>
        <v>129.981354</v>
      </c>
      <c r="O6" s="3">
        <f t="shared" si="12"/>
        <v>58.22191264</v>
      </c>
      <c r="P6" s="3">
        <f t="shared" si="12"/>
        <v>51.74977355</v>
      </c>
      <c r="Q6" s="3" t="str">
        <f t="shared" si="6"/>
        <v>S4</v>
      </c>
      <c r="R6" s="4">
        <v>6.0</v>
      </c>
      <c r="S6" s="3" t="str">
        <f t="shared" si="7"/>
        <v>S4</v>
      </c>
      <c r="T6" s="3">
        <f t="shared" si="8"/>
        <v>0</v>
      </c>
    </row>
    <row r="7">
      <c r="A7" s="3" t="s">
        <v>16</v>
      </c>
      <c r="B7" s="3">
        <v>7.0</v>
      </c>
      <c r="C7" s="3">
        <v>235.0</v>
      </c>
      <c r="D7" s="3">
        <v>86.0</v>
      </c>
      <c r="E7" s="3">
        <v>39.0</v>
      </c>
      <c r="M7" s="3">
        <f t="shared" ref="M7:P7" si="13">SQRT(($B7-H$3)^2+($C7-H$4)^2+($D7-H$5)^2+($E7-H$6)^2)</f>
        <v>235.0398091</v>
      </c>
      <c r="N7" s="3">
        <f t="shared" si="13"/>
        <v>191.5743569</v>
      </c>
      <c r="O7" s="3">
        <f t="shared" si="13"/>
        <v>116.8999192</v>
      </c>
      <c r="P7" s="3">
        <f t="shared" si="13"/>
        <v>27.68418434</v>
      </c>
      <c r="Q7" s="3" t="str">
        <f t="shared" si="6"/>
        <v>S4</v>
      </c>
      <c r="R7" s="4">
        <v>7.0</v>
      </c>
      <c r="S7" s="3" t="str">
        <f t="shared" si="7"/>
        <v>S4</v>
      </c>
      <c r="T7" s="3">
        <f t="shared" si="8"/>
        <v>0</v>
      </c>
    </row>
    <row r="8">
      <c r="A8" s="3" t="s">
        <v>17</v>
      </c>
      <c r="B8" s="3">
        <v>5.0</v>
      </c>
      <c r="C8" s="3">
        <v>170.0</v>
      </c>
      <c r="D8" s="3">
        <v>78.0</v>
      </c>
      <c r="E8" s="3">
        <v>37.0</v>
      </c>
      <c r="M8" s="3">
        <f t="shared" ref="M8:P8" si="14">SQRT(($B8-H$3)^2+($C8-H$4)^2+($D8-H$5)^2+($E8-H$6)^2)</f>
        <v>169.8792568</v>
      </c>
      <c r="N8" s="3">
        <f t="shared" si="14"/>
        <v>126.5858948</v>
      </c>
      <c r="O8" s="3">
        <f t="shared" si="14"/>
        <v>52.95839038</v>
      </c>
      <c r="P8" s="3">
        <f t="shared" si="14"/>
        <v>59.10828252</v>
      </c>
      <c r="Q8" s="3" t="str">
        <f t="shared" si="6"/>
        <v>S3</v>
      </c>
      <c r="R8" s="4">
        <v>8.0</v>
      </c>
      <c r="S8" s="3" t="str">
        <f t="shared" si="7"/>
        <v>S4</v>
      </c>
      <c r="T8" s="3">
        <f t="shared" si="8"/>
        <v>1</v>
      </c>
    </row>
    <row r="9">
      <c r="A9" s="3" t="s">
        <v>18</v>
      </c>
      <c r="B9" s="3">
        <v>0.0</v>
      </c>
      <c r="C9" s="3">
        <v>35.0</v>
      </c>
      <c r="D9" s="3">
        <v>75.0</v>
      </c>
      <c r="E9" s="3">
        <v>7.0</v>
      </c>
      <c r="M9" s="3">
        <f t="shared" ref="M9:P9" si="15">SQRT(($B9-H$3)^2+($C9-H$4)^2+($D9-H$5)^2+($E9-H$6)^2)</f>
        <v>38.63239411</v>
      </c>
      <c r="N9" s="3">
        <f t="shared" si="15"/>
        <v>22.93246283</v>
      </c>
      <c r="O9" s="3">
        <f t="shared" si="15"/>
        <v>87.95145125</v>
      </c>
      <c r="P9" s="3">
        <f t="shared" si="15"/>
        <v>192.7726357</v>
      </c>
      <c r="Q9" s="3" t="str">
        <f t="shared" si="6"/>
        <v>S2</v>
      </c>
      <c r="R9" s="4">
        <v>9.0</v>
      </c>
      <c r="S9" s="3" t="str">
        <f t="shared" si="7"/>
        <v>S2</v>
      </c>
      <c r="T9" s="3">
        <f t="shared" si="8"/>
        <v>0</v>
      </c>
    </row>
    <row r="10">
      <c r="A10" s="3" t="s">
        <v>19</v>
      </c>
      <c r="B10" s="3">
        <v>4.0</v>
      </c>
      <c r="C10" s="3">
        <v>198.0</v>
      </c>
      <c r="D10" s="3">
        <v>70.0</v>
      </c>
      <c r="E10" s="3">
        <v>15.0</v>
      </c>
      <c r="G10" s="4" t="s">
        <v>65</v>
      </c>
      <c r="I10" s="3">
        <f>SUM(T3:T52)</f>
        <v>4</v>
      </c>
      <c r="M10" s="3">
        <f t="shared" ref="M10:P10" si="16">SQRT(($B10-H$3)^2+($C10-H$4)^2+($D10-H$5)^2+($E10-H$6)^2)</f>
        <v>194.7014686</v>
      </c>
      <c r="N10" s="3">
        <f t="shared" si="16"/>
        <v>151.1998306</v>
      </c>
      <c r="O10" s="3">
        <f t="shared" si="16"/>
        <v>76.95187529</v>
      </c>
      <c r="P10" s="3">
        <f t="shared" si="16"/>
        <v>31.9986572</v>
      </c>
      <c r="Q10" s="3" t="str">
        <f t="shared" si="6"/>
        <v>S4</v>
      </c>
      <c r="R10" s="4">
        <v>10.0</v>
      </c>
      <c r="S10" s="3" t="str">
        <f t="shared" si="7"/>
        <v>S4</v>
      </c>
      <c r="T10" s="3">
        <f t="shared" si="8"/>
        <v>0</v>
      </c>
    </row>
    <row r="11">
      <c r="A11" s="3" t="s">
        <v>20</v>
      </c>
      <c r="B11" s="3">
        <v>13.0</v>
      </c>
      <c r="C11" s="3">
        <v>259.0</v>
      </c>
      <c r="D11" s="3">
        <v>74.0</v>
      </c>
      <c r="E11" s="3">
        <v>30.0</v>
      </c>
      <c r="M11" s="3">
        <f t="shared" ref="M11:P11" si="17">SQRT(($B11-H$3)^2+($C11-H$4)^2+($D11-H$5)^2+($E11-H$6)^2)</f>
        <v>256.7120213</v>
      </c>
      <c r="N11" s="3">
        <f t="shared" si="17"/>
        <v>213.1846567</v>
      </c>
      <c r="O11" s="3">
        <f t="shared" si="17"/>
        <v>138.3509708</v>
      </c>
      <c r="P11" s="3">
        <f t="shared" si="17"/>
        <v>35.05943614</v>
      </c>
      <c r="Q11" s="3" t="str">
        <f t="shared" si="6"/>
        <v>S4</v>
      </c>
      <c r="R11" s="4">
        <v>11.0</v>
      </c>
      <c r="S11" s="3" t="str">
        <f t="shared" si="7"/>
        <v>S4</v>
      </c>
      <c r="T11" s="3">
        <f t="shared" si="8"/>
        <v>0</v>
      </c>
    </row>
    <row r="12">
      <c r="A12" s="3" t="s">
        <v>21</v>
      </c>
      <c r="B12" s="3">
        <v>15.0</v>
      </c>
      <c r="C12" s="3">
        <v>136.0</v>
      </c>
      <c r="D12" s="3">
        <v>52.0</v>
      </c>
      <c r="E12" s="3">
        <v>24.0</v>
      </c>
      <c r="M12" s="3">
        <f t="shared" ref="M12:P12" si="18">SQRT(($B12-H$3)^2+($C12-H$4)^2+($D12-H$5)^2+($E12-H$6)^2)</f>
        <v>133.1131544</v>
      </c>
      <c r="N12" s="3">
        <f t="shared" si="18"/>
        <v>90.22339767</v>
      </c>
      <c r="O12" s="3">
        <f t="shared" si="18"/>
        <v>22.58003051</v>
      </c>
      <c r="P12" s="3">
        <f t="shared" si="18"/>
        <v>90.90813529</v>
      </c>
      <c r="Q12" s="3" t="str">
        <f t="shared" si="6"/>
        <v>S3</v>
      </c>
      <c r="R12" s="4">
        <v>12.0</v>
      </c>
      <c r="S12" s="3" t="str">
        <f t="shared" si="7"/>
        <v>S3</v>
      </c>
      <c r="T12" s="3">
        <f t="shared" si="8"/>
        <v>0</v>
      </c>
    </row>
    <row r="13">
      <c r="A13" s="3" t="s">
        <v>22</v>
      </c>
      <c r="B13" s="3">
        <v>5.0</v>
      </c>
      <c r="C13" s="3">
        <v>32.0</v>
      </c>
      <c r="D13" s="3">
        <v>82.0</v>
      </c>
      <c r="E13" s="3">
        <v>17.0</v>
      </c>
      <c r="M13" s="3">
        <f t="shared" ref="M13:P13" si="19">SQRT(($B13-H$3)^2+($C13-H$4)^2+($D13-H$5)^2+($E13-H$6)^2)</f>
        <v>41.39156768</v>
      </c>
      <c r="N13" s="3">
        <f t="shared" si="19"/>
        <v>29.5417676</v>
      </c>
      <c r="O13" s="3">
        <f t="shared" si="19"/>
        <v>90.6807097</v>
      </c>
      <c r="P13" s="3">
        <f t="shared" si="19"/>
        <v>195.3433876</v>
      </c>
      <c r="Q13" s="3" t="str">
        <f t="shared" si="6"/>
        <v>S2</v>
      </c>
      <c r="R13" s="4">
        <v>13.0</v>
      </c>
      <c r="S13" s="3" t="str">
        <f t="shared" si="7"/>
        <v>S2</v>
      </c>
      <c r="T13" s="3">
        <f t="shared" si="8"/>
        <v>0</v>
      </c>
    </row>
    <row r="14">
      <c r="A14" s="3" t="s">
        <v>23</v>
      </c>
      <c r="B14" s="3">
        <v>0.0</v>
      </c>
      <c r="C14" s="3">
        <v>54.0</v>
      </c>
      <c r="D14" s="3">
        <v>47.0</v>
      </c>
      <c r="E14" s="3">
        <v>12.0</v>
      </c>
      <c r="M14" s="3">
        <f t="shared" ref="M14:P14" si="20">SQRT(($B14-H$3)^2+($C14-H$4)^2+($D14-H$5)^2+($E14-H$6)^2)</f>
        <v>50.14042157</v>
      </c>
      <c r="N14" s="3">
        <f t="shared" si="20"/>
        <v>12.4859061</v>
      </c>
      <c r="O14" s="3">
        <f t="shared" si="20"/>
        <v>71.02106104</v>
      </c>
      <c r="P14" s="3">
        <f t="shared" si="20"/>
        <v>173.7308668</v>
      </c>
      <c r="Q14" s="3" t="str">
        <f t="shared" si="6"/>
        <v>S2</v>
      </c>
      <c r="R14" s="4">
        <v>14.0</v>
      </c>
      <c r="S14" s="3" t="str">
        <f t="shared" si="7"/>
        <v>S2</v>
      </c>
      <c r="T14" s="3">
        <f t="shared" si="8"/>
        <v>0</v>
      </c>
    </row>
    <row r="15">
      <c r="A15" s="3" t="s">
        <v>24</v>
      </c>
      <c r="B15" s="3">
        <v>10.0</v>
      </c>
      <c r="C15" s="3">
        <v>218.0</v>
      </c>
      <c r="D15" s="3">
        <v>79.0</v>
      </c>
      <c r="E15" s="3">
        <v>20.0</v>
      </c>
      <c r="M15" s="3">
        <f t="shared" ref="M15:P15" si="21">SQRT(($B15-H$3)^2+($C15-H$4)^2+($D15-H$5)^2+($E15-H$6)^2)</f>
        <v>215.8487014</v>
      </c>
      <c r="N15" s="3">
        <f t="shared" si="21"/>
        <v>172.3080952</v>
      </c>
      <c r="O15" s="3">
        <f t="shared" si="21"/>
        <v>97.45421717</v>
      </c>
      <c r="P15" s="3">
        <f t="shared" si="21"/>
        <v>19.53622437</v>
      </c>
      <c r="Q15" s="3" t="str">
        <f t="shared" si="6"/>
        <v>S4</v>
      </c>
      <c r="R15" s="4">
        <v>15.0</v>
      </c>
      <c r="S15" s="3" t="str">
        <f t="shared" si="7"/>
        <v>S4</v>
      </c>
      <c r="T15" s="3">
        <f t="shared" si="8"/>
        <v>0</v>
      </c>
    </row>
    <row r="16">
      <c r="A16" s="3" t="s">
        <v>25</v>
      </c>
      <c r="B16" s="3">
        <v>7.0</v>
      </c>
      <c r="C16" s="3">
        <v>26.0</v>
      </c>
      <c r="D16" s="3">
        <v>65.0</v>
      </c>
      <c r="E16" s="3">
        <v>19.0</v>
      </c>
      <c r="M16" s="3">
        <f t="shared" ref="M16:P16" si="22">SQRT(($B16-H$3)^2+($C16-H$4)^2+($D16-H$5)^2+($E16-H$6)^2)</f>
        <v>27.07603876</v>
      </c>
      <c r="N16" s="3">
        <f t="shared" si="22"/>
        <v>23.78325684</v>
      </c>
      <c r="O16" s="3">
        <f t="shared" si="22"/>
        <v>95.35542867</v>
      </c>
      <c r="P16" s="3">
        <f t="shared" si="22"/>
        <v>200.2649222</v>
      </c>
      <c r="Q16" s="3" t="str">
        <f t="shared" si="6"/>
        <v>S2</v>
      </c>
      <c r="R16" s="4">
        <v>16.0</v>
      </c>
      <c r="S16" s="3" t="str">
        <f t="shared" si="7"/>
        <v>S2</v>
      </c>
      <c r="T16" s="3">
        <f t="shared" si="8"/>
        <v>0</v>
      </c>
    </row>
    <row r="17">
      <c r="A17" s="3" t="s">
        <v>26</v>
      </c>
      <c r="B17" s="3">
        <v>2.0</v>
      </c>
      <c r="C17" s="3">
        <v>0.1</v>
      </c>
      <c r="D17" s="3">
        <v>53.0</v>
      </c>
      <c r="E17" s="3">
        <v>9.0</v>
      </c>
      <c r="M17" s="3">
        <f t="shared" ref="M17:P17" si="23">SQRT(($B17-H$3)^2+($C17-H$4)^2+($D17-H$5)^2+($E17-H$6)^2)</f>
        <v>4.570216078</v>
      </c>
      <c r="N17" s="3">
        <f t="shared" si="23"/>
        <v>47.67979023</v>
      </c>
      <c r="O17" s="3">
        <f t="shared" si="23"/>
        <v>122.6085959</v>
      </c>
      <c r="P17" s="3">
        <f t="shared" si="23"/>
        <v>227.0423123</v>
      </c>
      <c r="Q17" s="3" t="str">
        <f t="shared" si="6"/>
        <v>S1</v>
      </c>
      <c r="R17" s="4">
        <v>17.0</v>
      </c>
      <c r="S17" s="3" t="str">
        <f t="shared" si="7"/>
        <v>S1</v>
      </c>
      <c r="T17" s="3">
        <f t="shared" si="8"/>
        <v>0</v>
      </c>
    </row>
    <row r="18">
      <c r="A18" s="3" t="s">
        <v>27</v>
      </c>
      <c r="B18" s="3">
        <v>3.0</v>
      </c>
      <c r="C18" s="3">
        <v>80.0</v>
      </c>
      <c r="D18" s="3">
        <v>56.0</v>
      </c>
      <c r="E18" s="3">
        <v>16.0</v>
      </c>
      <c r="M18" s="3">
        <f t="shared" ref="M18:P18" si="24">SQRT(($B18-H$3)^2+($C18-H$4)^2+($D18-H$5)^2+($E18-H$6)^2)</f>
        <v>76.1032974</v>
      </c>
      <c r="N18" s="3">
        <f t="shared" si="24"/>
        <v>32.73540808</v>
      </c>
      <c r="O18" s="3">
        <f t="shared" si="24"/>
        <v>43.13688806</v>
      </c>
      <c r="P18" s="3">
        <f t="shared" si="24"/>
        <v>146.8086818</v>
      </c>
      <c r="Q18" s="3" t="str">
        <f t="shared" si="6"/>
        <v>S2</v>
      </c>
      <c r="R18" s="4">
        <v>18.0</v>
      </c>
      <c r="S18" s="3" t="str">
        <f t="shared" si="7"/>
        <v>S3</v>
      </c>
      <c r="T18" s="3">
        <f t="shared" si="8"/>
        <v>1</v>
      </c>
    </row>
    <row r="19">
      <c r="A19" s="3" t="s">
        <v>28</v>
      </c>
      <c r="B19" s="3">
        <v>7.0</v>
      </c>
      <c r="C19" s="3">
        <v>70.0</v>
      </c>
      <c r="D19" s="3">
        <v>43.0</v>
      </c>
      <c r="E19" s="3">
        <v>15.0</v>
      </c>
      <c r="M19" s="3">
        <f t="shared" ref="M19:P19" si="25">SQRT(($B19-H$3)^2+($C19-H$4)^2+($D19-H$5)^2+($E19-H$6)^2)</f>
        <v>66.76984256</v>
      </c>
      <c r="N19" s="3">
        <f t="shared" si="25"/>
        <v>27.04554469</v>
      </c>
      <c r="O19" s="3">
        <f t="shared" si="25"/>
        <v>56.79546148</v>
      </c>
      <c r="P19" s="3">
        <f t="shared" si="25"/>
        <v>157.8085519</v>
      </c>
      <c r="Q19" s="3" t="str">
        <f t="shared" si="6"/>
        <v>S2</v>
      </c>
      <c r="R19" s="4">
        <v>19.0</v>
      </c>
      <c r="S19" s="3" t="str">
        <f t="shared" si="7"/>
        <v>S2</v>
      </c>
      <c r="T19" s="3">
        <f t="shared" si="8"/>
        <v>0</v>
      </c>
    </row>
    <row r="20">
      <c r="A20" s="3" t="s">
        <v>29</v>
      </c>
      <c r="B20" s="3">
        <v>15.0</v>
      </c>
      <c r="C20" s="3">
        <v>159.0</v>
      </c>
      <c r="D20" s="3">
        <v>61.0</v>
      </c>
      <c r="E20" s="3">
        <v>19.0</v>
      </c>
      <c r="M20" s="3">
        <f t="shared" ref="M20:P20" si="26">SQRT(($B20-H$3)^2+($C20-H$4)^2+($D20-H$5)^2+($E20-H$6)^2)</f>
        <v>155.835047</v>
      </c>
      <c r="N20" s="3">
        <f t="shared" si="26"/>
        <v>112.5085356</v>
      </c>
      <c r="O20" s="3">
        <f t="shared" si="26"/>
        <v>38.8234179</v>
      </c>
      <c r="P20" s="3">
        <f t="shared" si="26"/>
        <v>67.78948342</v>
      </c>
      <c r="Q20" s="3" t="str">
        <f t="shared" si="6"/>
        <v>S3</v>
      </c>
      <c r="R20" s="4">
        <v>20.0</v>
      </c>
      <c r="S20" s="3" t="str">
        <f t="shared" si="7"/>
        <v>S3</v>
      </c>
      <c r="T20" s="3">
        <f t="shared" si="8"/>
        <v>0</v>
      </c>
    </row>
    <row r="21" ht="15.75" customHeight="1">
      <c r="A21" s="3" t="s">
        <v>30</v>
      </c>
      <c r="B21" s="3">
        <v>1.0</v>
      </c>
      <c r="C21" s="3">
        <v>0.1</v>
      </c>
      <c r="D21" s="3">
        <v>45.0</v>
      </c>
      <c r="E21" s="3">
        <v>7.0</v>
      </c>
      <c r="M21" s="3">
        <f t="shared" ref="M21:P21" si="27">SQRT(($B21-H$3)^2+($C21-H$4)^2+($D21-H$5)^2+($E21-H$6)^2)</f>
        <v>9.131641419</v>
      </c>
      <c r="N21" s="3">
        <f t="shared" si="27"/>
        <v>49.27509639</v>
      </c>
      <c r="O21" s="3">
        <f t="shared" si="27"/>
        <v>124.0048431</v>
      </c>
      <c r="P21" s="3">
        <f t="shared" si="27"/>
        <v>227.7319401</v>
      </c>
      <c r="Q21" s="3" t="str">
        <f t="shared" si="6"/>
        <v>S1</v>
      </c>
      <c r="R21" s="4">
        <v>21.0</v>
      </c>
      <c r="S21" s="3" t="str">
        <f t="shared" si="7"/>
        <v>S1</v>
      </c>
      <c r="T21" s="3">
        <f t="shared" si="8"/>
        <v>0</v>
      </c>
    </row>
    <row r="22" ht="15.75" customHeight="1">
      <c r="A22" s="3" t="s">
        <v>31</v>
      </c>
      <c r="B22" s="3">
        <v>10.0</v>
      </c>
      <c r="C22" s="3">
        <v>260.0</v>
      </c>
      <c r="D22" s="3">
        <v>63.0</v>
      </c>
      <c r="E22" s="3">
        <v>28.0</v>
      </c>
      <c r="M22" s="3">
        <f t="shared" ref="M22:P22" si="28">SQRT(($B22-H$3)^2+($C22-H$4)^2+($D22-H$5)^2+($E22-H$6)^2)</f>
        <v>256.7527252</v>
      </c>
      <c r="N22" s="3">
        <f t="shared" si="28"/>
        <v>213.3232452</v>
      </c>
      <c r="O22" s="3">
        <f t="shared" si="28"/>
        <v>138.9982894</v>
      </c>
      <c r="P22" s="3">
        <f t="shared" si="28"/>
        <v>33.94722467</v>
      </c>
      <c r="Q22" s="3" t="str">
        <f t="shared" si="6"/>
        <v>S4</v>
      </c>
      <c r="R22" s="4">
        <v>22.0</v>
      </c>
      <c r="S22" s="3" t="str">
        <f t="shared" si="7"/>
        <v>S4</v>
      </c>
      <c r="T22" s="3">
        <f t="shared" si="8"/>
        <v>0</v>
      </c>
    </row>
    <row r="23" ht="15.75" customHeight="1">
      <c r="A23" s="3" t="s">
        <v>32</v>
      </c>
      <c r="B23" s="3">
        <v>2.0</v>
      </c>
      <c r="C23" s="3">
        <v>138.0</v>
      </c>
      <c r="D23" s="3">
        <v>82.0</v>
      </c>
      <c r="E23" s="3">
        <v>13.0</v>
      </c>
      <c r="M23" s="3">
        <f t="shared" ref="M23:P23" si="29">SQRT(($B23-H$3)^2+($C23-H$4)^2+($D23-H$5)^2+($E23-H$6)^2)</f>
        <v>137.1355602</v>
      </c>
      <c r="N23" s="3">
        <f t="shared" si="29"/>
        <v>94.00197114</v>
      </c>
      <c r="O23" s="3">
        <f t="shared" si="29"/>
        <v>24.11620018</v>
      </c>
      <c r="P23" s="3">
        <f t="shared" si="29"/>
        <v>91.59510938</v>
      </c>
      <c r="Q23" s="3" t="str">
        <f t="shared" si="6"/>
        <v>S3</v>
      </c>
      <c r="R23" s="4">
        <v>23.0</v>
      </c>
      <c r="S23" s="3" t="str">
        <f t="shared" si="7"/>
        <v>S3</v>
      </c>
      <c r="T23" s="3">
        <f t="shared" si="8"/>
        <v>0</v>
      </c>
    </row>
    <row r="24" ht="15.75" customHeight="1">
      <c r="A24" s="3" t="s">
        <v>33</v>
      </c>
      <c r="B24" s="3">
        <v>11.0</v>
      </c>
      <c r="C24" s="3">
        <v>251.0</v>
      </c>
      <c r="D24" s="3">
        <v>68.0</v>
      </c>
      <c r="E24" s="3">
        <v>35.0</v>
      </c>
      <c r="M24" s="3">
        <f t="shared" ref="M24:P24" si="30">SQRT(($B24-H$3)^2+($C24-H$4)^2+($D24-H$5)^2+($E24-H$6)^2)</f>
        <v>248.671695</v>
      </c>
      <c r="N24" s="3">
        <f t="shared" si="30"/>
        <v>205.2046598</v>
      </c>
      <c r="O24" s="3">
        <f t="shared" si="30"/>
        <v>130.6332951</v>
      </c>
      <c r="P24" s="3">
        <f t="shared" si="30"/>
        <v>26.66297175</v>
      </c>
      <c r="Q24" s="3" t="str">
        <f t="shared" si="6"/>
        <v>S4</v>
      </c>
      <c r="R24" s="4">
        <v>24.0</v>
      </c>
      <c r="S24" s="3" t="str">
        <f t="shared" si="7"/>
        <v>S4</v>
      </c>
      <c r="T24" s="3">
        <f t="shared" si="8"/>
        <v>0</v>
      </c>
    </row>
    <row r="25" ht="15.75" customHeight="1">
      <c r="A25" s="3" t="s">
        <v>34</v>
      </c>
      <c r="B25" s="3">
        <v>1.0</v>
      </c>
      <c r="C25" s="3">
        <v>3.0</v>
      </c>
      <c r="D25" s="3">
        <v>62.0</v>
      </c>
      <c r="E25" s="3">
        <v>14.0</v>
      </c>
      <c r="M25" s="3">
        <f t="shared" ref="M25:P25" si="31">SQRT(($B25-H$3)^2+($C25-H$4)^2+($D25-H$5)^2+($E25-H$6)^2)</f>
        <v>10.4719566</v>
      </c>
      <c r="N25" s="3">
        <f t="shared" si="31"/>
        <v>44.66590765</v>
      </c>
      <c r="O25" s="3">
        <f t="shared" si="31"/>
        <v>118.7498398</v>
      </c>
      <c r="P25" s="3">
        <f t="shared" si="31"/>
        <v>223.630642</v>
      </c>
      <c r="Q25" s="3" t="str">
        <f t="shared" si="6"/>
        <v>S1</v>
      </c>
      <c r="R25" s="4">
        <v>25.0</v>
      </c>
      <c r="S25" s="3" t="str">
        <f t="shared" si="7"/>
        <v>S1</v>
      </c>
      <c r="T25" s="3">
        <f t="shared" si="8"/>
        <v>0</v>
      </c>
    </row>
    <row r="26" ht="15.75" customHeight="1">
      <c r="A26" s="3" t="s">
        <v>35</v>
      </c>
      <c r="B26" s="3">
        <v>13.0</v>
      </c>
      <c r="C26" s="3">
        <v>209.0</v>
      </c>
      <c r="D26" s="3">
        <v>44.0</v>
      </c>
      <c r="E26" s="3">
        <v>13.0</v>
      </c>
      <c r="M26" s="3">
        <f t="shared" ref="M26:P26" si="32">SQRT(($B26-H$3)^2+($C26-H$4)^2+($D26-H$5)^2+($E26-H$6)^2)</f>
        <v>205.2920161</v>
      </c>
      <c r="N26" s="3">
        <f t="shared" si="32"/>
        <v>162.4969024</v>
      </c>
      <c r="O26" s="3">
        <f t="shared" si="32"/>
        <v>90.99152586</v>
      </c>
      <c r="P26" s="3">
        <f t="shared" si="32"/>
        <v>29.256009</v>
      </c>
      <c r="Q26" s="3" t="str">
        <f t="shared" si="6"/>
        <v>S4</v>
      </c>
      <c r="R26" s="4">
        <v>26.0</v>
      </c>
      <c r="S26" s="3" t="str">
        <f t="shared" si="7"/>
        <v>S4</v>
      </c>
      <c r="T26" s="3">
        <f t="shared" si="8"/>
        <v>0</v>
      </c>
    </row>
    <row r="27" ht="15.75" customHeight="1">
      <c r="A27" s="3" t="s">
        <v>36</v>
      </c>
      <c r="B27" s="3">
        <v>8.0</v>
      </c>
      <c r="C27" s="3">
        <v>80.0</v>
      </c>
      <c r="D27" s="3">
        <v>61.0</v>
      </c>
      <c r="E27" s="3">
        <v>28.0</v>
      </c>
      <c r="M27" s="3">
        <f t="shared" ref="M27:P27" si="33">SQRT(($B27-H$3)^2+($C27-H$4)^2+($D27-H$5)^2+($E27-H$6)^2)</f>
        <v>78.46949646</v>
      </c>
      <c r="N27" s="3">
        <f t="shared" si="33"/>
        <v>36.23117237</v>
      </c>
      <c r="O27" s="3">
        <f t="shared" si="33"/>
        <v>42.59880019</v>
      </c>
      <c r="P27" s="3">
        <f t="shared" si="33"/>
        <v>146.0861529</v>
      </c>
      <c r="Q27" s="3" t="str">
        <f t="shared" si="6"/>
        <v>S2</v>
      </c>
      <c r="R27" s="4">
        <v>27.0</v>
      </c>
      <c r="S27" s="3" t="str">
        <f t="shared" si="7"/>
        <v>S3</v>
      </c>
      <c r="T27" s="3">
        <f t="shared" si="8"/>
        <v>1</v>
      </c>
    </row>
    <row r="28" ht="15.75" customHeight="1">
      <c r="A28" s="3" t="s">
        <v>37</v>
      </c>
      <c r="B28" s="3">
        <v>5.0</v>
      </c>
      <c r="C28" s="3">
        <v>19.0</v>
      </c>
      <c r="D28" s="3">
        <v>45.0</v>
      </c>
      <c r="E28" s="3">
        <v>15.0</v>
      </c>
      <c r="M28" s="3">
        <f t="shared" ref="M28:P28" si="34">SQRT(($B28-H$3)^2+($C28-H$4)^2+($D28-H$5)^2+($E28-H$6)^2)</f>
        <v>17.22097195</v>
      </c>
      <c r="N28" s="3">
        <f t="shared" si="34"/>
        <v>30.94845622</v>
      </c>
      <c r="O28" s="3">
        <f t="shared" si="34"/>
        <v>104.7755909</v>
      </c>
      <c r="P28" s="3">
        <f t="shared" si="34"/>
        <v>208.2382387</v>
      </c>
      <c r="Q28" s="3" t="str">
        <f t="shared" si="6"/>
        <v>S1</v>
      </c>
      <c r="R28" s="4">
        <v>28.0</v>
      </c>
      <c r="S28" s="3" t="str">
        <f t="shared" si="7"/>
        <v>S1</v>
      </c>
      <c r="T28" s="3">
        <f t="shared" si="8"/>
        <v>0</v>
      </c>
    </row>
    <row r="29" ht="15.75" customHeight="1">
      <c r="A29" s="3" t="s">
        <v>38</v>
      </c>
      <c r="B29" s="3">
        <v>4.0</v>
      </c>
      <c r="C29" s="3">
        <v>10.0</v>
      </c>
      <c r="D29" s="3">
        <v>56.0</v>
      </c>
      <c r="E29" s="3">
        <v>13.0</v>
      </c>
      <c r="M29" s="3">
        <f t="shared" ref="M29:P29" si="35">SQRT(($B29-H$3)^2+($C29-H$4)^2+($D29-H$5)^2+($E29-H$6)^2)</f>
        <v>7.580361139</v>
      </c>
      <c r="N29" s="3">
        <f t="shared" si="35"/>
        <v>37.41083504</v>
      </c>
      <c r="O29" s="3">
        <f t="shared" si="35"/>
        <v>112.1129986</v>
      </c>
      <c r="P29" s="3">
        <f t="shared" si="35"/>
        <v>216.7150527</v>
      </c>
      <c r="Q29" s="3" t="str">
        <f t="shared" si="6"/>
        <v>S1</v>
      </c>
      <c r="R29" s="4">
        <v>29.0</v>
      </c>
      <c r="S29" s="3" t="str">
        <f t="shared" si="7"/>
        <v>S1</v>
      </c>
      <c r="T29" s="3">
        <f t="shared" si="8"/>
        <v>0</v>
      </c>
    </row>
    <row r="30" ht="15.75" customHeight="1">
      <c r="A30" s="3" t="s">
        <v>39</v>
      </c>
      <c r="B30" s="3">
        <v>11.0</v>
      </c>
      <c r="C30" s="3">
        <v>239.0</v>
      </c>
      <c r="D30" s="3">
        <v>75.0</v>
      </c>
      <c r="E30" s="3">
        <v>43.0</v>
      </c>
      <c r="M30" s="3">
        <f t="shared" ref="M30:P30" si="36">SQRT(($B30-H$3)^2+($C30-H$4)^2+($D30-H$5)^2+($E30-H$6)^2)</f>
        <v>238.2835745</v>
      </c>
      <c r="N30" s="3">
        <f t="shared" si="36"/>
        <v>194.8634665</v>
      </c>
      <c r="O30" s="3">
        <f t="shared" si="36"/>
        <v>120.3054077</v>
      </c>
      <c r="P30" s="3">
        <f t="shared" si="36"/>
        <v>23.80995721</v>
      </c>
      <c r="Q30" s="3" t="str">
        <f t="shared" si="6"/>
        <v>S4</v>
      </c>
      <c r="R30" s="4">
        <v>30.0</v>
      </c>
      <c r="S30" s="3" t="str">
        <f t="shared" si="7"/>
        <v>S4</v>
      </c>
      <c r="T30" s="3">
        <f t="shared" si="8"/>
        <v>0</v>
      </c>
    </row>
    <row r="31" ht="15.75" customHeight="1">
      <c r="A31" s="3" t="s">
        <v>40</v>
      </c>
      <c r="B31" s="3">
        <v>0.0</v>
      </c>
      <c r="C31" s="3">
        <v>0.1</v>
      </c>
      <c r="D31" s="3">
        <v>53.0</v>
      </c>
      <c r="E31" s="3">
        <v>6.0</v>
      </c>
      <c r="M31" s="3">
        <f t="shared" ref="M31:P31" si="37">SQRT(($B31-H$3)^2+($C31-H$4)^2+($D31-H$5)^2+($E31-H$6)^2)</f>
        <v>6.718398247</v>
      </c>
      <c r="N31" s="3">
        <f t="shared" si="37"/>
        <v>48.13880155</v>
      </c>
      <c r="O31" s="3">
        <f t="shared" si="37"/>
        <v>123.0111151</v>
      </c>
      <c r="P31" s="3">
        <f t="shared" si="37"/>
        <v>227.3806534</v>
      </c>
      <c r="Q31" s="3" t="str">
        <f t="shared" si="6"/>
        <v>S1</v>
      </c>
      <c r="R31" s="4">
        <v>31.0</v>
      </c>
      <c r="S31" s="3" t="str">
        <f t="shared" si="7"/>
        <v>S1</v>
      </c>
      <c r="T31" s="3">
        <f t="shared" si="8"/>
        <v>0</v>
      </c>
    </row>
    <row r="32" ht="15.75" customHeight="1">
      <c r="A32" s="3" t="s">
        <v>41</v>
      </c>
      <c r="B32" s="3">
        <v>5.0</v>
      </c>
      <c r="C32" s="3">
        <v>155.0</v>
      </c>
      <c r="D32" s="3">
        <v>87.0</v>
      </c>
      <c r="E32" s="3">
        <v>19.0</v>
      </c>
      <c r="M32" s="3">
        <f t="shared" ref="M32:P32" si="38">SQRT(($B32-H$3)^2+($C32-H$4)^2+($D32-H$5)^2+($E32-H$6)^2)</f>
        <v>155.0466442</v>
      </c>
      <c r="N32" s="3">
        <f t="shared" si="38"/>
        <v>111.863503</v>
      </c>
      <c r="O32" s="3">
        <f t="shared" si="38"/>
        <v>39.32163668</v>
      </c>
      <c r="P32" s="3">
        <f t="shared" si="38"/>
        <v>75.69124165</v>
      </c>
      <c r="Q32" s="3" t="str">
        <f t="shared" si="6"/>
        <v>S3</v>
      </c>
      <c r="R32" s="4">
        <v>32.0</v>
      </c>
      <c r="S32" s="3" t="str">
        <f t="shared" si="7"/>
        <v>S3</v>
      </c>
      <c r="T32" s="3">
        <f t="shared" si="8"/>
        <v>0</v>
      </c>
    </row>
    <row r="33" ht="15.75" customHeight="1">
      <c r="A33" s="3" t="s">
        <v>42</v>
      </c>
      <c r="B33" s="3">
        <v>12.0</v>
      </c>
      <c r="C33" s="3">
        <v>229.0</v>
      </c>
      <c r="D33" s="3">
        <v>64.0</v>
      </c>
      <c r="E33" s="3">
        <v>32.0</v>
      </c>
      <c r="M33" s="3">
        <f t="shared" ref="M33:P33" si="39">SQRT(($B33-H$3)^2+($C33-H$4)^2+($D33-H$5)^2+($E33-H$6)^2)</f>
        <v>226.3483198</v>
      </c>
      <c r="N33" s="3">
        <f t="shared" si="39"/>
        <v>182.9227548</v>
      </c>
      <c r="O33" s="3">
        <f t="shared" si="39"/>
        <v>108.5104808</v>
      </c>
      <c r="P33" s="3">
        <f t="shared" si="39"/>
        <v>6.126912967</v>
      </c>
      <c r="Q33" s="3" t="str">
        <f t="shared" si="6"/>
        <v>S4</v>
      </c>
      <c r="R33" s="4">
        <v>33.0</v>
      </c>
      <c r="S33" s="3" t="str">
        <f t="shared" si="7"/>
        <v>S4</v>
      </c>
      <c r="T33" s="3">
        <f t="shared" si="8"/>
        <v>0</v>
      </c>
    </row>
    <row r="34" ht="15.75" customHeight="1">
      <c r="A34" s="3" t="s">
        <v>43</v>
      </c>
      <c r="B34" s="3">
        <v>9.0</v>
      </c>
      <c r="C34" s="3">
        <v>161.0</v>
      </c>
      <c r="D34" s="3">
        <v>85.0</v>
      </c>
      <c r="E34" s="3">
        <v>23.0</v>
      </c>
      <c r="M34" s="3">
        <f t="shared" ref="M34:P34" si="40">SQRT(($B34-H$3)^2+($C34-H$4)^2+($D34-H$5)^2+($E34-H$6)^2)</f>
        <v>160.8442162</v>
      </c>
      <c r="N34" s="3">
        <f t="shared" si="40"/>
        <v>117.551643</v>
      </c>
      <c r="O34" s="3">
        <f t="shared" si="40"/>
        <v>43.77279724</v>
      </c>
      <c r="P34" s="3">
        <f t="shared" si="40"/>
        <v>68.89785238</v>
      </c>
      <c r="Q34" s="3" t="str">
        <f t="shared" si="6"/>
        <v>S3</v>
      </c>
      <c r="R34" s="4">
        <v>34.0</v>
      </c>
      <c r="S34" s="3" t="str">
        <f t="shared" si="7"/>
        <v>S3</v>
      </c>
      <c r="T34" s="3">
        <f t="shared" si="8"/>
        <v>0</v>
      </c>
    </row>
    <row r="35" ht="15.75" customHeight="1">
      <c r="A35" s="3" t="s">
        <v>44</v>
      </c>
      <c r="B35" s="3">
        <v>13.0</v>
      </c>
      <c r="C35" s="3">
        <v>321.0</v>
      </c>
      <c r="D35" s="3">
        <v>45.0</v>
      </c>
      <c r="E35" s="3">
        <v>13.0</v>
      </c>
      <c r="M35" s="3">
        <f t="shared" ref="M35:P35" si="41">SQRT(($B35-H$3)^2+($C35-H$4)^2+($D35-H$5)^2+($E35-H$6)^2)</f>
        <v>317.1030777</v>
      </c>
      <c r="N35" s="3">
        <f t="shared" si="41"/>
        <v>274.0996296</v>
      </c>
      <c r="O35" s="3">
        <f t="shared" si="41"/>
        <v>201.0374537</v>
      </c>
      <c r="P35" s="3">
        <f t="shared" si="41"/>
        <v>97.68016207</v>
      </c>
      <c r="Q35" s="3" t="str">
        <f t="shared" si="6"/>
        <v>S4</v>
      </c>
      <c r="R35" s="4">
        <v>35.0</v>
      </c>
      <c r="S35" s="3" t="str">
        <f t="shared" si="7"/>
        <v>S4</v>
      </c>
      <c r="T35" s="3">
        <f t="shared" si="8"/>
        <v>0</v>
      </c>
    </row>
    <row r="36" ht="15.75" customHeight="1">
      <c r="A36" s="3" t="s">
        <v>45</v>
      </c>
      <c r="B36" s="3">
        <v>0.1</v>
      </c>
      <c r="C36" s="3">
        <v>27.0</v>
      </c>
      <c r="D36" s="3">
        <v>44.0</v>
      </c>
      <c r="E36" s="3">
        <v>6.0</v>
      </c>
      <c r="M36" s="3">
        <f t="shared" ref="M36:P36" si="42">SQRT(($B36-H$3)^2+($C36-H$4)^2+($D36-H$5)^2+($E36-H$6)^2)</f>
        <v>24.78652608</v>
      </c>
      <c r="N36" s="3">
        <f t="shared" si="42"/>
        <v>25.53989101</v>
      </c>
      <c r="O36" s="3">
        <f t="shared" si="42"/>
        <v>98.2958177</v>
      </c>
      <c r="P36" s="3">
        <f t="shared" si="42"/>
        <v>201.3040898</v>
      </c>
      <c r="Q36" s="3" t="str">
        <f t="shared" si="6"/>
        <v>S1</v>
      </c>
      <c r="R36" s="4">
        <v>36.0</v>
      </c>
      <c r="S36" s="3" t="str">
        <f t="shared" si="7"/>
        <v>S2</v>
      </c>
      <c r="T36" s="3">
        <f t="shared" si="8"/>
        <v>1</v>
      </c>
    </row>
    <row r="37" ht="15.75" customHeight="1">
      <c r="A37" s="3" t="s">
        <v>46</v>
      </c>
      <c r="B37" s="3">
        <v>8.0</v>
      </c>
      <c r="C37" s="3">
        <v>119.0</v>
      </c>
      <c r="D37" s="3">
        <v>73.0</v>
      </c>
      <c r="E37" s="3">
        <v>18.0</v>
      </c>
      <c r="M37" s="3">
        <f t="shared" ref="M37:P37" si="43">SQRT(($B37-H$3)^2+($C37-H$4)^2+($D37-H$5)^2+($E37-H$6)^2)</f>
        <v>117.0782297</v>
      </c>
      <c r="N37" s="3">
        <f t="shared" si="43"/>
        <v>73.70005326</v>
      </c>
      <c r="O37" s="3">
        <f t="shared" si="43"/>
        <v>6.747180481</v>
      </c>
      <c r="P37" s="3">
        <f t="shared" si="43"/>
        <v>107.9642953</v>
      </c>
      <c r="Q37" s="3" t="str">
        <f t="shared" si="6"/>
        <v>S3</v>
      </c>
      <c r="R37" s="4">
        <v>37.0</v>
      </c>
      <c r="S37" s="3" t="str">
        <f t="shared" si="7"/>
        <v>S3</v>
      </c>
      <c r="T37" s="3">
        <f t="shared" si="8"/>
        <v>0</v>
      </c>
    </row>
    <row r="38" ht="15.75" customHeight="1">
      <c r="A38" s="3" t="s">
        <v>47</v>
      </c>
      <c r="B38" s="3">
        <v>4.0</v>
      </c>
      <c r="C38" s="3">
        <v>116.0</v>
      </c>
      <c r="D38" s="3">
        <v>59.0</v>
      </c>
      <c r="E38" s="3">
        <v>20.0</v>
      </c>
      <c r="M38" s="3">
        <f t="shared" ref="M38:P38" si="44">SQRT(($B38-H$3)^2+($C38-H$4)^2+($D38-H$5)^2+($E38-H$6)^2)</f>
        <v>112.4249166</v>
      </c>
      <c r="N38" s="3">
        <f t="shared" si="44"/>
        <v>68.96196341</v>
      </c>
      <c r="O38" s="3">
        <f t="shared" si="44"/>
        <v>10.1976032</v>
      </c>
      <c r="P38" s="3">
        <f t="shared" si="44"/>
        <v>110.5177093</v>
      </c>
      <c r="Q38" s="3" t="str">
        <f t="shared" si="6"/>
        <v>S3</v>
      </c>
      <c r="R38" s="4">
        <v>38.0</v>
      </c>
      <c r="S38" s="3" t="str">
        <f t="shared" si="7"/>
        <v>S3</v>
      </c>
      <c r="T38" s="3">
        <f t="shared" si="8"/>
        <v>0</v>
      </c>
    </row>
    <row r="39" ht="15.75" customHeight="1">
      <c r="A39" s="3" t="s">
        <v>48</v>
      </c>
      <c r="B39" s="3">
        <v>4.0</v>
      </c>
      <c r="C39" s="3">
        <v>103.0</v>
      </c>
      <c r="D39" s="3">
        <v>58.0</v>
      </c>
      <c r="E39" s="3">
        <v>29.0</v>
      </c>
      <c r="M39" s="3">
        <f t="shared" ref="M39:P39" si="45">SQRT(($B39-H$3)^2+($C39-H$4)^2+($D39-H$5)^2+($E39-H$6)^2)</f>
        <v>100.6648493</v>
      </c>
      <c r="N39" s="3">
        <f t="shared" si="45"/>
        <v>57.71739644</v>
      </c>
      <c r="O39" s="3">
        <f t="shared" si="45"/>
        <v>22.75502387</v>
      </c>
      <c r="P39" s="3">
        <f t="shared" si="45"/>
        <v>123.3036458</v>
      </c>
      <c r="Q39" s="3" t="str">
        <f t="shared" si="6"/>
        <v>S3</v>
      </c>
      <c r="R39" s="4">
        <v>39.0</v>
      </c>
      <c r="S39" s="3" t="str">
        <f t="shared" si="7"/>
        <v>S3</v>
      </c>
      <c r="T39" s="3">
        <f t="shared" si="8"/>
        <v>0</v>
      </c>
    </row>
    <row r="40" ht="15.75" customHeight="1">
      <c r="A40" s="3" t="s">
        <v>49</v>
      </c>
      <c r="B40" s="3">
        <v>4.0</v>
      </c>
      <c r="C40" s="3">
        <v>57.0</v>
      </c>
      <c r="D40" s="3">
        <v>67.0</v>
      </c>
      <c r="E40" s="3">
        <v>13.0</v>
      </c>
      <c r="M40" s="3">
        <f t="shared" ref="M40:P40" si="46">SQRT(($B40-H$3)^2+($C40-H$4)^2+($D40-H$5)^2+($E40-H$6)^2)</f>
        <v>54.95690926</v>
      </c>
      <c r="N40" s="3">
        <f t="shared" si="46"/>
        <v>13.90642874</v>
      </c>
      <c r="O40" s="3">
        <f t="shared" si="46"/>
        <v>64.76823639</v>
      </c>
      <c r="P40" s="3">
        <f t="shared" si="46"/>
        <v>169.8147198</v>
      </c>
      <c r="Q40" s="3" t="str">
        <f t="shared" si="6"/>
        <v>S2</v>
      </c>
      <c r="R40" s="4">
        <v>40.0</v>
      </c>
      <c r="S40" s="3" t="str">
        <f t="shared" si="7"/>
        <v>S2</v>
      </c>
      <c r="T40" s="3">
        <f t="shared" si="8"/>
        <v>0</v>
      </c>
    </row>
    <row r="41" ht="15.75" customHeight="1">
      <c r="A41" s="3" t="s">
        <v>50</v>
      </c>
      <c r="B41" s="3">
        <v>2.0</v>
      </c>
      <c r="C41" s="3">
        <v>97.0</v>
      </c>
      <c r="D41" s="3">
        <v>83.0</v>
      </c>
      <c r="E41" s="3">
        <v>5.0</v>
      </c>
      <c r="M41" s="3">
        <f t="shared" ref="M41:P41" si="47">SQRT(($B41-H$3)^2+($C41-H$4)^2+($D41-H$5)^2+($E41-H$6)^2)</f>
        <v>98.00133609</v>
      </c>
      <c r="N41" s="3">
        <f t="shared" si="47"/>
        <v>56.67136231</v>
      </c>
      <c r="O41" s="3">
        <f t="shared" si="47"/>
        <v>33.10172872</v>
      </c>
      <c r="P41" s="3">
        <f t="shared" si="47"/>
        <v>132.7527366</v>
      </c>
      <c r="Q41" s="3" t="str">
        <f t="shared" si="6"/>
        <v>S3</v>
      </c>
      <c r="R41" s="4">
        <v>41.0</v>
      </c>
      <c r="S41" s="3" t="str">
        <f t="shared" si="7"/>
        <v>S3</v>
      </c>
      <c r="T41" s="3">
        <f t="shared" si="8"/>
        <v>0</v>
      </c>
    </row>
    <row r="42" ht="15.75" customHeight="1">
      <c r="A42" s="3" t="s">
        <v>51</v>
      </c>
      <c r="B42" s="3">
        <v>13.0</v>
      </c>
      <c r="C42" s="3">
        <v>210.0</v>
      </c>
      <c r="D42" s="3">
        <v>46.0</v>
      </c>
      <c r="E42" s="3">
        <v>21.0</v>
      </c>
      <c r="M42" s="3">
        <f t="shared" ref="M42:P42" si="48">SQRT(($B42-H$3)^2+($C42-H$4)^2+($D42-H$5)^2+($E42-H$6)^2)</f>
        <v>206.4581359</v>
      </c>
      <c r="N42" s="3">
        <f t="shared" si="48"/>
        <v>163.5038716</v>
      </c>
      <c r="O42" s="3">
        <f t="shared" si="48"/>
        <v>91.25673187</v>
      </c>
      <c r="P42" s="3">
        <f t="shared" si="48"/>
        <v>24.24436146</v>
      </c>
      <c r="Q42" s="3" t="str">
        <f t="shared" si="6"/>
        <v>S4</v>
      </c>
      <c r="R42" s="4">
        <v>42.0</v>
      </c>
      <c r="S42" s="3" t="str">
        <f t="shared" si="7"/>
        <v>S4</v>
      </c>
      <c r="T42" s="3">
        <f t="shared" si="8"/>
        <v>0</v>
      </c>
    </row>
    <row r="43" ht="15.75" customHeight="1">
      <c r="A43" s="3" t="s">
        <v>52</v>
      </c>
      <c r="B43" s="3">
        <v>3.0</v>
      </c>
      <c r="C43" s="3">
        <v>1.0</v>
      </c>
      <c r="D43" s="3">
        <v>43.0</v>
      </c>
      <c r="E43" s="3">
        <v>12.0</v>
      </c>
      <c r="M43" s="3">
        <f t="shared" ref="M43:P43" si="49">SQRT(($B43-H$3)^2+($C43-H$4)^2+($D43-H$5)^2+($E43-H$6)^2)</f>
        <v>9.77813249</v>
      </c>
      <c r="N43" s="3">
        <f t="shared" si="49"/>
        <v>48.4896206</v>
      </c>
      <c r="O43" s="3">
        <f t="shared" si="49"/>
        <v>122.9969828</v>
      </c>
      <c r="P43" s="3">
        <f t="shared" si="49"/>
        <v>226.5439561</v>
      </c>
      <c r="Q43" s="3" t="str">
        <f t="shared" si="6"/>
        <v>S1</v>
      </c>
      <c r="R43" s="4">
        <v>43.0</v>
      </c>
      <c r="S43" s="3" t="str">
        <f t="shared" si="7"/>
        <v>S1</v>
      </c>
      <c r="T43" s="3">
        <f t="shared" si="8"/>
        <v>0</v>
      </c>
    </row>
    <row r="44" ht="15.75" customHeight="1">
      <c r="A44" s="3" t="s">
        <v>53</v>
      </c>
      <c r="B44" s="3">
        <v>14.0</v>
      </c>
      <c r="C44" s="3">
        <v>96.0</v>
      </c>
      <c r="D44" s="3">
        <v>58.0</v>
      </c>
      <c r="E44" s="3">
        <v>27.0</v>
      </c>
      <c r="M44" s="3">
        <f t="shared" ref="M44:P44" si="50">SQRT(($B44-H$3)^2+($C44-H$4)^2+($D44-H$5)^2+($E44-H$6)^2)</f>
        <v>94.18259858</v>
      </c>
      <c r="N44" s="3">
        <f t="shared" si="50"/>
        <v>51.68372028</v>
      </c>
      <c r="O44" s="3">
        <f t="shared" si="50"/>
        <v>28.57022537</v>
      </c>
      <c r="P44" s="3">
        <f t="shared" si="50"/>
        <v>130.2167964</v>
      </c>
      <c r="Q44" s="3" t="str">
        <f t="shared" si="6"/>
        <v>S3</v>
      </c>
      <c r="R44" s="4">
        <v>44.0</v>
      </c>
      <c r="S44" s="3" t="str">
        <f t="shared" si="7"/>
        <v>S3</v>
      </c>
      <c r="T44" s="3">
        <f t="shared" si="8"/>
        <v>0</v>
      </c>
    </row>
    <row r="45" ht="15.75" customHeight="1">
      <c r="A45" s="3" t="s">
        <v>54</v>
      </c>
      <c r="B45" s="3">
        <v>13.0</v>
      </c>
      <c r="C45" s="3">
        <v>137.0</v>
      </c>
      <c r="D45" s="3">
        <v>79.0</v>
      </c>
      <c r="E45" s="3">
        <v>25.0</v>
      </c>
      <c r="M45" s="3">
        <f t="shared" ref="M45:P45" si="51">SQRT(($B45-H$3)^2+($C45-H$4)^2+($D45-H$5)^2+($E45-H$6)^2)</f>
        <v>136.6940448</v>
      </c>
      <c r="N45" s="3">
        <f t="shared" si="51"/>
        <v>93.5349601</v>
      </c>
      <c r="O45" s="3">
        <f t="shared" si="51"/>
        <v>21.2365513</v>
      </c>
      <c r="P45" s="3">
        <f t="shared" si="51"/>
        <v>90.61685308</v>
      </c>
      <c r="Q45" s="3" t="str">
        <f t="shared" si="6"/>
        <v>S3</v>
      </c>
      <c r="R45" s="4">
        <v>45.0</v>
      </c>
      <c r="S45" s="3" t="str">
        <f t="shared" si="7"/>
        <v>S3</v>
      </c>
      <c r="T45" s="3">
        <f t="shared" si="8"/>
        <v>0</v>
      </c>
    </row>
    <row r="46" ht="15.75" customHeight="1">
      <c r="A46" s="3" t="s">
        <v>55</v>
      </c>
      <c r="B46" s="3">
        <v>0.0</v>
      </c>
      <c r="C46" s="3">
        <v>49.0</v>
      </c>
      <c r="D46" s="3">
        <v>74.0</v>
      </c>
      <c r="E46" s="3">
        <v>21.0</v>
      </c>
      <c r="M46" s="3">
        <f t="shared" ref="M46:P46" si="52">SQRT(($B46-H$3)^2+($C46-H$4)^2+($D46-H$5)^2+($E46-H$6)^2)</f>
        <v>50.93438794</v>
      </c>
      <c r="N46" s="3">
        <f t="shared" si="52"/>
        <v>18.66907108</v>
      </c>
      <c r="O46" s="3">
        <f t="shared" si="52"/>
        <v>73.10215075</v>
      </c>
      <c r="P46" s="3">
        <f t="shared" si="52"/>
        <v>177.8005598</v>
      </c>
      <c r="Q46" s="3" t="str">
        <f t="shared" si="6"/>
        <v>S2</v>
      </c>
      <c r="R46" s="4">
        <v>46.0</v>
      </c>
      <c r="S46" s="3" t="str">
        <f t="shared" si="7"/>
        <v>S2</v>
      </c>
      <c r="T46" s="3">
        <f t="shared" si="8"/>
        <v>0</v>
      </c>
    </row>
    <row r="47" ht="15.75" customHeight="1">
      <c r="A47" s="3" t="s">
        <v>56</v>
      </c>
      <c r="B47" s="3">
        <v>0.1</v>
      </c>
      <c r="C47" s="3">
        <v>44.0</v>
      </c>
      <c r="D47" s="3">
        <v>24.0</v>
      </c>
      <c r="E47" s="3">
        <v>8.0</v>
      </c>
      <c r="M47" s="3">
        <f t="shared" ref="M47:P47" si="53">SQRT(($B47-H$3)^2+($C47-H$4)^2+($D47-H$5)^2+($E47-H$6)^2)</f>
        <v>48.87659844</v>
      </c>
      <c r="N47" s="3">
        <f t="shared" si="53"/>
        <v>33.84744701</v>
      </c>
      <c r="O47" s="3">
        <f t="shared" si="53"/>
        <v>89.48892545</v>
      </c>
      <c r="P47" s="3">
        <f t="shared" si="53"/>
        <v>187.3851957</v>
      </c>
      <c r="Q47" s="3" t="str">
        <f t="shared" si="6"/>
        <v>S2</v>
      </c>
      <c r="R47" s="4">
        <v>47.0</v>
      </c>
      <c r="S47" s="3" t="str">
        <f t="shared" si="7"/>
        <v>S2</v>
      </c>
      <c r="T47" s="3">
        <f t="shared" si="8"/>
        <v>0</v>
      </c>
    </row>
    <row r="48" ht="15.75" customHeight="1">
      <c r="A48" s="3" t="s">
        <v>57</v>
      </c>
      <c r="B48" s="3">
        <v>7.0</v>
      </c>
      <c r="C48" s="3">
        <v>100.0</v>
      </c>
      <c r="D48" s="3">
        <v>58.0</v>
      </c>
      <c r="E48" s="3">
        <v>16.0</v>
      </c>
      <c r="M48" s="3">
        <f t="shared" ref="M48:P48" si="54">SQRT(($B48-H$3)^2+($C48-H$4)^2+($D48-H$5)^2+($E48-H$6)^2)</f>
        <v>96.27155278</v>
      </c>
      <c r="N48" s="3">
        <f t="shared" si="54"/>
        <v>52.87212392</v>
      </c>
      <c r="O48" s="3">
        <f t="shared" si="54"/>
        <v>23.3807138</v>
      </c>
      <c r="P48" s="3">
        <f t="shared" si="54"/>
        <v>126.6838153</v>
      </c>
      <c r="Q48" s="3" t="str">
        <f t="shared" si="6"/>
        <v>S3</v>
      </c>
      <c r="R48" s="4">
        <v>48.0</v>
      </c>
      <c r="S48" s="3" t="str">
        <f t="shared" si="7"/>
        <v>S3</v>
      </c>
      <c r="T48" s="3">
        <f t="shared" si="8"/>
        <v>0</v>
      </c>
    </row>
    <row r="49" ht="15.75" customHeight="1">
      <c r="A49" s="3" t="s">
        <v>58</v>
      </c>
      <c r="B49" s="3">
        <v>1.0</v>
      </c>
      <c r="C49" s="3">
        <v>62.0</v>
      </c>
      <c r="D49" s="3">
        <v>73.0</v>
      </c>
      <c r="E49" s="3">
        <v>24.0</v>
      </c>
      <c r="M49" s="3">
        <f t="shared" ref="M49:P49" si="55">SQRT(($B49-H$3)^2+($C49-H$4)^2+($D49-H$5)^2+($E49-H$6)^2)</f>
        <v>62.87099391</v>
      </c>
      <c r="N49" s="3">
        <f t="shared" si="55"/>
        <v>23.99143098</v>
      </c>
      <c r="O49" s="3">
        <f t="shared" si="55"/>
        <v>60.18685718</v>
      </c>
      <c r="P49" s="3">
        <f t="shared" si="55"/>
        <v>164.6505058</v>
      </c>
      <c r="Q49" s="3" t="str">
        <f t="shared" si="6"/>
        <v>S2</v>
      </c>
      <c r="R49" s="4">
        <v>49.0</v>
      </c>
      <c r="S49" s="3" t="str">
        <f t="shared" si="7"/>
        <v>S2</v>
      </c>
      <c r="T49" s="3">
        <f t="shared" si="8"/>
        <v>0</v>
      </c>
    </row>
    <row r="50" ht="15.75" customHeight="1">
      <c r="A50" s="3" t="s">
        <v>59</v>
      </c>
      <c r="B50" s="3">
        <v>5.0</v>
      </c>
      <c r="C50" s="3">
        <v>65.0</v>
      </c>
      <c r="D50" s="3">
        <v>34.0</v>
      </c>
      <c r="E50" s="3">
        <v>9.0</v>
      </c>
      <c r="M50" s="3">
        <f t="shared" ref="M50:P50" si="56">SQRT(($B50-H$3)^2+($C50-H$4)^2+($D50-H$5)^2+($E50-H$6)^2)</f>
        <v>63.56659402</v>
      </c>
      <c r="N50" s="3">
        <f t="shared" si="56"/>
        <v>29.53099506</v>
      </c>
      <c r="O50" s="3">
        <f t="shared" si="56"/>
        <v>66.11901727</v>
      </c>
      <c r="P50" s="3">
        <f t="shared" si="56"/>
        <v>164.6933941</v>
      </c>
      <c r="Q50" s="3" t="str">
        <f t="shared" si="6"/>
        <v>S2</v>
      </c>
      <c r="R50" s="4">
        <v>50.0</v>
      </c>
      <c r="S50" s="3" t="str">
        <f t="shared" si="7"/>
        <v>S2</v>
      </c>
      <c r="T50" s="3">
        <f t="shared" si="8"/>
        <v>0</v>
      </c>
    </row>
    <row r="51" ht="15.75" customHeight="1">
      <c r="A51" s="3" t="s">
        <v>60</v>
      </c>
      <c r="B51" s="3">
        <v>0.0</v>
      </c>
      <c r="C51" s="3">
        <v>0.1</v>
      </c>
      <c r="D51" s="3">
        <v>60.0</v>
      </c>
      <c r="E51" s="3">
        <v>11.0</v>
      </c>
      <c r="M51" s="3">
        <f t="shared" ref="M51:P51" si="57">SQRT(($B51-H$3)^2+($C51-H$4)^2+($D51-H$5)^2+($E51-H$6)^2)</f>
        <v>9.09048266</v>
      </c>
      <c r="N51" s="3">
        <f t="shared" si="57"/>
        <v>47.50577607</v>
      </c>
      <c r="O51" s="3">
        <f t="shared" si="57"/>
        <v>121.9683064</v>
      </c>
      <c r="P51" s="3">
        <f t="shared" si="57"/>
        <v>226.7751344</v>
      </c>
      <c r="Q51" s="3" t="str">
        <f t="shared" si="6"/>
        <v>S1</v>
      </c>
      <c r="R51" s="4">
        <v>51.0</v>
      </c>
      <c r="S51" s="3" t="str">
        <f t="shared" si="7"/>
        <v>S1</v>
      </c>
      <c r="T51" s="3">
        <f t="shared" si="8"/>
        <v>0</v>
      </c>
    </row>
    <row r="52" ht="15.75" customHeight="1">
      <c r="A52" s="3" t="s">
        <v>61</v>
      </c>
      <c r="B52" s="3">
        <v>6.0</v>
      </c>
      <c r="C52" s="3">
        <v>143.0</v>
      </c>
      <c r="D52" s="3">
        <v>51.0</v>
      </c>
      <c r="E52" s="3">
        <v>11.0</v>
      </c>
      <c r="M52" s="3">
        <f t="shared" ref="M52:P52" si="58">SQRT(($B52-H$3)^2+($C52-H$4)^2+($D52-H$5)^2+($E52-H$6)^2)</f>
        <v>138.8872272</v>
      </c>
      <c r="N52" s="3">
        <f t="shared" si="58"/>
        <v>95.92728134</v>
      </c>
      <c r="O52" s="3">
        <f t="shared" si="58"/>
        <v>28.22748857</v>
      </c>
      <c r="P52" s="3">
        <f t="shared" si="58"/>
        <v>85.53384747</v>
      </c>
      <c r="Q52" s="3" t="str">
        <f t="shared" si="6"/>
        <v>S3</v>
      </c>
      <c r="R52" s="4">
        <v>52.0</v>
      </c>
      <c r="S52" s="3" t="str">
        <f t="shared" si="7"/>
        <v>S3</v>
      </c>
      <c r="T52" s="3">
        <f t="shared" si="8"/>
        <v>0</v>
      </c>
    </row>
    <row r="53" ht="15.75" customHeight="1">
      <c r="M53" s="3">
        <f t="shared" ref="M53:P53" si="59">SQRT(($B53-H$3)^2+($C53-H$4)^2+($D53-H$5)^2+($E53-H$6)^2)</f>
        <v>53.44821676</v>
      </c>
      <c r="N53" s="3">
        <f t="shared" si="59"/>
        <v>75.48622774</v>
      </c>
      <c r="O53" s="3">
        <f t="shared" si="59"/>
        <v>140.1187274</v>
      </c>
      <c r="P53" s="3">
        <f t="shared" si="59"/>
        <v>236.3909137</v>
      </c>
      <c r="Q53" s="3" t="str">
        <f t="shared" si="6"/>
        <v>S1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1:K1"/>
    <mergeCell ref="M1:P1"/>
    <mergeCell ref="G10:H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8.71"/>
    <col customWidth="1" min="4" max="4" width="15.57"/>
    <col customWidth="1" min="5" max="6" width="8.71"/>
    <col customWidth="1" min="7" max="7" width="15.57"/>
    <col customWidth="1" min="8" max="15" width="8.71"/>
    <col customWidth="1" min="16" max="16" width="11.29"/>
    <col customWidth="1" min="17" max="17" width="10.0"/>
    <col customWidth="1" min="18" max="18" width="8.71"/>
    <col customWidth="1" min="19" max="19" width="16.57"/>
    <col customWidth="1" min="20" max="26" width="8.71"/>
  </cols>
  <sheetData>
    <row r="1">
      <c r="F1" s="4" t="s">
        <v>67</v>
      </c>
      <c r="G1" s="1" t="s">
        <v>0</v>
      </c>
      <c r="M1" s="2" t="s">
        <v>1</v>
      </c>
      <c r="Q1" s="2"/>
      <c r="R1" s="4">
        <v>1.0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M2" s="3" t="str">
        <f t="shared" ref="M2:P2" si="1">H2</f>
        <v>S1</v>
      </c>
      <c r="N2" s="3" t="str">
        <f t="shared" si="1"/>
        <v>S2</v>
      </c>
      <c r="O2" s="3" t="str">
        <f t="shared" si="1"/>
        <v>S3</v>
      </c>
      <c r="P2" s="3" t="str">
        <f t="shared" si="1"/>
        <v>S4</v>
      </c>
      <c r="Q2" s="4" t="s">
        <v>7</v>
      </c>
      <c r="R2" s="4">
        <v>2.0</v>
      </c>
      <c r="S2" s="4" t="s">
        <v>63</v>
      </c>
      <c r="T2" s="4" t="s">
        <v>64</v>
      </c>
    </row>
    <row r="3">
      <c r="A3" s="3" t="s">
        <v>12</v>
      </c>
      <c r="B3" s="3">
        <v>12.0</v>
      </c>
      <c r="C3" s="3">
        <v>193.0</v>
      </c>
      <c r="D3" s="3">
        <v>51.0</v>
      </c>
      <c r="E3" s="3">
        <v>21.0</v>
      </c>
      <c r="F3" s="4">
        <v>2.0</v>
      </c>
      <c r="G3" s="3" t="s">
        <v>3</v>
      </c>
      <c r="H3" s="3">
        <f t="shared" ref="H3:K3" si="2">AVERAGEIFS(INDIRECT($F$1 &amp; "!" &amp; ADDRESS(3, $F3,1)) : INDIRECT($F$1 &amp; "!" &amp; ADDRESS(52, $F3, 1)), INDIRECT($F$1 &amp; "!$Q$3"): INDIRECT($F$1 &amp; "!$Q$52"),H$2)</f>
        <v>1.788888889</v>
      </c>
      <c r="I3" s="3">
        <f t="shared" si="2"/>
        <v>3.341666667</v>
      </c>
      <c r="J3" s="3">
        <f t="shared" si="2"/>
        <v>7.785714286</v>
      </c>
      <c r="K3" s="3">
        <f t="shared" si="2"/>
        <v>10.13333333</v>
      </c>
      <c r="M3" s="3">
        <f t="shared" ref="M3:P3" si="3">SQRT(($B3-H$3)^2+($C3-H$4)^2+($D3-H$5)^2+($E3-H$6)^2)</f>
        <v>186.873337</v>
      </c>
      <c r="N3" s="3">
        <f t="shared" si="3"/>
        <v>139.0675598</v>
      </c>
      <c r="O3" s="3">
        <f t="shared" si="3"/>
        <v>64.93438604</v>
      </c>
      <c r="P3" s="3">
        <f t="shared" si="3"/>
        <v>38.78516326</v>
      </c>
      <c r="Q3" s="3" t="str">
        <f t="shared" ref="Q3:Q53" si="6">INDEX($M$2:$P$2,1,MATCH(MIN(M3:P3),M3:P3,0))</f>
        <v>S4</v>
      </c>
      <c r="R3" s="4">
        <v>3.0</v>
      </c>
      <c r="S3" s="3" t="str">
        <f t="shared" ref="S3:S52" si="7">INDIRECT($F$1 &amp; "!Q" &amp; R3)</f>
        <v>S4</v>
      </c>
      <c r="T3" s="3">
        <f t="shared" ref="T3:T52" si="8">IF(Q3=S3,0,1)</f>
        <v>0</v>
      </c>
    </row>
    <row r="4">
      <c r="A4" s="3" t="s">
        <v>13</v>
      </c>
      <c r="B4" s="3">
        <v>9.0</v>
      </c>
      <c r="C4" s="3">
        <v>222.0</v>
      </c>
      <c r="D4" s="3">
        <v>39.0</v>
      </c>
      <c r="E4" s="3">
        <v>42.0</v>
      </c>
      <c r="F4" s="4">
        <v>3.0</v>
      </c>
      <c r="G4" s="3" t="s">
        <v>4</v>
      </c>
      <c r="H4" s="3">
        <f t="shared" ref="H4:K4" si="4">AVERAGEIFS(INDIRECT($F$1 &amp; "!" &amp; ADDRESS(3, $F4,1)) : INDIRECT($F$1 &amp; "!" &amp; ADDRESS(52, $F4, 1)), INDIRECT($F$1 &amp; "!$Q$3"): INDIRECT($F$1 &amp; "!$Q$52"),H$2)</f>
        <v>6.711111111</v>
      </c>
      <c r="I4" s="3">
        <f t="shared" si="4"/>
        <v>54.5</v>
      </c>
      <c r="J4" s="3">
        <f t="shared" si="4"/>
        <v>130.7142857</v>
      </c>
      <c r="K4" s="3">
        <f t="shared" si="4"/>
        <v>229.8</v>
      </c>
      <c r="M4" s="3">
        <f t="shared" ref="M4:P4" si="5">SQRT(($B4-H$3)^2+($C4-H$4)^2+($D4-H$5)^2+($E4-H$6)^2)</f>
        <v>218.0675728</v>
      </c>
      <c r="N4" s="3">
        <f t="shared" si="5"/>
        <v>170.746409</v>
      </c>
      <c r="O4" s="3">
        <f t="shared" si="5"/>
        <v>98.44456121</v>
      </c>
      <c r="P4" s="3">
        <f t="shared" si="5"/>
        <v>28.56726954</v>
      </c>
      <c r="Q4" s="3" t="str">
        <f t="shared" si="6"/>
        <v>S4</v>
      </c>
      <c r="R4" s="4">
        <v>4.0</v>
      </c>
      <c r="S4" s="3" t="str">
        <f t="shared" si="7"/>
        <v>S4</v>
      </c>
      <c r="T4" s="3">
        <f t="shared" si="8"/>
        <v>0</v>
      </c>
    </row>
    <row r="5">
      <c r="A5" s="3" t="s">
        <v>14</v>
      </c>
      <c r="B5" s="3">
        <v>6.0</v>
      </c>
      <c r="C5" s="3">
        <v>226.0</v>
      </c>
      <c r="D5" s="3">
        <v>72.0</v>
      </c>
      <c r="E5" s="3">
        <v>30.0</v>
      </c>
      <c r="F5" s="4">
        <v>4.0</v>
      </c>
      <c r="G5" s="3" t="s">
        <v>5</v>
      </c>
      <c r="H5" s="3">
        <f t="shared" ref="H5:K5" si="9">AVERAGEIFS(INDIRECT($F$1 &amp; "!" &amp; ADDRESS(3, $F5,1)) : INDIRECT($F$1 &amp; "!" &amp; ADDRESS(52, $F5, 1)), INDIRECT($F$1 &amp; "!$Q$3"): INDIRECT($F$1 &amp; "!$Q$52"),H$2)</f>
        <v>51.22222222</v>
      </c>
      <c r="I5" s="3">
        <f t="shared" si="9"/>
        <v>58.41666667</v>
      </c>
      <c r="J5" s="3">
        <f t="shared" si="9"/>
        <v>68.85714286</v>
      </c>
      <c r="K5" s="3">
        <f t="shared" si="9"/>
        <v>61.73333333</v>
      </c>
      <c r="M5" s="3">
        <f t="shared" ref="M5:P5" si="10">SQRT(($B5-H$3)^2+($C5-H$4)^2+($D5-H$5)^2+($E5-H$6)^2)</f>
        <v>221.1873506</v>
      </c>
      <c r="N5" s="3">
        <f t="shared" si="10"/>
        <v>172.6467092</v>
      </c>
      <c r="O5" s="3">
        <f t="shared" si="10"/>
        <v>95.83342798</v>
      </c>
      <c r="P5" s="3">
        <f t="shared" si="10"/>
        <v>12.1856017</v>
      </c>
      <c r="Q5" s="3" t="str">
        <f t="shared" si="6"/>
        <v>S4</v>
      </c>
      <c r="R5" s="4">
        <v>5.0</v>
      </c>
      <c r="S5" s="3" t="str">
        <f t="shared" si="7"/>
        <v>S4</v>
      </c>
      <c r="T5" s="3">
        <f t="shared" si="8"/>
        <v>0</v>
      </c>
    </row>
    <row r="6">
      <c r="A6" s="3" t="s">
        <v>15</v>
      </c>
      <c r="B6" s="3">
        <v>8.0</v>
      </c>
      <c r="C6" s="3">
        <v>177.0</v>
      </c>
      <c r="D6" s="3">
        <v>50.0</v>
      </c>
      <c r="E6" s="3">
        <v>17.0</v>
      </c>
      <c r="F6" s="4">
        <v>5.0</v>
      </c>
      <c r="G6" s="3" t="s">
        <v>6</v>
      </c>
      <c r="H6" s="3">
        <f t="shared" ref="H6:K6" si="11">AVERAGEIFS(INDIRECT($F$1 &amp; "!" &amp; ADDRESS(3, $F6,1)) : INDIRECT($F$1 &amp; "!" &amp; ADDRESS(52, $F6, 1)), INDIRECT($F$1 &amp; "!$Q$3"): INDIRECT($F$1 &amp; "!$Q$52"),H$2)</f>
        <v>10.33333333</v>
      </c>
      <c r="I6" s="3">
        <f t="shared" si="11"/>
        <v>15.75</v>
      </c>
      <c r="J6" s="3">
        <f t="shared" si="11"/>
        <v>20.42857143</v>
      </c>
      <c r="K6" s="3">
        <f t="shared" si="11"/>
        <v>26.6</v>
      </c>
      <c r="M6" s="3">
        <f t="shared" ref="M6:P6" si="12">SQRT(($B6-H$3)^2+($C6-H$4)^2+($D6-H$5)^2+($E6-H$6)^2)</f>
        <v>170.5368636</v>
      </c>
      <c r="N6" s="3">
        <f t="shared" si="12"/>
        <v>122.883493</v>
      </c>
      <c r="O6" s="3">
        <f t="shared" si="12"/>
        <v>50.09750696</v>
      </c>
      <c r="P6" s="3">
        <f t="shared" si="12"/>
        <v>54.97474167</v>
      </c>
      <c r="Q6" s="3" t="str">
        <f t="shared" si="6"/>
        <v>S3</v>
      </c>
      <c r="R6" s="4">
        <v>6.0</v>
      </c>
      <c r="S6" s="3" t="str">
        <f t="shared" si="7"/>
        <v>S4</v>
      </c>
      <c r="T6" s="3">
        <f t="shared" si="8"/>
        <v>1</v>
      </c>
    </row>
    <row r="7">
      <c r="A7" s="3" t="s">
        <v>16</v>
      </c>
      <c r="B7" s="3">
        <v>7.0</v>
      </c>
      <c r="C7" s="3">
        <v>235.0</v>
      </c>
      <c r="D7" s="3">
        <v>86.0</v>
      </c>
      <c r="E7" s="3">
        <v>39.0</v>
      </c>
      <c r="M7" s="3">
        <f t="shared" ref="M7:P7" si="13">SQRT(($B7-H$3)^2+($C7-H$4)^2+($D7-H$5)^2+($E7-H$6)^2)</f>
        <v>232.7536124</v>
      </c>
      <c r="N7" s="3">
        <f t="shared" si="13"/>
        <v>184.106046</v>
      </c>
      <c r="O7" s="3">
        <f t="shared" si="13"/>
        <v>107.3075163</v>
      </c>
      <c r="P7" s="3">
        <f t="shared" si="13"/>
        <v>27.91932823</v>
      </c>
      <c r="Q7" s="3" t="str">
        <f t="shared" si="6"/>
        <v>S4</v>
      </c>
      <c r="R7" s="4">
        <v>7.0</v>
      </c>
      <c r="S7" s="3" t="str">
        <f t="shared" si="7"/>
        <v>S4</v>
      </c>
      <c r="T7" s="3">
        <f t="shared" si="8"/>
        <v>0</v>
      </c>
    </row>
    <row r="8">
      <c r="A8" s="3" t="s">
        <v>17</v>
      </c>
      <c r="B8" s="3">
        <v>5.0</v>
      </c>
      <c r="C8" s="3">
        <v>170.0</v>
      </c>
      <c r="D8" s="3">
        <v>78.0</v>
      </c>
      <c r="E8" s="3">
        <v>37.0</v>
      </c>
      <c r="M8" s="3">
        <f t="shared" ref="M8:P8" si="14">SQRT(($B8-H$3)^2+($C8-H$4)^2+($D8-H$5)^2+($E8-H$6)^2)</f>
        <v>167.6357151</v>
      </c>
      <c r="N8" s="3">
        <f t="shared" si="14"/>
        <v>119.071699</v>
      </c>
      <c r="O8" s="3">
        <f t="shared" si="14"/>
        <v>43.69589949</v>
      </c>
      <c r="P8" s="3">
        <f t="shared" si="14"/>
        <v>63.04883469</v>
      </c>
      <c r="Q8" s="3" t="str">
        <f t="shared" si="6"/>
        <v>S3</v>
      </c>
      <c r="R8" s="4">
        <v>8.0</v>
      </c>
      <c r="S8" s="3" t="str">
        <f t="shared" si="7"/>
        <v>S3</v>
      </c>
      <c r="T8" s="3">
        <f t="shared" si="8"/>
        <v>0</v>
      </c>
    </row>
    <row r="9">
      <c r="A9" s="3" t="s">
        <v>18</v>
      </c>
      <c r="B9" s="3">
        <v>0.0</v>
      </c>
      <c r="C9" s="3">
        <v>35.0</v>
      </c>
      <c r="D9" s="3">
        <v>75.0</v>
      </c>
      <c r="E9" s="3">
        <v>7.0</v>
      </c>
      <c r="M9" s="3">
        <f t="shared" ref="M9:P9" si="15">SQRT(($B9-H$3)^2+($C9-H$4)^2+($D9-H$5)^2+($E9-H$6)^2)</f>
        <v>37.14774805</v>
      </c>
      <c r="N9" s="3">
        <f t="shared" si="15"/>
        <v>27.25777285</v>
      </c>
      <c r="O9" s="3">
        <f t="shared" si="15"/>
        <v>97.15916355</v>
      </c>
      <c r="P9" s="3">
        <f t="shared" si="15"/>
        <v>196.493992</v>
      </c>
      <c r="Q9" s="3" t="str">
        <f t="shared" si="6"/>
        <v>S2</v>
      </c>
      <c r="R9" s="4">
        <v>9.0</v>
      </c>
      <c r="S9" s="3" t="str">
        <f t="shared" si="7"/>
        <v>S2</v>
      </c>
      <c r="T9" s="3">
        <f t="shared" si="8"/>
        <v>0</v>
      </c>
    </row>
    <row r="10">
      <c r="A10" s="3" t="s">
        <v>19</v>
      </c>
      <c r="B10" s="3">
        <v>4.0</v>
      </c>
      <c r="C10" s="3">
        <v>198.0</v>
      </c>
      <c r="D10" s="3">
        <v>70.0</v>
      </c>
      <c r="E10" s="3">
        <v>15.0</v>
      </c>
      <c r="G10" s="4" t="s">
        <v>65</v>
      </c>
      <c r="I10" s="3">
        <f>SUM(T3:T52)</f>
        <v>2</v>
      </c>
      <c r="M10" s="3">
        <f t="shared" ref="M10:P10" si="16">SQRT(($B10-H$3)^2+($C10-H$4)^2+($D10-H$5)^2+($E10-H$6)^2)</f>
        <v>192.2776917</v>
      </c>
      <c r="N10" s="3">
        <f t="shared" si="16"/>
        <v>143.9702036</v>
      </c>
      <c r="O10" s="3">
        <f t="shared" si="16"/>
        <v>67.62007461</v>
      </c>
      <c r="P10" s="3">
        <f t="shared" si="16"/>
        <v>35.38015765</v>
      </c>
      <c r="Q10" s="3" t="str">
        <f t="shared" si="6"/>
        <v>S4</v>
      </c>
      <c r="R10" s="4">
        <v>10.0</v>
      </c>
      <c r="S10" s="3" t="str">
        <f t="shared" si="7"/>
        <v>S4</v>
      </c>
      <c r="T10" s="3">
        <f t="shared" si="8"/>
        <v>0</v>
      </c>
    </row>
    <row r="11">
      <c r="A11" s="3" t="s">
        <v>20</v>
      </c>
      <c r="B11" s="3">
        <v>13.0</v>
      </c>
      <c r="C11" s="3">
        <v>259.0</v>
      </c>
      <c r="D11" s="3">
        <v>74.0</v>
      </c>
      <c r="E11" s="3">
        <v>30.0</v>
      </c>
      <c r="M11" s="3">
        <f t="shared" ref="M11:P11" si="17">SQRT(($B11-H$3)^2+($C11-H$4)^2+($D11-H$5)^2+($E11-H$6)^2)</f>
        <v>254.3245513</v>
      </c>
      <c r="N11" s="3">
        <f t="shared" si="17"/>
        <v>205.8140816</v>
      </c>
      <c r="O11" s="3">
        <f t="shared" si="17"/>
        <v>128.8505898</v>
      </c>
      <c r="P11" s="3">
        <f t="shared" si="17"/>
        <v>31.98263418</v>
      </c>
      <c r="Q11" s="3" t="str">
        <f t="shared" si="6"/>
        <v>S4</v>
      </c>
      <c r="R11" s="4">
        <v>11.0</v>
      </c>
      <c r="S11" s="3" t="str">
        <f t="shared" si="7"/>
        <v>S4</v>
      </c>
      <c r="T11" s="3">
        <f t="shared" si="8"/>
        <v>0</v>
      </c>
    </row>
    <row r="12">
      <c r="A12" s="3" t="s">
        <v>21</v>
      </c>
      <c r="B12" s="3">
        <v>15.0</v>
      </c>
      <c r="C12" s="3">
        <v>136.0</v>
      </c>
      <c r="D12" s="3">
        <v>52.0</v>
      </c>
      <c r="E12" s="3">
        <v>24.0</v>
      </c>
      <c r="M12" s="3">
        <f t="shared" ref="M12:P12" si="18">SQRT(($B12-H$3)^2+($C12-H$4)^2+($D12-H$5)^2+($E12-H$6)^2)</f>
        <v>130.6810352</v>
      </c>
      <c r="N12" s="3">
        <f t="shared" si="18"/>
        <v>82.99037804</v>
      </c>
      <c r="O12" s="3">
        <f t="shared" si="18"/>
        <v>19.41399138</v>
      </c>
      <c r="P12" s="3">
        <f t="shared" si="18"/>
        <v>94.46492588</v>
      </c>
      <c r="Q12" s="3" t="str">
        <f t="shared" si="6"/>
        <v>S3</v>
      </c>
      <c r="R12" s="4">
        <v>12.0</v>
      </c>
      <c r="S12" s="3" t="str">
        <f t="shared" si="7"/>
        <v>S3</v>
      </c>
      <c r="T12" s="3">
        <f t="shared" si="8"/>
        <v>0</v>
      </c>
    </row>
    <row r="13">
      <c r="A13" s="3" t="s">
        <v>22</v>
      </c>
      <c r="B13" s="3">
        <v>5.0</v>
      </c>
      <c r="C13" s="3">
        <v>32.0</v>
      </c>
      <c r="D13" s="3">
        <v>82.0</v>
      </c>
      <c r="E13" s="3">
        <v>17.0</v>
      </c>
      <c r="M13" s="3">
        <f t="shared" ref="M13:P13" si="19">SQRT(($B13-H$3)^2+($C13-H$4)^2+($D13-H$5)^2+($E13-H$6)^2)</f>
        <v>40.51611019</v>
      </c>
      <c r="N13" s="3">
        <f t="shared" si="19"/>
        <v>32.66092743</v>
      </c>
      <c r="O13" s="3">
        <f t="shared" si="19"/>
        <v>99.68329952</v>
      </c>
      <c r="P13" s="3">
        <f t="shared" si="19"/>
        <v>199.1333445</v>
      </c>
      <c r="Q13" s="3" t="str">
        <f t="shared" si="6"/>
        <v>S2</v>
      </c>
      <c r="R13" s="4">
        <v>13.0</v>
      </c>
      <c r="S13" s="3" t="str">
        <f t="shared" si="7"/>
        <v>S2</v>
      </c>
      <c r="T13" s="3">
        <f t="shared" si="8"/>
        <v>0</v>
      </c>
    </row>
    <row r="14">
      <c r="A14" s="3" t="s">
        <v>23</v>
      </c>
      <c r="B14" s="3">
        <v>0.0</v>
      </c>
      <c r="C14" s="3">
        <v>54.0</v>
      </c>
      <c r="D14" s="3">
        <v>47.0</v>
      </c>
      <c r="E14" s="3">
        <v>12.0</v>
      </c>
      <c r="M14" s="3">
        <f t="shared" ref="M14:P14" si="20">SQRT(($B14-H$3)^2+($C14-H$4)^2+($D14-H$5)^2+($E14-H$6)^2)</f>
        <v>47.53992085</v>
      </c>
      <c r="N14" s="3">
        <f t="shared" si="20"/>
        <v>12.48276868</v>
      </c>
      <c r="O14" s="3">
        <f t="shared" si="20"/>
        <v>80.58830244</v>
      </c>
      <c r="P14" s="3">
        <f t="shared" si="20"/>
        <v>177.3092089</v>
      </c>
      <c r="Q14" s="3" t="str">
        <f t="shared" si="6"/>
        <v>S2</v>
      </c>
      <c r="R14" s="4">
        <v>14.0</v>
      </c>
      <c r="S14" s="3" t="str">
        <f t="shared" si="7"/>
        <v>S2</v>
      </c>
      <c r="T14" s="3">
        <f t="shared" si="8"/>
        <v>0</v>
      </c>
    </row>
    <row r="15">
      <c r="A15" s="3" t="s">
        <v>24</v>
      </c>
      <c r="B15" s="3">
        <v>10.0</v>
      </c>
      <c r="C15" s="3">
        <v>218.0</v>
      </c>
      <c r="D15" s="3">
        <v>79.0</v>
      </c>
      <c r="E15" s="3">
        <v>20.0</v>
      </c>
      <c r="M15" s="3">
        <f t="shared" ref="M15:P15" si="21">SQRT(($B15-H$3)^2+($C15-H$4)^2+($D15-H$5)^2+($E15-H$6)^2)</f>
        <v>213.4841125</v>
      </c>
      <c r="N15" s="3">
        <f t="shared" si="21"/>
        <v>164.9797549</v>
      </c>
      <c r="O15" s="3">
        <f t="shared" si="21"/>
        <v>87.90199204</v>
      </c>
      <c r="P15" s="3">
        <f t="shared" si="21"/>
        <v>21.93069893</v>
      </c>
      <c r="Q15" s="3" t="str">
        <f t="shared" si="6"/>
        <v>S4</v>
      </c>
      <c r="R15" s="4">
        <v>15.0</v>
      </c>
      <c r="S15" s="3" t="str">
        <f t="shared" si="7"/>
        <v>S4</v>
      </c>
      <c r="T15" s="3">
        <f t="shared" si="8"/>
        <v>0</v>
      </c>
    </row>
    <row r="16">
      <c r="A16" s="3" t="s">
        <v>25</v>
      </c>
      <c r="B16" s="3">
        <v>7.0</v>
      </c>
      <c r="C16" s="3">
        <v>26.0</v>
      </c>
      <c r="D16" s="3">
        <v>65.0</v>
      </c>
      <c r="E16" s="3">
        <v>19.0</v>
      </c>
      <c r="M16" s="3">
        <f t="shared" ref="M16:P16" si="22">SQRT(($B16-H$3)^2+($C16-H$4)^2+($D16-H$5)^2+($E16-H$6)^2)</f>
        <v>25.77120845</v>
      </c>
      <c r="N16" s="3">
        <f t="shared" si="22"/>
        <v>29.65697524</v>
      </c>
      <c r="O16" s="3">
        <f t="shared" si="22"/>
        <v>104.7979835</v>
      </c>
      <c r="P16" s="3">
        <f t="shared" si="22"/>
        <v>203.9918844</v>
      </c>
      <c r="Q16" s="3" t="str">
        <f t="shared" si="6"/>
        <v>S1</v>
      </c>
      <c r="R16" s="4">
        <v>16.0</v>
      </c>
      <c r="S16" s="3" t="str">
        <f t="shared" si="7"/>
        <v>S2</v>
      </c>
      <c r="T16" s="3">
        <f t="shared" si="8"/>
        <v>1</v>
      </c>
    </row>
    <row r="17">
      <c r="A17" s="3" t="s">
        <v>26</v>
      </c>
      <c r="B17" s="3">
        <v>2.0</v>
      </c>
      <c r="C17" s="3">
        <v>0.1</v>
      </c>
      <c r="D17" s="3">
        <v>53.0</v>
      </c>
      <c r="E17" s="3">
        <v>9.0</v>
      </c>
      <c r="M17" s="3">
        <f t="shared" ref="M17:P17" si="23">SQRT(($B17-H$3)^2+($C17-H$4)^2+($D17-H$5)^2+($E17-H$6)^2)</f>
        <v>6.977795471</v>
      </c>
      <c r="N17" s="3">
        <f t="shared" si="23"/>
        <v>55.10047956</v>
      </c>
      <c r="O17" s="3">
        <f t="shared" si="23"/>
        <v>132.1954135</v>
      </c>
      <c r="P17" s="3">
        <f t="shared" si="23"/>
        <v>230.6821888</v>
      </c>
      <c r="Q17" s="3" t="str">
        <f t="shared" si="6"/>
        <v>S1</v>
      </c>
      <c r="R17" s="4">
        <v>17.0</v>
      </c>
      <c r="S17" s="3" t="str">
        <f t="shared" si="7"/>
        <v>S1</v>
      </c>
      <c r="T17" s="3">
        <f t="shared" si="8"/>
        <v>0</v>
      </c>
    </row>
    <row r="18">
      <c r="A18" s="3" t="s">
        <v>27</v>
      </c>
      <c r="B18" s="3">
        <v>3.0</v>
      </c>
      <c r="C18" s="3">
        <v>80.0</v>
      </c>
      <c r="D18" s="3">
        <v>56.0</v>
      </c>
      <c r="E18" s="3">
        <v>16.0</v>
      </c>
      <c r="M18" s="3">
        <f t="shared" ref="M18:P18" si="24">SQRT(($B18-H$3)^2+($C18-H$4)^2+($D18-H$5)^2+($E18-H$6)^2)</f>
        <v>73.67269709</v>
      </c>
      <c r="N18" s="3">
        <f t="shared" si="24"/>
        <v>25.61775778</v>
      </c>
      <c r="O18" s="3">
        <f t="shared" si="24"/>
        <v>52.72343126</v>
      </c>
      <c r="P18" s="3">
        <f t="shared" si="24"/>
        <v>150.4531673</v>
      </c>
      <c r="Q18" s="3" t="str">
        <f t="shared" si="6"/>
        <v>S2</v>
      </c>
      <c r="R18" s="4">
        <v>18.0</v>
      </c>
      <c r="S18" s="3" t="str">
        <f t="shared" si="7"/>
        <v>S2</v>
      </c>
      <c r="T18" s="3">
        <f t="shared" si="8"/>
        <v>0</v>
      </c>
    </row>
    <row r="19">
      <c r="A19" s="3" t="s">
        <v>28</v>
      </c>
      <c r="B19" s="3">
        <v>7.0</v>
      </c>
      <c r="C19" s="3">
        <v>70.0</v>
      </c>
      <c r="D19" s="3">
        <v>43.0</v>
      </c>
      <c r="E19" s="3">
        <v>15.0</v>
      </c>
      <c r="M19" s="3">
        <f t="shared" ref="M19:P19" si="25">SQRT(($B19-H$3)^2+($C19-H$4)^2+($D19-H$5)^2+($E19-H$6)^2)</f>
        <v>64.20297386</v>
      </c>
      <c r="N19" s="3">
        <f t="shared" si="25"/>
        <v>22.17813143</v>
      </c>
      <c r="O19" s="3">
        <f t="shared" si="25"/>
        <v>66.21860057</v>
      </c>
      <c r="P19" s="3">
        <f t="shared" si="25"/>
        <v>161.3423551</v>
      </c>
      <c r="Q19" s="3" t="str">
        <f t="shared" si="6"/>
        <v>S2</v>
      </c>
      <c r="R19" s="4">
        <v>19.0</v>
      </c>
      <c r="S19" s="3" t="str">
        <f t="shared" si="7"/>
        <v>S2</v>
      </c>
      <c r="T19" s="3">
        <f t="shared" si="8"/>
        <v>0</v>
      </c>
    </row>
    <row r="20">
      <c r="A20" s="3" t="s">
        <v>29</v>
      </c>
      <c r="B20" s="3">
        <v>15.0</v>
      </c>
      <c r="C20" s="3">
        <v>159.0</v>
      </c>
      <c r="D20" s="3">
        <v>61.0</v>
      </c>
      <c r="E20" s="3">
        <v>19.0</v>
      </c>
      <c r="M20" s="3">
        <f t="shared" ref="M20:P20" si="26">SQRT(($B20-H$3)^2+($C20-H$4)^2+($D20-H$5)^2+($E20-H$6)^2)</f>
        <v>153.4182362</v>
      </c>
      <c r="N20" s="3">
        <f t="shared" si="26"/>
        <v>105.2302373</v>
      </c>
      <c r="O20" s="3">
        <f t="shared" si="26"/>
        <v>30.26389038</v>
      </c>
      <c r="P20" s="3">
        <f t="shared" si="26"/>
        <v>71.37662238</v>
      </c>
      <c r="Q20" s="3" t="str">
        <f t="shared" si="6"/>
        <v>S3</v>
      </c>
      <c r="R20" s="4">
        <v>20.0</v>
      </c>
      <c r="S20" s="3" t="str">
        <f t="shared" si="7"/>
        <v>S3</v>
      </c>
      <c r="T20" s="3">
        <f t="shared" si="8"/>
        <v>0</v>
      </c>
    </row>
    <row r="21" ht="15.75" customHeight="1">
      <c r="A21" s="3" t="s">
        <v>30</v>
      </c>
      <c r="B21" s="3">
        <v>1.0</v>
      </c>
      <c r="C21" s="3">
        <v>0.1</v>
      </c>
      <c r="D21" s="3">
        <v>45.0</v>
      </c>
      <c r="E21" s="3">
        <v>7.0</v>
      </c>
      <c r="M21" s="3">
        <f t="shared" ref="M21:P21" si="27">SQRT(($B21-H$3)^2+($C21-H$4)^2+($D21-H$5)^2+($E21-H$6)^2)</f>
        <v>9.703416733</v>
      </c>
      <c r="N21" s="3">
        <f t="shared" si="27"/>
        <v>56.75749155</v>
      </c>
      <c r="O21" s="3">
        <f t="shared" si="27"/>
        <v>133.6249503</v>
      </c>
      <c r="P21" s="3">
        <f t="shared" si="27"/>
        <v>231.3215775</v>
      </c>
      <c r="Q21" s="3" t="str">
        <f t="shared" si="6"/>
        <v>S1</v>
      </c>
      <c r="R21" s="4">
        <v>21.0</v>
      </c>
      <c r="S21" s="3" t="str">
        <f t="shared" si="7"/>
        <v>S1</v>
      </c>
      <c r="T21" s="3">
        <f t="shared" si="8"/>
        <v>0</v>
      </c>
    </row>
    <row r="22" ht="15.75" customHeight="1">
      <c r="A22" s="3" t="s">
        <v>31</v>
      </c>
      <c r="B22" s="3">
        <v>10.0</v>
      </c>
      <c r="C22" s="3">
        <v>260.0</v>
      </c>
      <c r="D22" s="3">
        <v>63.0</v>
      </c>
      <c r="E22" s="3">
        <v>28.0</v>
      </c>
      <c r="M22" s="3">
        <f t="shared" ref="M22:P22" si="28">SQRT(($B22-H$3)^2+($C22-H$4)^2+($D22-H$5)^2+($E22-H$6)^2)</f>
        <v>254.3098715</v>
      </c>
      <c r="N22" s="3">
        <f t="shared" si="28"/>
        <v>206.0234279</v>
      </c>
      <c r="O22" s="3">
        <f t="shared" si="28"/>
        <v>129.6585193</v>
      </c>
      <c r="P22" s="3">
        <f t="shared" si="28"/>
        <v>30.25925019</v>
      </c>
      <c r="Q22" s="3" t="str">
        <f t="shared" si="6"/>
        <v>S4</v>
      </c>
      <c r="R22" s="4">
        <v>22.0</v>
      </c>
      <c r="S22" s="3" t="str">
        <f t="shared" si="7"/>
        <v>S4</v>
      </c>
      <c r="T22" s="3">
        <f t="shared" si="8"/>
        <v>0</v>
      </c>
    </row>
    <row r="23" ht="15.75" customHeight="1">
      <c r="A23" s="3" t="s">
        <v>32</v>
      </c>
      <c r="B23" s="3">
        <v>2.0</v>
      </c>
      <c r="C23" s="3">
        <v>138.0</v>
      </c>
      <c r="D23" s="3">
        <v>82.0</v>
      </c>
      <c r="E23" s="3">
        <v>13.0</v>
      </c>
      <c r="M23" s="3">
        <f t="shared" ref="M23:P23" si="29">SQRT(($B23-H$3)^2+($C23-H$4)^2+($D23-H$5)^2+($E23-H$6)^2)</f>
        <v>134.8747553</v>
      </c>
      <c r="N23" s="3">
        <f t="shared" si="29"/>
        <v>86.8204249</v>
      </c>
      <c r="O23" s="3">
        <f t="shared" si="29"/>
        <v>17.7334286</v>
      </c>
      <c r="P23" s="3">
        <f t="shared" si="29"/>
        <v>95.33671323</v>
      </c>
      <c r="Q23" s="3" t="str">
        <f t="shared" si="6"/>
        <v>S3</v>
      </c>
      <c r="R23" s="4">
        <v>23.0</v>
      </c>
      <c r="S23" s="3" t="str">
        <f t="shared" si="7"/>
        <v>S3</v>
      </c>
      <c r="T23" s="3">
        <f t="shared" si="8"/>
        <v>0</v>
      </c>
    </row>
    <row r="24" ht="15.75" customHeight="1">
      <c r="A24" s="3" t="s">
        <v>33</v>
      </c>
      <c r="B24" s="3">
        <v>11.0</v>
      </c>
      <c r="C24" s="3">
        <v>251.0</v>
      </c>
      <c r="D24" s="3">
        <v>68.0</v>
      </c>
      <c r="E24" s="3">
        <v>35.0</v>
      </c>
      <c r="M24" s="3">
        <f t="shared" ref="M24:P24" si="30">SQRT(($B24-H$3)^2+($C24-H$4)^2+($D24-H$5)^2+($E24-H$6)^2)</f>
        <v>246.2759511</v>
      </c>
      <c r="N24" s="3">
        <f t="shared" si="30"/>
        <v>197.8213913</v>
      </c>
      <c r="O24" s="3">
        <f t="shared" si="30"/>
        <v>121.21075</v>
      </c>
      <c r="P24" s="3">
        <f t="shared" si="30"/>
        <v>23.66478866</v>
      </c>
      <c r="Q24" s="3" t="str">
        <f t="shared" si="6"/>
        <v>S4</v>
      </c>
      <c r="R24" s="4">
        <v>24.0</v>
      </c>
      <c r="S24" s="3" t="str">
        <f t="shared" si="7"/>
        <v>S4</v>
      </c>
      <c r="T24" s="3">
        <f t="shared" si="8"/>
        <v>0</v>
      </c>
    </row>
    <row r="25" ht="15.75" customHeight="1">
      <c r="A25" s="3" t="s">
        <v>34</v>
      </c>
      <c r="B25" s="3">
        <v>1.0</v>
      </c>
      <c r="C25" s="3">
        <v>3.0</v>
      </c>
      <c r="D25" s="3">
        <v>62.0</v>
      </c>
      <c r="E25" s="3">
        <v>14.0</v>
      </c>
      <c r="M25" s="3">
        <f t="shared" ref="M25:P25" si="31">SQRT(($B25-H$3)^2+($C25-H$4)^2+($D25-H$5)^2+($E25-H$6)^2)</f>
        <v>11.99998457</v>
      </c>
      <c r="N25" s="3">
        <f t="shared" si="31"/>
        <v>51.70721594</v>
      </c>
      <c r="O25" s="3">
        <f t="shared" si="31"/>
        <v>128.2393529</v>
      </c>
      <c r="P25" s="3">
        <f t="shared" si="31"/>
        <v>227.3334311</v>
      </c>
      <c r="Q25" s="3" t="str">
        <f t="shared" si="6"/>
        <v>S1</v>
      </c>
      <c r="R25" s="4">
        <v>25.0</v>
      </c>
      <c r="S25" s="3" t="str">
        <f t="shared" si="7"/>
        <v>S1</v>
      </c>
      <c r="T25" s="3">
        <f t="shared" si="8"/>
        <v>0</v>
      </c>
    </row>
    <row r="26" ht="15.75" customHeight="1">
      <c r="A26" s="3" t="s">
        <v>35</v>
      </c>
      <c r="B26" s="3">
        <v>13.0</v>
      </c>
      <c r="C26" s="3">
        <v>209.0</v>
      </c>
      <c r="D26" s="3">
        <v>44.0</v>
      </c>
      <c r="E26" s="3">
        <v>13.0</v>
      </c>
      <c r="M26" s="3">
        <f t="shared" ref="M26:P26" si="32">SQRT(($B26-H$3)^2+($C26-H$4)^2+($D26-H$5)^2+($E26-H$6)^2)</f>
        <v>202.7455429</v>
      </c>
      <c r="N26" s="3">
        <f t="shared" si="32"/>
        <v>155.4957754</v>
      </c>
      <c r="O26" s="3">
        <f t="shared" si="32"/>
        <v>82.63717723</v>
      </c>
      <c r="P26" s="3">
        <f t="shared" si="32"/>
        <v>30.66413033</v>
      </c>
      <c r="Q26" s="3" t="str">
        <f t="shared" si="6"/>
        <v>S4</v>
      </c>
      <c r="R26" s="4">
        <v>26.0</v>
      </c>
      <c r="S26" s="3" t="str">
        <f t="shared" si="7"/>
        <v>S4</v>
      </c>
      <c r="T26" s="3">
        <f t="shared" si="8"/>
        <v>0</v>
      </c>
    </row>
    <row r="27" ht="15.75" customHeight="1">
      <c r="A27" s="3" t="s">
        <v>36</v>
      </c>
      <c r="B27" s="3">
        <v>8.0</v>
      </c>
      <c r="C27" s="3">
        <v>80.0</v>
      </c>
      <c r="D27" s="3">
        <v>61.0</v>
      </c>
      <c r="E27" s="3">
        <v>28.0</v>
      </c>
      <c r="M27" s="3">
        <f t="shared" ref="M27:P27" si="33">SQRT(($B27-H$3)^2+($C27-H$4)^2+($D27-H$5)^2+($E27-H$6)^2)</f>
        <v>76.27289942</v>
      </c>
      <c r="N27" s="3">
        <f t="shared" si="33"/>
        <v>28.78690988</v>
      </c>
      <c r="O27" s="3">
        <f t="shared" si="33"/>
        <v>51.87529198</v>
      </c>
      <c r="P27" s="3">
        <f t="shared" si="33"/>
        <v>149.8235258</v>
      </c>
      <c r="Q27" s="3" t="str">
        <f t="shared" si="6"/>
        <v>S2</v>
      </c>
      <c r="R27" s="4">
        <v>27.0</v>
      </c>
      <c r="S27" s="3" t="str">
        <f t="shared" si="7"/>
        <v>S2</v>
      </c>
      <c r="T27" s="3">
        <f t="shared" si="8"/>
        <v>0</v>
      </c>
    </row>
    <row r="28" ht="15.75" customHeight="1">
      <c r="A28" s="3" t="s">
        <v>37</v>
      </c>
      <c r="B28" s="3">
        <v>5.0</v>
      </c>
      <c r="C28" s="3">
        <v>19.0</v>
      </c>
      <c r="D28" s="3">
        <v>45.0</v>
      </c>
      <c r="E28" s="3">
        <v>15.0</v>
      </c>
      <c r="M28" s="3">
        <f t="shared" ref="M28:P28" si="34">SQRT(($B28-H$3)^2+($C28-H$4)^2+($D28-H$5)^2+($E28-H$6)^2)</f>
        <v>14.89368497</v>
      </c>
      <c r="N28" s="3">
        <f t="shared" si="34"/>
        <v>37.99433529</v>
      </c>
      <c r="O28" s="3">
        <f t="shared" si="34"/>
        <v>114.3961297</v>
      </c>
      <c r="P28" s="3">
        <f t="shared" si="34"/>
        <v>211.8432334</v>
      </c>
      <c r="Q28" s="3" t="str">
        <f t="shared" si="6"/>
        <v>S1</v>
      </c>
      <c r="R28" s="4">
        <v>28.0</v>
      </c>
      <c r="S28" s="3" t="str">
        <f t="shared" si="7"/>
        <v>S1</v>
      </c>
      <c r="T28" s="3">
        <f t="shared" si="8"/>
        <v>0</v>
      </c>
    </row>
    <row r="29" ht="15.75" customHeight="1">
      <c r="A29" s="3" t="s">
        <v>38</v>
      </c>
      <c r="B29" s="3">
        <v>4.0</v>
      </c>
      <c r="C29" s="3">
        <v>10.0</v>
      </c>
      <c r="D29" s="3">
        <v>56.0</v>
      </c>
      <c r="E29" s="3">
        <v>13.0</v>
      </c>
      <c r="M29" s="3">
        <f t="shared" ref="M29:P29" si="35">SQRT(($B29-H$3)^2+($C29-H$4)^2+($D29-H$5)^2+($E29-H$6)^2)</f>
        <v>6.756039822</v>
      </c>
      <c r="N29" s="3">
        <f t="shared" si="35"/>
        <v>44.65519209</v>
      </c>
      <c r="O29" s="3">
        <f t="shared" si="35"/>
        <v>121.6830317</v>
      </c>
      <c r="P29" s="3">
        <f t="shared" si="35"/>
        <v>220.3803278</v>
      </c>
      <c r="Q29" s="3" t="str">
        <f t="shared" si="6"/>
        <v>S1</v>
      </c>
      <c r="R29" s="4">
        <v>29.0</v>
      </c>
      <c r="S29" s="3" t="str">
        <f t="shared" si="7"/>
        <v>S1</v>
      </c>
      <c r="T29" s="3">
        <f t="shared" si="8"/>
        <v>0</v>
      </c>
    </row>
    <row r="30" ht="15.75" customHeight="1">
      <c r="A30" s="3" t="s">
        <v>39</v>
      </c>
      <c r="B30" s="3">
        <v>11.0</v>
      </c>
      <c r="C30" s="3">
        <v>239.0</v>
      </c>
      <c r="D30" s="3">
        <v>75.0</v>
      </c>
      <c r="E30" s="3">
        <v>43.0</v>
      </c>
      <c r="M30" s="3">
        <f t="shared" ref="M30:P30" si="36">SQRT(($B30-H$3)^2+($C30-H$4)^2+($D30-H$5)^2+($E30-H$6)^2)</f>
        <v>235.9564924</v>
      </c>
      <c r="N30" s="3">
        <f t="shared" si="36"/>
        <v>187.3938887</v>
      </c>
      <c r="O30" s="3">
        <f t="shared" si="36"/>
        <v>110.8301928</v>
      </c>
      <c r="P30" s="3">
        <f t="shared" si="36"/>
        <v>23.02944974</v>
      </c>
      <c r="Q30" s="3" t="str">
        <f t="shared" si="6"/>
        <v>S4</v>
      </c>
      <c r="R30" s="4">
        <v>30.0</v>
      </c>
      <c r="S30" s="3" t="str">
        <f t="shared" si="7"/>
        <v>S4</v>
      </c>
      <c r="T30" s="3">
        <f t="shared" si="8"/>
        <v>0</v>
      </c>
    </row>
    <row r="31" ht="15.75" customHeight="1">
      <c r="A31" s="3" t="s">
        <v>40</v>
      </c>
      <c r="B31" s="3">
        <v>0.0</v>
      </c>
      <c r="C31" s="3">
        <v>0.1</v>
      </c>
      <c r="D31" s="3">
        <v>53.0</v>
      </c>
      <c r="E31" s="3">
        <v>6.0</v>
      </c>
      <c r="M31" s="3">
        <f t="shared" ref="M31:P31" si="37">SQRT(($B31-H$3)^2+($C31-H$4)^2+($D31-H$5)^2+($E31-H$6)^2)</f>
        <v>8.297299873</v>
      </c>
      <c r="N31" s="3">
        <f t="shared" si="37"/>
        <v>55.63209068</v>
      </c>
      <c r="O31" s="3">
        <f t="shared" si="37"/>
        <v>132.5908807</v>
      </c>
      <c r="P31" s="3">
        <f t="shared" si="37"/>
        <v>231.0095356</v>
      </c>
      <c r="Q31" s="3" t="str">
        <f t="shared" si="6"/>
        <v>S1</v>
      </c>
      <c r="R31" s="4">
        <v>31.0</v>
      </c>
      <c r="S31" s="3" t="str">
        <f t="shared" si="7"/>
        <v>S1</v>
      </c>
      <c r="T31" s="3">
        <f t="shared" si="8"/>
        <v>0</v>
      </c>
    </row>
    <row r="32" ht="15.75" customHeight="1">
      <c r="A32" s="3" t="s">
        <v>41</v>
      </c>
      <c r="B32" s="3">
        <v>5.0</v>
      </c>
      <c r="C32" s="3">
        <v>155.0</v>
      </c>
      <c r="D32" s="3">
        <v>87.0</v>
      </c>
      <c r="E32" s="3">
        <v>19.0</v>
      </c>
      <c r="M32" s="3">
        <f t="shared" ref="M32:P32" si="38">SQRT(($B32-H$3)^2+($C32-H$4)^2+($D32-H$5)^2+($E32-H$6)^2)</f>
        <v>152.8236444</v>
      </c>
      <c r="N32" s="3">
        <f t="shared" si="38"/>
        <v>104.549364</v>
      </c>
      <c r="O32" s="3">
        <f t="shared" si="38"/>
        <v>30.47556733</v>
      </c>
      <c r="P32" s="3">
        <f t="shared" si="38"/>
        <v>79.483052</v>
      </c>
      <c r="Q32" s="3" t="str">
        <f t="shared" si="6"/>
        <v>S3</v>
      </c>
      <c r="R32" s="4">
        <v>32.0</v>
      </c>
      <c r="S32" s="3" t="str">
        <f t="shared" si="7"/>
        <v>S3</v>
      </c>
      <c r="T32" s="3">
        <f t="shared" si="8"/>
        <v>0</v>
      </c>
    </row>
    <row r="33" ht="15.75" customHeight="1">
      <c r="A33" s="3" t="s">
        <v>42</v>
      </c>
      <c r="B33" s="3">
        <v>12.0</v>
      </c>
      <c r="C33" s="3">
        <v>229.0</v>
      </c>
      <c r="D33" s="3">
        <v>64.0</v>
      </c>
      <c r="E33" s="3">
        <v>32.0</v>
      </c>
      <c r="M33" s="3">
        <f t="shared" ref="M33:P33" si="39">SQRT(($B33-H$3)^2+($C33-H$4)^2+($D33-H$5)^2+($E33-H$6)^2)</f>
        <v>223.9404675</v>
      </c>
      <c r="N33" s="3">
        <f t="shared" si="39"/>
        <v>175.5575485</v>
      </c>
      <c r="O33" s="3">
        <f t="shared" si="39"/>
        <v>99.17324051</v>
      </c>
      <c r="P33" s="3">
        <f t="shared" si="39"/>
        <v>6.198566142</v>
      </c>
      <c r="Q33" s="3" t="str">
        <f t="shared" si="6"/>
        <v>S4</v>
      </c>
      <c r="R33" s="4">
        <v>33.0</v>
      </c>
      <c r="S33" s="3" t="str">
        <f t="shared" si="7"/>
        <v>S4</v>
      </c>
      <c r="T33" s="3">
        <f t="shared" si="8"/>
        <v>0</v>
      </c>
    </row>
    <row r="34" ht="15.75" customHeight="1">
      <c r="A34" s="3" t="s">
        <v>43</v>
      </c>
      <c r="B34" s="3">
        <v>9.0</v>
      </c>
      <c r="C34" s="3">
        <v>161.0</v>
      </c>
      <c r="D34" s="3">
        <v>85.0</v>
      </c>
      <c r="E34" s="3">
        <v>23.0</v>
      </c>
      <c r="M34" s="3">
        <f t="shared" ref="M34:P34" si="40">SQRT(($B34-H$3)^2+($C34-H$4)^2+($D34-H$5)^2+($E34-H$6)^2)</f>
        <v>158.6141358</v>
      </c>
      <c r="N34" s="3">
        <f t="shared" si="40"/>
        <v>110.1521804</v>
      </c>
      <c r="O34" s="3">
        <f t="shared" si="40"/>
        <v>34.43694326</v>
      </c>
      <c r="P34" s="3">
        <f t="shared" si="40"/>
        <v>72.72566412</v>
      </c>
      <c r="Q34" s="3" t="str">
        <f t="shared" si="6"/>
        <v>S3</v>
      </c>
      <c r="R34" s="4">
        <v>34.0</v>
      </c>
      <c r="S34" s="3" t="str">
        <f t="shared" si="7"/>
        <v>S3</v>
      </c>
      <c r="T34" s="3">
        <f t="shared" si="8"/>
        <v>0</v>
      </c>
    </row>
    <row r="35" ht="15.75" customHeight="1">
      <c r="A35" s="3" t="s">
        <v>44</v>
      </c>
      <c r="B35" s="3">
        <v>13.0</v>
      </c>
      <c r="C35" s="3">
        <v>321.0</v>
      </c>
      <c r="D35" s="3">
        <v>45.0</v>
      </c>
      <c r="E35" s="3">
        <v>13.0</v>
      </c>
      <c r="M35" s="3">
        <f t="shared" ref="M35:P35" si="41">SQRT(($B35-H$3)^2+($C35-H$4)^2+($D35-H$5)^2+($E35-H$6)^2)</f>
        <v>314.5616344</v>
      </c>
      <c r="N35" s="3">
        <f t="shared" si="41"/>
        <v>267.0264085</v>
      </c>
      <c r="O35" s="3">
        <f t="shared" si="41"/>
        <v>191.9900747</v>
      </c>
      <c r="P35" s="3">
        <f t="shared" si="41"/>
        <v>93.75831815</v>
      </c>
      <c r="Q35" s="3" t="str">
        <f t="shared" si="6"/>
        <v>S4</v>
      </c>
      <c r="R35" s="4">
        <v>35.0</v>
      </c>
      <c r="S35" s="3" t="str">
        <f t="shared" si="7"/>
        <v>S4</v>
      </c>
      <c r="T35" s="3">
        <f t="shared" si="8"/>
        <v>0</v>
      </c>
    </row>
    <row r="36" ht="15.75" customHeight="1">
      <c r="A36" s="3" t="s">
        <v>45</v>
      </c>
      <c r="B36" s="3">
        <v>0.1</v>
      </c>
      <c r="C36" s="3">
        <v>27.0</v>
      </c>
      <c r="D36" s="3">
        <v>44.0</v>
      </c>
      <c r="E36" s="3">
        <v>6.0</v>
      </c>
      <c r="M36" s="3">
        <f t="shared" ref="M36:P36" si="42">SQRT(($B36-H$3)^2+($C36-H$4)^2+($D36-H$5)^2+($E36-H$6)^2)</f>
        <v>22.03246762</v>
      </c>
      <c r="N36" s="3">
        <f t="shared" si="42"/>
        <v>32.70567505</v>
      </c>
      <c r="O36" s="3">
        <f t="shared" si="42"/>
        <v>107.8971014</v>
      </c>
      <c r="P36" s="3">
        <f t="shared" si="42"/>
        <v>204.8593149</v>
      </c>
      <c r="Q36" s="3" t="str">
        <f t="shared" si="6"/>
        <v>S1</v>
      </c>
      <c r="R36" s="4">
        <v>36.0</v>
      </c>
      <c r="S36" s="3" t="str">
        <f t="shared" si="7"/>
        <v>S1</v>
      </c>
      <c r="T36" s="3">
        <f t="shared" si="8"/>
        <v>0</v>
      </c>
    </row>
    <row r="37" ht="15.75" customHeight="1">
      <c r="A37" s="3" t="s">
        <v>46</v>
      </c>
      <c r="B37" s="3">
        <v>8.0</v>
      </c>
      <c r="C37" s="3">
        <v>119.0</v>
      </c>
      <c r="D37" s="3">
        <v>73.0</v>
      </c>
      <c r="E37" s="3">
        <v>18.0</v>
      </c>
      <c r="M37" s="3">
        <f t="shared" ref="M37:P37" si="43">SQRT(($B37-H$3)^2+($C37-H$4)^2+($D37-H$5)^2+($E37-H$6)^2)</f>
        <v>114.8060184</v>
      </c>
      <c r="N37" s="3">
        <f t="shared" si="43"/>
        <v>66.33013026</v>
      </c>
      <c r="O37" s="3">
        <f t="shared" si="43"/>
        <v>12.66221279</v>
      </c>
      <c r="P37" s="3">
        <f t="shared" si="43"/>
        <v>111.7232692</v>
      </c>
      <c r="Q37" s="3" t="str">
        <f t="shared" si="6"/>
        <v>S3</v>
      </c>
      <c r="R37" s="4">
        <v>37.0</v>
      </c>
      <c r="S37" s="3" t="str">
        <f t="shared" si="7"/>
        <v>S3</v>
      </c>
      <c r="T37" s="3">
        <f t="shared" si="8"/>
        <v>0</v>
      </c>
    </row>
    <row r="38" ht="15.75" customHeight="1">
      <c r="A38" s="3" t="s">
        <v>47</v>
      </c>
      <c r="B38" s="3">
        <v>4.0</v>
      </c>
      <c r="C38" s="3">
        <v>116.0</v>
      </c>
      <c r="D38" s="3">
        <v>59.0</v>
      </c>
      <c r="E38" s="3">
        <v>20.0</v>
      </c>
      <c r="M38" s="3">
        <f t="shared" ref="M38:P38" si="44">SQRT(($B38-H$3)^2+($C38-H$4)^2+($D38-H$5)^2+($E38-H$6)^2)</f>
        <v>110.0131288</v>
      </c>
      <c r="N38" s="3">
        <f t="shared" si="44"/>
        <v>61.65294949</v>
      </c>
      <c r="O38" s="3">
        <f t="shared" si="44"/>
        <v>18.11598122</v>
      </c>
      <c r="P38" s="3">
        <f t="shared" si="44"/>
        <v>114.18883</v>
      </c>
      <c r="Q38" s="3" t="str">
        <f t="shared" si="6"/>
        <v>S3</v>
      </c>
      <c r="R38" s="4">
        <v>38.0</v>
      </c>
      <c r="S38" s="3" t="str">
        <f t="shared" si="7"/>
        <v>S3</v>
      </c>
      <c r="T38" s="3">
        <f t="shared" si="8"/>
        <v>0</v>
      </c>
    </row>
    <row r="39" ht="15.75" customHeight="1">
      <c r="A39" s="3" t="s">
        <v>48</v>
      </c>
      <c r="B39" s="3">
        <v>4.0</v>
      </c>
      <c r="C39" s="3">
        <v>103.0</v>
      </c>
      <c r="D39" s="3">
        <v>58.0</v>
      </c>
      <c r="E39" s="3">
        <v>29.0</v>
      </c>
      <c r="M39" s="3">
        <f t="shared" ref="M39:P39" si="45">SQRT(($B39-H$3)^2+($C39-H$4)^2+($D39-H$5)^2+($E39-H$6)^2)</f>
        <v>98.34033685</v>
      </c>
      <c r="N39" s="3">
        <f t="shared" si="45"/>
        <v>50.28339203</v>
      </c>
      <c r="O39" s="3">
        <f t="shared" si="45"/>
        <v>31.20513105</v>
      </c>
      <c r="P39" s="3">
        <f t="shared" si="45"/>
        <v>127.0258067</v>
      </c>
      <c r="Q39" s="3" t="str">
        <f t="shared" si="6"/>
        <v>S3</v>
      </c>
      <c r="R39" s="4">
        <v>39.0</v>
      </c>
      <c r="S39" s="3" t="str">
        <f t="shared" si="7"/>
        <v>S3</v>
      </c>
      <c r="T39" s="3">
        <f t="shared" si="8"/>
        <v>0</v>
      </c>
    </row>
    <row r="40" ht="15.75" customHeight="1">
      <c r="A40" s="3" t="s">
        <v>49</v>
      </c>
      <c r="B40" s="3">
        <v>4.0</v>
      </c>
      <c r="C40" s="3">
        <v>57.0</v>
      </c>
      <c r="D40" s="3">
        <v>67.0</v>
      </c>
      <c r="E40" s="3">
        <v>13.0</v>
      </c>
      <c r="M40" s="3">
        <f t="shared" ref="M40:P40" si="46">SQRT(($B40-H$3)^2+($C40-H$4)^2+($D40-H$5)^2+($E40-H$6)^2)</f>
        <v>52.81960565</v>
      </c>
      <c r="N40" s="3">
        <f t="shared" si="46"/>
        <v>9.376540614</v>
      </c>
      <c r="O40" s="3">
        <f t="shared" si="46"/>
        <v>74.20754816</v>
      </c>
      <c r="P40" s="3">
        <f t="shared" si="46"/>
        <v>173.5227811</v>
      </c>
      <c r="Q40" s="3" t="str">
        <f t="shared" si="6"/>
        <v>S2</v>
      </c>
      <c r="R40" s="4">
        <v>40.0</v>
      </c>
      <c r="S40" s="3" t="str">
        <f t="shared" si="7"/>
        <v>S2</v>
      </c>
      <c r="T40" s="3">
        <f t="shared" si="8"/>
        <v>0</v>
      </c>
    </row>
    <row r="41" ht="15.75" customHeight="1">
      <c r="A41" s="3" t="s">
        <v>50</v>
      </c>
      <c r="B41" s="3">
        <v>2.0</v>
      </c>
      <c r="C41" s="3">
        <v>97.0</v>
      </c>
      <c r="D41" s="3">
        <v>83.0</v>
      </c>
      <c r="E41" s="3">
        <v>5.0</v>
      </c>
      <c r="M41" s="3">
        <f t="shared" ref="M41:P41" si="47">SQRT(($B41-H$3)^2+($C41-H$4)^2+($D41-H$5)^2+($E41-H$6)^2)</f>
        <v>95.86657201</v>
      </c>
      <c r="N41" s="3">
        <f t="shared" si="47"/>
        <v>50.27875145</v>
      </c>
      <c r="O41" s="3">
        <f t="shared" si="47"/>
        <v>40.10222906</v>
      </c>
      <c r="P41" s="3">
        <f t="shared" si="47"/>
        <v>136.4581336</v>
      </c>
      <c r="Q41" s="3" t="str">
        <f t="shared" si="6"/>
        <v>S3</v>
      </c>
      <c r="R41" s="4">
        <v>41.0</v>
      </c>
      <c r="S41" s="3" t="str">
        <f t="shared" si="7"/>
        <v>S3</v>
      </c>
      <c r="T41" s="3">
        <f t="shared" si="8"/>
        <v>0</v>
      </c>
    </row>
    <row r="42" ht="15.75" customHeight="1">
      <c r="A42" s="3" t="s">
        <v>51</v>
      </c>
      <c r="B42" s="3">
        <v>13.0</v>
      </c>
      <c r="C42" s="3">
        <v>210.0</v>
      </c>
      <c r="D42" s="3">
        <v>46.0</v>
      </c>
      <c r="E42" s="3">
        <v>21.0</v>
      </c>
      <c r="M42" s="3">
        <f t="shared" ref="M42:P42" si="48">SQRT(($B42-H$3)^2+($C42-H$4)^2+($D42-H$5)^2+($E42-H$6)^2)</f>
        <v>203.9438912</v>
      </c>
      <c r="N42" s="3">
        <f t="shared" si="48"/>
        <v>156.3818069</v>
      </c>
      <c r="O42" s="3">
        <f t="shared" si="48"/>
        <v>82.68124803</v>
      </c>
      <c r="P42" s="3">
        <f t="shared" si="48"/>
        <v>26.06061311</v>
      </c>
      <c r="Q42" s="3" t="str">
        <f t="shared" si="6"/>
        <v>S4</v>
      </c>
      <c r="R42" s="4">
        <v>42.0</v>
      </c>
      <c r="S42" s="3" t="str">
        <f t="shared" si="7"/>
        <v>S4</v>
      </c>
      <c r="T42" s="3">
        <f t="shared" si="8"/>
        <v>0</v>
      </c>
    </row>
    <row r="43" ht="15.75" customHeight="1">
      <c r="A43" s="3" t="s">
        <v>52</v>
      </c>
      <c r="B43" s="3">
        <v>3.0</v>
      </c>
      <c r="C43" s="3">
        <v>1.0</v>
      </c>
      <c r="D43" s="3">
        <v>43.0</v>
      </c>
      <c r="E43" s="3">
        <v>12.0</v>
      </c>
      <c r="M43" s="3">
        <f t="shared" ref="M43:P43" si="49">SQRT(($B43-H$3)^2+($C43-H$4)^2+($D43-H$5)^2+($E43-H$6)^2)</f>
        <v>10.22087552</v>
      </c>
      <c r="N43" s="3">
        <f t="shared" si="49"/>
        <v>55.80414722</v>
      </c>
      <c r="O43" s="3">
        <f t="shared" si="49"/>
        <v>132.6210075</v>
      </c>
      <c r="P43" s="3">
        <f t="shared" si="49"/>
        <v>230.1400057</v>
      </c>
      <c r="Q43" s="3" t="str">
        <f t="shared" si="6"/>
        <v>S1</v>
      </c>
      <c r="R43" s="4">
        <v>43.0</v>
      </c>
      <c r="S43" s="3" t="str">
        <f t="shared" si="7"/>
        <v>S1</v>
      </c>
      <c r="T43" s="3">
        <f t="shared" si="8"/>
        <v>0</v>
      </c>
    </row>
    <row r="44" ht="15.75" customHeight="1">
      <c r="A44" s="3" t="s">
        <v>53</v>
      </c>
      <c r="B44" s="3">
        <v>14.0</v>
      </c>
      <c r="C44" s="3">
        <v>96.0</v>
      </c>
      <c r="D44" s="3">
        <v>58.0</v>
      </c>
      <c r="E44" s="3">
        <v>27.0</v>
      </c>
      <c r="M44" s="3">
        <f t="shared" ref="M44:P44" si="50">SQRT(($B44-H$3)^2+($C44-H$4)^2+($D44-H$5)^2+($E44-H$6)^2)</f>
        <v>91.89849271</v>
      </c>
      <c r="N44" s="3">
        <f t="shared" si="50"/>
        <v>44.30108555</v>
      </c>
      <c r="O44" s="3">
        <f t="shared" si="50"/>
        <v>37.48013079</v>
      </c>
      <c r="P44" s="3">
        <f t="shared" si="50"/>
        <v>133.9085094</v>
      </c>
      <c r="Q44" s="3" t="str">
        <f t="shared" si="6"/>
        <v>S3</v>
      </c>
      <c r="R44" s="4">
        <v>44.0</v>
      </c>
      <c r="S44" s="3" t="str">
        <f t="shared" si="7"/>
        <v>S3</v>
      </c>
      <c r="T44" s="3">
        <f t="shared" si="8"/>
        <v>0</v>
      </c>
    </row>
    <row r="45" ht="15.75" customHeight="1">
      <c r="A45" s="3" t="s">
        <v>54</v>
      </c>
      <c r="B45" s="3">
        <v>13.0</v>
      </c>
      <c r="C45" s="3">
        <v>137.0</v>
      </c>
      <c r="D45" s="3">
        <v>79.0</v>
      </c>
      <c r="E45" s="3">
        <v>25.0</v>
      </c>
      <c r="M45" s="3">
        <f t="shared" ref="M45:P45" si="51">SQRT(($B45-H$3)^2+($C45-H$4)^2+($D45-H$5)^2+($E45-H$6)^2)</f>
        <v>134.490147</v>
      </c>
      <c r="N45" s="3">
        <f t="shared" si="51"/>
        <v>86.07420934</v>
      </c>
      <c r="O45" s="3">
        <f t="shared" si="51"/>
        <v>13.80124957</v>
      </c>
      <c r="P45" s="3">
        <f t="shared" si="51"/>
        <v>94.44975148</v>
      </c>
      <c r="Q45" s="3" t="str">
        <f t="shared" si="6"/>
        <v>S3</v>
      </c>
      <c r="R45" s="4">
        <v>45.0</v>
      </c>
      <c r="S45" s="3" t="str">
        <f t="shared" si="7"/>
        <v>S3</v>
      </c>
      <c r="T45" s="3">
        <f t="shared" si="8"/>
        <v>0</v>
      </c>
    </row>
    <row r="46" ht="15.75" customHeight="1">
      <c r="A46" s="3" t="s">
        <v>55</v>
      </c>
      <c r="B46" s="3">
        <v>0.0</v>
      </c>
      <c r="C46" s="3">
        <v>49.0</v>
      </c>
      <c r="D46" s="3">
        <v>74.0</v>
      </c>
      <c r="E46" s="3">
        <v>21.0</v>
      </c>
      <c r="M46" s="3">
        <f t="shared" ref="M46:P46" si="52">SQRT(($B46-H$3)^2+($C46-H$4)^2+($D46-H$5)^2+($E46-H$6)^2)</f>
        <v>49.23571047</v>
      </c>
      <c r="N46" s="3">
        <f t="shared" si="52"/>
        <v>17.65841199</v>
      </c>
      <c r="O46" s="3">
        <f t="shared" si="52"/>
        <v>82.24729386</v>
      </c>
      <c r="P46" s="3">
        <f t="shared" si="52"/>
        <v>181.5851193</v>
      </c>
      <c r="Q46" s="3" t="str">
        <f t="shared" si="6"/>
        <v>S2</v>
      </c>
      <c r="R46" s="4">
        <v>46.0</v>
      </c>
      <c r="S46" s="3" t="str">
        <f t="shared" si="7"/>
        <v>S2</v>
      </c>
      <c r="T46" s="3">
        <f t="shared" si="8"/>
        <v>0</v>
      </c>
    </row>
    <row r="47" ht="15.75" customHeight="1">
      <c r="A47" s="3" t="s">
        <v>56</v>
      </c>
      <c r="B47" s="3">
        <v>0.1</v>
      </c>
      <c r="C47" s="3">
        <v>44.0</v>
      </c>
      <c r="D47" s="3">
        <v>24.0</v>
      </c>
      <c r="E47" s="3">
        <v>8.0</v>
      </c>
      <c r="M47" s="3">
        <f t="shared" ref="M47:P47" si="53">SQRT(($B47-H$3)^2+($C47-H$4)^2+($D47-H$5)^2+($E47-H$6)^2)</f>
        <v>46.25805235</v>
      </c>
      <c r="N47" s="3">
        <f t="shared" si="53"/>
        <v>36.95034299</v>
      </c>
      <c r="O47" s="3">
        <f t="shared" si="53"/>
        <v>98.71712214</v>
      </c>
      <c r="P47" s="3">
        <f t="shared" si="53"/>
        <v>190.7670627</v>
      </c>
      <c r="Q47" s="3" t="str">
        <f t="shared" si="6"/>
        <v>S2</v>
      </c>
      <c r="R47" s="4">
        <v>47.0</v>
      </c>
      <c r="S47" s="3" t="str">
        <f t="shared" si="7"/>
        <v>S2</v>
      </c>
      <c r="T47" s="3">
        <f t="shared" si="8"/>
        <v>0</v>
      </c>
    </row>
    <row r="48" ht="15.75" customHeight="1">
      <c r="A48" s="3" t="s">
        <v>57</v>
      </c>
      <c r="B48" s="3">
        <v>7.0</v>
      </c>
      <c r="C48" s="3">
        <v>100.0</v>
      </c>
      <c r="D48" s="3">
        <v>58.0</v>
      </c>
      <c r="E48" s="3">
        <v>16.0</v>
      </c>
      <c r="M48" s="3">
        <f t="shared" ref="M48:P48" si="54">SQRT(($B48-H$3)^2+($C48-H$4)^2+($D48-H$5)^2+($E48-H$6)^2)</f>
        <v>93.85106207</v>
      </c>
      <c r="N48" s="3">
        <f t="shared" si="54"/>
        <v>45.64941964</v>
      </c>
      <c r="O48" s="3">
        <f t="shared" si="54"/>
        <v>32.88577945</v>
      </c>
      <c r="P48" s="3">
        <f t="shared" si="54"/>
        <v>130.3232733</v>
      </c>
      <c r="Q48" s="3" t="str">
        <f t="shared" si="6"/>
        <v>S3</v>
      </c>
      <c r="R48" s="4">
        <v>48.0</v>
      </c>
      <c r="S48" s="3" t="str">
        <f t="shared" si="7"/>
        <v>S3</v>
      </c>
      <c r="T48" s="3">
        <f t="shared" si="8"/>
        <v>0</v>
      </c>
    </row>
    <row r="49" ht="15.75" customHeight="1">
      <c r="A49" s="3" t="s">
        <v>58</v>
      </c>
      <c r="B49" s="3">
        <v>1.0</v>
      </c>
      <c r="C49" s="3">
        <v>62.0</v>
      </c>
      <c r="D49" s="3">
        <v>73.0</v>
      </c>
      <c r="E49" s="3">
        <v>24.0</v>
      </c>
      <c r="M49" s="3">
        <f t="shared" ref="M49:P49" si="55">SQRT(($B49-H$3)^2+($C49-H$4)^2+($D49-H$5)^2+($E49-H$6)^2)</f>
        <v>60.97977503</v>
      </c>
      <c r="N49" s="3">
        <f t="shared" si="55"/>
        <v>18.50593186</v>
      </c>
      <c r="O49" s="3">
        <f t="shared" si="55"/>
        <v>69.26483485</v>
      </c>
      <c r="P49" s="3">
        <f t="shared" si="55"/>
        <v>168.4457051</v>
      </c>
      <c r="Q49" s="3" t="str">
        <f t="shared" si="6"/>
        <v>S2</v>
      </c>
      <c r="R49" s="4">
        <v>49.0</v>
      </c>
      <c r="S49" s="3" t="str">
        <f t="shared" si="7"/>
        <v>S2</v>
      </c>
      <c r="T49" s="3">
        <f t="shared" si="8"/>
        <v>0</v>
      </c>
    </row>
    <row r="50" ht="15.75" customHeight="1">
      <c r="A50" s="3" t="s">
        <v>59</v>
      </c>
      <c r="B50" s="3">
        <v>5.0</v>
      </c>
      <c r="C50" s="3">
        <v>65.0</v>
      </c>
      <c r="D50" s="3">
        <v>34.0</v>
      </c>
      <c r="E50" s="3">
        <v>9.0</v>
      </c>
      <c r="M50" s="3">
        <f t="shared" ref="M50:P50" si="56">SQRT(($B50-H$3)^2+($C50-H$4)^2+($D50-H$5)^2+($E50-H$6)^2)</f>
        <v>60.87929466</v>
      </c>
      <c r="N50" s="3">
        <f t="shared" si="56"/>
        <v>27.47246222</v>
      </c>
      <c r="O50" s="3">
        <f t="shared" si="56"/>
        <v>75.31108952</v>
      </c>
      <c r="P50" s="3">
        <f t="shared" si="56"/>
        <v>168.1198646</v>
      </c>
      <c r="Q50" s="3" t="str">
        <f t="shared" si="6"/>
        <v>S2</v>
      </c>
      <c r="R50" s="4">
        <v>50.0</v>
      </c>
      <c r="S50" s="3" t="str">
        <f t="shared" si="7"/>
        <v>S2</v>
      </c>
      <c r="T50" s="3">
        <f t="shared" si="8"/>
        <v>0</v>
      </c>
    </row>
    <row r="51" ht="15.75" customHeight="1">
      <c r="A51" s="3" t="s">
        <v>60</v>
      </c>
      <c r="B51" s="3">
        <v>0.0</v>
      </c>
      <c r="C51" s="3">
        <v>0.1</v>
      </c>
      <c r="D51" s="3">
        <v>60.0</v>
      </c>
      <c r="E51" s="3">
        <v>11.0</v>
      </c>
      <c r="M51" s="3">
        <f t="shared" ref="M51:P51" si="57">SQRT(($B51-H$3)^2+($C51-H$4)^2+($D51-H$5)^2+($E51-H$6)^2)</f>
        <v>11.153508</v>
      </c>
      <c r="N51" s="3">
        <f t="shared" si="57"/>
        <v>54.7320398</v>
      </c>
      <c r="O51" s="3">
        <f t="shared" si="57"/>
        <v>131.484052</v>
      </c>
      <c r="P51" s="3">
        <f t="shared" si="57"/>
        <v>230.4585405</v>
      </c>
      <c r="Q51" s="3" t="str">
        <f t="shared" si="6"/>
        <v>S1</v>
      </c>
      <c r="R51" s="4">
        <v>51.0</v>
      </c>
      <c r="S51" s="3" t="str">
        <f t="shared" si="7"/>
        <v>S1</v>
      </c>
      <c r="T51" s="3">
        <f t="shared" si="8"/>
        <v>0</v>
      </c>
    </row>
    <row r="52" ht="15.75" customHeight="1">
      <c r="A52" s="3" t="s">
        <v>61</v>
      </c>
      <c r="B52" s="3">
        <v>6.0</v>
      </c>
      <c r="C52" s="3">
        <v>143.0</v>
      </c>
      <c r="D52" s="3">
        <v>51.0</v>
      </c>
      <c r="E52" s="3">
        <v>11.0</v>
      </c>
      <c r="M52" s="3">
        <f t="shared" ref="M52:P52" si="58">SQRT(($B52-H$3)^2+($C52-H$4)^2+($D52-H$5)^2+($E52-H$6)^2)</f>
        <v>136.3557425</v>
      </c>
      <c r="N52" s="3">
        <f t="shared" si="58"/>
        <v>88.97688565</v>
      </c>
      <c r="O52" s="3">
        <f t="shared" si="58"/>
        <v>23.70449454</v>
      </c>
      <c r="P52" s="3">
        <f t="shared" si="58"/>
        <v>88.93755612</v>
      </c>
      <c r="Q52" s="3" t="str">
        <f t="shared" si="6"/>
        <v>S3</v>
      </c>
      <c r="R52" s="4">
        <v>52.0</v>
      </c>
      <c r="S52" s="3" t="str">
        <f t="shared" si="7"/>
        <v>S3</v>
      </c>
      <c r="T52" s="3">
        <f t="shared" si="8"/>
        <v>0</v>
      </c>
    </row>
    <row r="53" ht="15.75" customHeight="1">
      <c r="M53" s="3">
        <f t="shared" ref="M53:P53" si="59">SQRT(($B53-H$3)^2+($C53-H$4)^2+($D53-H$5)^2+($E53-H$6)^2)</f>
        <v>52.71368857</v>
      </c>
      <c r="N53" s="3">
        <f t="shared" si="59"/>
        <v>81.49838146</v>
      </c>
      <c r="O53" s="3">
        <f t="shared" si="59"/>
        <v>149.3501741</v>
      </c>
      <c r="P53" s="3">
        <f t="shared" si="59"/>
        <v>239.6440879</v>
      </c>
      <c r="Q53" s="3" t="str">
        <f t="shared" si="6"/>
        <v>S1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1:K1"/>
    <mergeCell ref="M1:P1"/>
    <mergeCell ref="G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8.71"/>
    <col customWidth="1" min="4" max="4" width="15.57"/>
    <col customWidth="1" min="5" max="6" width="8.71"/>
    <col customWidth="1" min="7" max="7" width="15.57"/>
    <col customWidth="1" min="8" max="15" width="8.71"/>
    <col customWidth="1" min="16" max="16" width="11.29"/>
    <col customWidth="1" min="17" max="17" width="10.0"/>
    <col customWidth="1" min="18" max="18" width="8.71"/>
    <col customWidth="1" min="19" max="19" width="16.57"/>
    <col customWidth="1" min="20" max="26" width="8.71"/>
  </cols>
  <sheetData>
    <row r="1">
      <c r="F1" s="4" t="s">
        <v>68</v>
      </c>
      <c r="G1" s="1" t="s">
        <v>0</v>
      </c>
      <c r="M1" s="2" t="s">
        <v>1</v>
      </c>
      <c r="Q1" s="2"/>
      <c r="R1" s="4">
        <v>1.0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M2" s="3" t="str">
        <f t="shared" ref="M2:P2" si="1">H2</f>
        <v>S1</v>
      </c>
      <c r="N2" s="3" t="str">
        <f t="shared" si="1"/>
        <v>S2</v>
      </c>
      <c r="O2" s="3" t="str">
        <f t="shared" si="1"/>
        <v>S3</v>
      </c>
      <c r="P2" s="3" t="str">
        <f t="shared" si="1"/>
        <v>S4</v>
      </c>
      <c r="Q2" s="4" t="s">
        <v>7</v>
      </c>
      <c r="R2" s="4">
        <v>2.0</v>
      </c>
      <c r="S2" s="4" t="s">
        <v>63</v>
      </c>
      <c r="T2" s="4" t="s">
        <v>64</v>
      </c>
    </row>
    <row r="3">
      <c r="A3" s="3" t="s">
        <v>12</v>
      </c>
      <c r="B3" s="3">
        <v>12.0</v>
      </c>
      <c r="C3" s="3">
        <v>193.0</v>
      </c>
      <c r="D3" s="3">
        <v>51.0</v>
      </c>
      <c r="E3" s="3">
        <v>21.0</v>
      </c>
      <c r="F3" s="4">
        <v>2.0</v>
      </c>
      <c r="G3" s="3" t="s">
        <v>3</v>
      </c>
      <c r="H3" s="3">
        <f t="shared" ref="H3:K3" si="2">AVERAGEIFS(INDIRECT($F$1 &amp; "!" &amp; ADDRESS(3, $F3,1)) : INDIRECT($F$1 &amp; "!" &amp; ADDRESS(52, $F3, 1)), INDIRECT($F$1 &amp; "!$Q$3"): INDIRECT($F$1 &amp; "!$Q$52"),H$2)</f>
        <v>2.31</v>
      </c>
      <c r="I3" s="3">
        <f t="shared" si="2"/>
        <v>3.009090909</v>
      </c>
      <c r="J3" s="3">
        <f t="shared" si="2"/>
        <v>7.8</v>
      </c>
      <c r="K3" s="3">
        <f t="shared" si="2"/>
        <v>10.28571429</v>
      </c>
      <c r="M3" s="3">
        <f t="shared" ref="M3:P3" si="3">SQRT(($B3-H$3)^2+($C3-H$4)^2+($D3-H$5)^2+($E3-H$6)^2)</f>
        <v>184.8813287</v>
      </c>
      <c r="N3" s="3">
        <f t="shared" si="3"/>
        <v>136.4894029</v>
      </c>
      <c r="O3" s="3">
        <f t="shared" si="3"/>
        <v>61.63180997</v>
      </c>
      <c r="P3" s="3">
        <f t="shared" si="3"/>
        <v>42.68943376</v>
      </c>
      <c r="Q3" s="3" t="str">
        <f t="shared" ref="Q3:Q53" si="6">INDEX($M$2:$P$2,1,MATCH(MIN(M3:P3),M3:P3,0))</f>
        <v>S4</v>
      </c>
      <c r="R3" s="4">
        <v>3.0</v>
      </c>
      <c r="S3" s="3" t="str">
        <f t="shared" ref="S3:S52" si="7">INDIRECT($F$1 &amp; "!Q" &amp; R3)</f>
        <v>S4</v>
      </c>
      <c r="T3" s="3">
        <f t="shared" ref="T3:T52" si="8">IF(Q3=S3,0,1)</f>
        <v>0</v>
      </c>
    </row>
    <row r="4">
      <c r="A4" s="3" t="s">
        <v>13</v>
      </c>
      <c r="B4" s="3">
        <v>9.0</v>
      </c>
      <c r="C4" s="3">
        <v>222.0</v>
      </c>
      <c r="D4" s="3">
        <v>39.0</v>
      </c>
      <c r="E4" s="3">
        <v>42.0</v>
      </c>
      <c r="F4" s="4">
        <v>3.0</v>
      </c>
      <c r="G4" s="3" t="s">
        <v>4</v>
      </c>
      <c r="H4" s="3">
        <f t="shared" ref="H4:K4" si="4">AVERAGEIFS(INDIRECT($F$1 &amp; "!" &amp; ADDRESS(3, $F4,1)) : INDIRECT($F$1 &amp; "!" &amp; ADDRESS(52, $F4, 1)), INDIRECT($F$1 &amp; "!$Q$3"): INDIRECT($F$1 &amp; "!$Q$52"),H$2)</f>
        <v>8.64</v>
      </c>
      <c r="I4" s="3">
        <f t="shared" si="4"/>
        <v>57.09090909</v>
      </c>
      <c r="J4" s="3">
        <f t="shared" si="4"/>
        <v>133.8</v>
      </c>
      <c r="K4" s="3">
        <f t="shared" si="4"/>
        <v>233.5714286</v>
      </c>
      <c r="M4" s="3">
        <f t="shared" ref="M4:P4" si="5">SQRT(($B4-H$3)^2+($C4-H$4)^2+($D4-H$5)^2+($E4-H$6)^2)</f>
        <v>216.1037846</v>
      </c>
      <c r="N4" s="3">
        <f t="shared" si="5"/>
        <v>168.1953756</v>
      </c>
      <c r="O4" s="3">
        <f t="shared" si="5"/>
        <v>95.25691576</v>
      </c>
      <c r="P4" s="3">
        <f t="shared" si="5"/>
        <v>30.12761971</v>
      </c>
      <c r="Q4" s="3" t="str">
        <f t="shared" si="6"/>
        <v>S4</v>
      </c>
      <c r="R4" s="4">
        <v>4.0</v>
      </c>
      <c r="S4" s="3" t="str">
        <f t="shared" si="7"/>
        <v>S4</v>
      </c>
      <c r="T4" s="3">
        <f t="shared" si="8"/>
        <v>0</v>
      </c>
    </row>
    <row r="5">
      <c r="A5" s="3" t="s">
        <v>14</v>
      </c>
      <c r="B5" s="3">
        <v>6.0</v>
      </c>
      <c r="C5" s="3">
        <v>226.0</v>
      </c>
      <c r="D5" s="3">
        <v>72.0</v>
      </c>
      <c r="E5" s="3">
        <v>30.0</v>
      </c>
      <c r="F5" s="4">
        <v>4.0</v>
      </c>
      <c r="G5" s="3" t="s">
        <v>5</v>
      </c>
      <c r="H5" s="3">
        <f t="shared" ref="H5:K5" si="9">AVERAGEIFS(INDIRECT($F$1 &amp; "!" &amp; ADDRESS(3, $F5,1)) : INDIRECT($F$1 &amp; "!" &amp; ADDRESS(52, $F5, 1)), INDIRECT($F$1 &amp; "!$Q$3"): INDIRECT($F$1 &amp; "!$Q$52"),H$2)</f>
        <v>52.6</v>
      </c>
      <c r="I5" s="3">
        <f t="shared" si="9"/>
        <v>57.81818182</v>
      </c>
      <c r="J5" s="3">
        <f t="shared" si="9"/>
        <v>67.6</v>
      </c>
      <c r="K5" s="3">
        <f t="shared" si="9"/>
        <v>62.57142857</v>
      </c>
      <c r="M5" s="3">
        <f t="shared" ref="M5:P5" si="10">SQRT(($B5-H$3)^2+($C5-H$4)^2+($D5-H$5)^2+($E5-H$6)^2)</f>
        <v>219.0634285</v>
      </c>
      <c r="N5" s="3">
        <f t="shared" si="10"/>
        <v>170.1526395</v>
      </c>
      <c r="O5" s="3">
        <f t="shared" si="10"/>
        <v>92.84115467</v>
      </c>
      <c r="P5" s="3">
        <f t="shared" si="10"/>
        <v>13.11332085</v>
      </c>
      <c r="Q5" s="3" t="str">
        <f t="shared" si="6"/>
        <v>S4</v>
      </c>
      <c r="R5" s="4">
        <v>5.0</v>
      </c>
      <c r="S5" s="3" t="str">
        <f t="shared" si="7"/>
        <v>S4</v>
      </c>
      <c r="T5" s="3">
        <f t="shared" si="8"/>
        <v>0</v>
      </c>
    </row>
    <row r="6">
      <c r="A6" s="3" t="s">
        <v>15</v>
      </c>
      <c r="B6" s="3">
        <v>8.0</v>
      </c>
      <c r="C6" s="3">
        <v>177.0</v>
      </c>
      <c r="D6" s="3">
        <v>50.0</v>
      </c>
      <c r="E6" s="3">
        <v>17.0</v>
      </c>
      <c r="F6" s="4">
        <v>5.0</v>
      </c>
      <c r="G6" s="3" t="s">
        <v>6</v>
      </c>
      <c r="H6" s="3">
        <f t="shared" ref="H6:K6" si="11">AVERAGEIFS(INDIRECT($F$1 &amp; "!" &amp; ADDRESS(3, $F6,1)) : INDIRECT($F$1 &amp; "!" &amp; ADDRESS(52, $F6, 1)), INDIRECT($F$1 &amp; "!$Q$3"): INDIRECT($F$1 &amp; "!$Q$52"),H$2)</f>
        <v>11.2</v>
      </c>
      <c r="I6" s="3">
        <f t="shared" si="11"/>
        <v>15.45454545</v>
      </c>
      <c r="J6" s="3">
        <f t="shared" si="11"/>
        <v>20.2</v>
      </c>
      <c r="K6" s="3">
        <f t="shared" si="11"/>
        <v>27.28571429</v>
      </c>
      <c r="M6" s="3">
        <f t="shared" ref="M6:P6" si="12">SQRT(($B6-H$3)^2+($C6-H$4)^2+($D6-H$5)^2+($E6-H$6)^2)</f>
        <v>168.5759938</v>
      </c>
      <c r="N6" s="3">
        <f t="shared" si="12"/>
        <v>120.2772283</v>
      </c>
      <c r="O6" s="3">
        <f t="shared" si="12"/>
        <v>46.75767317</v>
      </c>
      <c r="P6" s="3">
        <f t="shared" si="12"/>
        <v>58.90150894</v>
      </c>
      <c r="Q6" s="3" t="str">
        <f t="shared" si="6"/>
        <v>S3</v>
      </c>
      <c r="R6" s="4">
        <v>6.0</v>
      </c>
      <c r="S6" s="3" t="str">
        <f t="shared" si="7"/>
        <v>S3</v>
      </c>
      <c r="T6" s="3">
        <f t="shared" si="8"/>
        <v>0</v>
      </c>
    </row>
    <row r="7">
      <c r="A7" s="3" t="s">
        <v>16</v>
      </c>
      <c r="B7" s="3">
        <v>7.0</v>
      </c>
      <c r="C7" s="3">
        <v>235.0</v>
      </c>
      <c r="D7" s="3">
        <v>86.0</v>
      </c>
      <c r="E7" s="3">
        <v>39.0</v>
      </c>
      <c r="M7" s="3">
        <f t="shared" ref="M7:P7" si="13">SQRT(($B7-H$3)^2+($C7-H$4)^2+($D7-H$5)^2+($E7-H$6)^2)</f>
        <v>230.5412017</v>
      </c>
      <c r="N7" s="3">
        <f t="shared" si="13"/>
        <v>181.7035368</v>
      </c>
      <c r="O7" s="3">
        <f t="shared" si="13"/>
        <v>104.5661513</v>
      </c>
      <c r="P7" s="3">
        <f t="shared" si="13"/>
        <v>26.43783621</v>
      </c>
      <c r="Q7" s="3" t="str">
        <f t="shared" si="6"/>
        <v>S4</v>
      </c>
      <c r="R7" s="4">
        <v>7.0</v>
      </c>
      <c r="S7" s="3" t="str">
        <f t="shared" si="7"/>
        <v>S4</v>
      </c>
      <c r="T7" s="3">
        <f t="shared" si="8"/>
        <v>0</v>
      </c>
    </row>
    <row r="8">
      <c r="A8" s="3" t="s">
        <v>17</v>
      </c>
      <c r="B8" s="3">
        <v>5.0</v>
      </c>
      <c r="C8" s="3">
        <v>170.0</v>
      </c>
      <c r="D8" s="3">
        <v>78.0</v>
      </c>
      <c r="E8" s="3">
        <v>37.0</v>
      </c>
      <c r="M8" s="3">
        <f t="shared" ref="M8:P8" si="14">SQRT(($B8-H$3)^2+($C8-H$4)^2+($D8-H$5)^2+($E8-H$6)^2)</f>
        <v>165.3937293</v>
      </c>
      <c r="N8" s="3">
        <f t="shared" si="14"/>
        <v>116.7216301</v>
      </c>
      <c r="O8" s="3">
        <f t="shared" si="14"/>
        <v>41.3361827</v>
      </c>
      <c r="P8" s="3">
        <f t="shared" si="14"/>
        <v>66.34510886</v>
      </c>
      <c r="Q8" s="3" t="str">
        <f t="shared" si="6"/>
        <v>S3</v>
      </c>
      <c r="R8" s="4">
        <v>8.0</v>
      </c>
      <c r="S8" s="3" t="str">
        <f t="shared" si="7"/>
        <v>S3</v>
      </c>
      <c r="T8" s="3">
        <f t="shared" si="8"/>
        <v>0</v>
      </c>
    </row>
    <row r="9">
      <c r="A9" s="3" t="s">
        <v>18</v>
      </c>
      <c r="B9" s="3">
        <v>0.0</v>
      </c>
      <c r="C9" s="3">
        <v>35.0</v>
      </c>
      <c r="D9" s="3">
        <v>75.0</v>
      </c>
      <c r="E9" s="3">
        <v>7.0</v>
      </c>
      <c r="M9" s="3">
        <f t="shared" ref="M9:P9" si="15">SQRT(($B9-H$3)^2+($C9-H$4)^2+($D9-H$5)^2+($E9-H$6)^2)</f>
        <v>34.9225672</v>
      </c>
      <c r="N9" s="3">
        <f t="shared" si="15"/>
        <v>29.38974494</v>
      </c>
      <c r="O9" s="3">
        <f t="shared" si="15"/>
        <v>100.2560721</v>
      </c>
      <c r="P9" s="3">
        <f t="shared" si="15"/>
        <v>200.2558058</v>
      </c>
      <c r="Q9" s="3" t="str">
        <f t="shared" si="6"/>
        <v>S2</v>
      </c>
      <c r="R9" s="4">
        <v>9.0</v>
      </c>
      <c r="S9" s="3" t="str">
        <f t="shared" si="7"/>
        <v>S2</v>
      </c>
      <c r="T9" s="3">
        <f t="shared" si="8"/>
        <v>0</v>
      </c>
    </row>
    <row r="10">
      <c r="A10" s="3" t="s">
        <v>19</v>
      </c>
      <c r="B10" s="3">
        <v>4.0</v>
      </c>
      <c r="C10" s="3">
        <v>198.0</v>
      </c>
      <c r="D10" s="3">
        <v>70.0</v>
      </c>
      <c r="E10" s="3">
        <v>15.0</v>
      </c>
      <c r="G10" s="4" t="s">
        <v>65</v>
      </c>
      <c r="I10" s="3">
        <f>SUM(T3:T52)</f>
        <v>0</v>
      </c>
      <c r="M10" s="3">
        <f t="shared" ref="M10:P10" si="16">SQRT(($B10-H$3)^2+($C10-H$4)^2+($D10-H$5)^2+($E10-H$6)^2)</f>
        <v>190.2032221</v>
      </c>
      <c r="N10" s="3">
        <f t="shared" si="16"/>
        <v>141.4388812</v>
      </c>
      <c r="O10" s="3">
        <f t="shared" si="16"/>
        <v>64.56686457</v>
      </c>
      <c r="P10" s="3">
        <f t="shared" si="16"/>
        <v>38.87105843</v>
      </c>
      <c r="Q10" s="3" t="str">
        <f t="shared" si="6"/>
        <v>S4</v>
      </c>
      <c r="R10" s="4">
        <v>10.0</v>
      </c>
      <c r="S10" s="3" t="str">
        <f t="shared" si="7"/>
        <v>S4</v>
      </c>
      <c r="T10" s="3">
        <f t="shared" si="8"/>
        <v>0</v>
      </c>
    </row>
    <row r="11">
      <c r="A11" s="3" t="s">
        <v>20</v>
      </c>
      <c r="B11" s="3">
        <v>13.0</v>
      </c>
      <c r="C11" s="3">
        <v>259.0</v>
      </c>
      <c r="D11" s="3">
        <v>74.0</v>
      </c>
      <c r="E11" s="3">
        <v>30.0</v>
      </c>
      <c r="M11" s="3">
        <f t="shared" ref="M11:P11" si="17">SQRT(($B11-H$3)^2+($C11-H$4)^2+($D11-H$5)^2+($E11-H$6)^2)</f>
        <v>252.2019145</v>
      </c>
      <c r="N11" s="3">
        <f t="shared" si="17"/>
        <v>203.3236847</v>
      </c>
      <c r="O11" s="3">
        <f t="shared" si="17"/>
        <v>125.8534068</v>
      </c>
      <c r="P11" s="3">
        <f t="shared" si="17"/>
        <v>28.14176938</v>
      </c>
      <c r="Q11" s="3" t="str">
        <f t="shared" si="6"/>
        <v>S4</v>
      </c>
      <c r="R11" s="4">
        <v>11.0</v>
      </c>
      <c r="S11" s="3" t="str">
        <f t="shared" si="7"/>
        <v>S4</v>
      </c>
      <c r="T11" s="3">
        <f t="shared" si="8"/>
        <v>0</v>
      </c>
    </row>
    <row r="12">
      <c r="A12" s="3" t="s">
        <v>21</v>
      </c>
      <c r="B12" s="3">
        <v>15.0</v>
      </c>
      <c r="C12" s="3">
        <v>136.0</v>
      </c>
      <c r="D12" s="3">
        <v>52.0</v>
      </c>
      <c r="E12" s="3">
        <v>24.0</v>
      </c>
      <c r="M12" s="3">
        <f t="shared" ref="M12:P12" si="18">SQRT(($B12-H$3)^2+($C12-H$4)^2+($D12-H$5)^2+($E12-H$6)^2)</f>
        <v>128.6305007</v>
      </c>
      <c r="N12" s="3">
        <f t="shared" si="18"/>
        <v>80.48169085</v>
      </c>
      <c r="O12" s="3">
        <f t="shared" si="18"/>
        <v>17.73358396</v>
      </c>
      <c r="P12" s="3">
        <f t="shared" si="18"/>
        <v>98.31052428</v>
      </c>
      <c r="Q12" s="3" t="str">
        <f t="shared" si="6"/>
        <v>S3</v>
      </c>
      <c r="R12" s="4">
        <v>12.0</v>
      </c>
      <c r="S12" s="3" t="str">
        <f t="shared" si="7"/>
        <v>S3</v>
      </c>
      <c r="T12" s="3">
        <f t="shared" si="8"/>
        <v>0</v>
      </c>
    </row>
    <row r="13">
      <c r="A13" s="3" t="s">
        <v>22</v>
      </c>
      <c r="B13" s="3">
        <v>5.0</v>
      </c>
      <c r="C13" s="3">
        <v>32.0</v>
      </c>
      <c r="D13" s="3">
        <v>82.0</v>
      </c>
      <c r="E13" s="3">
        <v>17.0</v>
      </c>
      <c r="M13" s="3">
        <f t="shared" ref="M13:P13" si="19">SQRT(($B13-H$3)^2+($C13-H$4)^2+($D13-H$5)^2+($E13-H$6)^2)</f>
        <v>38.09101863</v>
      </c>
      <c r="N13" s="3">
        <f t="shared" si="19"/>
        <v>34.93803369</v>
      </c>
      <c r="O13" s="3">
        <f t="shared" si="19"/>
        <v>102.9013119</v>
      </c>
      <c r="P13" s="3">
        <f t="shared" si="19"/>
        <v>202.8355119</v>
      </c>
      <c r="Q13" s="3" t="str">
        <f t="shared" si="6"/>
        <v>S2</v>
      </c>
      <c r="R13" s="4">
        <v>13.0</v>
      </c>
      <c r="S13" s="3" t="str">
        <f t="shared" si="7"/>
        <v>S2</v>
      </c>
      <c r="T13" s="3">
        <f t="shared" si="8"/>
        <v>0</v>
      </c>
    </row>
    <row r="14">
      <c r="A14" s="3" t="s">
        <v>23</v>
      </c>
      <c r="B14" s="3">
        <v>0.0</v>
      </c>
      <c r="C14" s="3">
        <v>54.0</v>
      </c>
      <c r="D14" s="3">
        <v>47.0</v>
      </c>
      <c r="E14" s="3">
        <v>12.0</v>
      </c>
      <c r="M14" s="3">
        <f t="shared" ref="M14:P14" si="20">SQRT(($B14-H$3)^2+($C14-H$4)^2+($D14-H$5)^2+($E14-H$6)^2)</f>
        <v>45.76970286</v>
      </c>
      <c r="N14" s="3">
        <f t="shared" si="20"/>
        <v>12.14805702</v>
      </c>
      <c r="O14" s="3">
        <f t="shared" si="20"/>
        <v>83.1894224</v>
      </c>
      <c r="P14" s="3">
        <f t="shared" si="20"/>
        <v>181.1844815</v>
      </c>
      <c r="Q14" s="3" t="str">
        <f t="shared" si="6"/>
        <v>S2</v>
      </c>
      <c r="R14" s="4">
        <v>14.0</v>
      </c>
      <c r="S14" s="3" t="str">
        <f t="shared" si="7"/>
        <v>S2</v>
      </c>
      <c r="T14" s="3">
        <f t="shared" si="8"/>
        <v>0</v>
      </c>
    </row>
    <row r="15">
      <c r="A15" s="3" t="s">
        <v>24</v>
      </c>
      <c r="B15" s="3">
        <v>10.0</v>
      </c>
      <c r="C15" s="3">
        <v>218.0</v>
      </c>
      <c r="D15" s="3">
        <v>79.0</v>
      </c>
      <c r="E15" s="3">
        <v>20.0</v>
      </c>
      <c r="M15" s="3">
        <f t="shared" ref="M15:P15" si="21">SQRT(($B15-H$3)^2+($C15-H$4)^2+($D15-H$5)^2+($E15-H$6)^2)</f>
        <v>211.3413015</v>
      </c>
      <c r="N15" s="3">
        <f t="shared" si="21"/>
        <v>162.5113501</v>
      </c>
      <c r="O15" s="3">
        <f t="shared" si="21"/>
        <v>84.99694112</v>
      </c>
      <c r="P15" s="3">
        <f t="shared" si="21"/>
        <v>23.78088754</v>
      </c>
      <c r="Q15" s="3" t="str">
        <f t="shared" si="6"/>
        <v>S4</v>
      </c>
      <c r="R15" s="4">
        <v>15.0</v>
      </c>
      <c r="S15" s="3" t="str">
        <f t="shared" si="7"/>
        <v>S4</v>
      </c>
      <c r="T15" s="3">
        <f t="shared" si="8"/>
        <v>0</v>
      </c>
    </row>
    <row r="16">
      <c r="A16" s="3" t="s">
        <v>25</v>
      </c>
      <c r="B16" s="3">
        <v>7.0</v>
      </c>
      <c r="C16" s="3">
        <v>26.0</v>
      </c>
      <c r="D16" s="3">
        <v>65.0</v>
      </c>
      <c r="E16" s="3">
        <v>19.0</v>
      </c>
      <c r="M16" s="3">
        <f t="shared" ref="M16:P16" si="22">SQRT(($B16-H$3)^2+($C16-H$4)^2+($D16-H$5)^2+($E16-H$6)^2)</f>
        <v>23.19408761</v>
      </c>
      <c r="N16" s="3">
        <f t="shared" si="22"/>
        <v>32.3530639</v>
      </c>
      <c r="O16" s="3">
        <f t="shared" si="22"/>
        <v>107.8409941</v>
      </c>
      <c r="P16" s="3">
        <f t="shared" si="22"/>
        <v>207.7769114</v>
      </c>
      <c r="Q16" s="3" t="str">
        <f t="shared" si="6"/>
        <v>S1</v>
      </c>
      <c r="R16" s="4">
        <v>16.0</v>
      </c>
      <c r="S16" s="3" t="str">
        <f t="shared" si="7"/>
        <v>S1</v>
      </c>
      <c r="T16" s="3">
        <f t="shared" si="8"/>
        <v>0</v>
      </c>
    </row>
    <row r="17">
      <c r="A17" s="3" t="s">
        <v>26</v>
      </c>
      <c r="B17" s="3">
        <v>2.0</v>
      </c>
      <c r="C17" s="3">
        <v>0.1</v>
      </c>
      <c r="D17" s="3">
        <v>53.0</v>
      </c>
      <c r="E17" s="3">
        <v>9.0</v>
      </c>
      <c r="M17" s="3">
        <f t="shared" ref="M17:P17" si="23">SQRT(($B17-H$3)^2+($C17-H$4)^2+($D17-H$5)^2+($E17-H$6)^2)</f>
        <v>8.833328931</v>
      </c>
      <c r="N17" s="3">
        <f t="shared" si="23"/>
        <v>57.56611865</v>
      </c>
      <c r="O17" s="3">
        <f t="shared" si="23"/>
        <v>135.0848992</v>
      </c>
      <c r="P17" s="3">
        <f t="shared" si="23"/>
        <v>234.5283365</v>
      </c>
      <c r="Q17" s="3" t="str">
        <f t="shared" si="6"/>
        <v>S1</v>
      </c>
      <c r="R17" s="4">
        <v>17.0</v>
      </c>
      <c r="S17" s="3" t="str">
        <f t="shared" si="7"/>
        <v>S1</v>
      </c>
      <c r="T17" s="3">
        <f t="shared" si="8"/>
        <v>0</v>
      </c>
    </row>
    <row r="18">
      <c r="A18" s="3" t="s">
        <v>27</v>
      </c>
      <c r="B18" s="3">
        <v>3.0</v>
      </c>
      <c r="C18" s="3">
        <v>80.0</v>
      </c>
      <c r="D18" s="3">
        <v>56.0</v>
      </c>
      <c r="E18" s="3">
        <v>16.0</v>
      </c>
      <c r="M18" s="3">
        <f t="shared" ref="M18:P18" si="24">SQRT(($B18-H$3)^2+($C18-H$4)^2+($D18-H$5)^2+($E18-H$6)^2)</f>
        <v>71.60534687</v>
      </c>
      <c r="N18" s="3">
        <f t="shared" si="24"/>
        <v>22.98760176</v>
      </c>
      <c r="O18" s="3">
        <f t="shared" si="24"/>
        <v>55.40469294</v>
      </c>
      <c r="P18" s="3">
        <f t="shared" si="24"/>
        <v>154.297817</v>
      </c>
      <c r="Q18" s="3" t="str">
        <f t="shared" si="6"/>
        <v>S2</v>
      </c>
      <c r="R18" s="4">
        <v>18.0</v>
      </c>
      <c r="S18" s="3" t="str">
        <f t="shared" si="7"/>
        <v>S2</v>
      </c>
      <c r="T18" s="3">
        <f t="shared" si="8"/>
        <v>0</v>
      </c>
    </row>
    <row r="19">
      <c r="A19" s="3" t="s">
        <v>28</v>
      </c>
      <c r="B19" s="3">
        <v>7.0</v>
      </c>
      <c r="C19" s="3">
        <v>70.0</v>
      </c>
      <c r="D19" s="3">
        <v>43.0</v>
      </c>
      <c r="E19" s="3">
        <v>15.0</v>
      </c>
      <c r="M19" s="3">
        <f t="shared" ref="M19:P19" si="25">SQRT(($B19-H$3)^2+($C19-H$4)^2+($D19-H$5)^2+($E19-H$6)^2)</f>
        <v>62.39908413</v>
      </c>
      <c r="N19" s="3">
        <f t="shared" si="25"/>
        <v>20.05884113</v>
      </c>
      <c r="O19" s="3">
        <f t="shared" si="25"/>
        <v>68.58046369</v>
      </c>
      <c r="P19" s="3">
        <f t="shared" si="25"/>
        <v>165.2282898</v>
      </c>
      <c r="Q19" s="3" t="str">
        <f t="shared" si="6"/>
        <v>S2</v>
      </c>
      <c r="R19" s="4">
        <v>19.0</v>
      </c>
      <c r="S19" s="3" t="str">
        <f t="shared" si="7"/>
        <v>S2</v>
      </c>
      <c r="T19" s="3">
        <f t="shared" si="8"/>
        <v>0</v>
      </c>
    </row>
    <row r="20">
      <c r="A20" s="3" t="s">
        <v>29</v>
      </c>
      <c r="B20" s="3">
        <v>15.0</v>
      </c>
      <c r="C20" s="3">
        <v>159.0</v>
      </c>
      <c r="D20" s="3">
        <v>61.0</v>
      </c>
      <c r="E20" s="3">
        <v>19.0</v>
      </c>
      <c r="M20" s="3">
        <f t="shared" ref="M20:P20" si="26">SQRT(($B20-H$3)^2+($C20-H$4)^2+($D20-H$5)^2+($E20-H$6)^2)</f>
        <v>151.3293286</v>
      </c>
      <c r="N20" s="3">
        <f t="shared" si="26"/>
        <v>102.722631</v>
      </c>
      <c r="O20" s="3">
        <f t="shared" si="26"/>
        <v>27.05328076</v>
      </c>
      <c r="P20" s="3">
        <f t="shared" si="26"/>
        <v>75.19471323</v>
      </c>
      <c r="Q20" s="3" t="str">
        <f t="shared" si="6"/>
        <v>S3</v>
      </c>
      <c r="R20" s="4">
        <v>20.0</v>
      </c>
      <c r="S20" s="3" t="str">
        <f t="shared" si="7"/>
        <v>S3</v>
      </c>
      <c r="T20" s="3">
        <f t="shared" si="8"/>
        <v>0</v>
      </c>
    </row>
    <row r="21" ht="15.75" customHeight="1">
      <c r="A21" s="3" t="s">
        <v>30</v>
      </c>
      <c r="B21" s="3">
        <v>1.0</v>
      </c>
      <c r="C21" s="3">
        <v>0.1</v>
      </c>
      <c r="D21" s="3">
        <v>45.0</v>
      </c>
      <c r="E21" s="3">
        <v>7.0</v>
      </c>
      <c r="M21" s="3">
        <f t="shared" ref="M21:P21" si="27">SQRT(($B21-H$3)^2+($C21-H$4)^2+($D21-H$5)^2+($E21-H$6)^2)</f>
        <v>12.2493959</v>
      </c>
      <c r="N21" s="3">
        <f t="shared" si="27"/>
        <v>59.05747446</v>
      </c>
      <c r="O21" s="3">
        <f t="shared" si="27"/>
        <v>136.4072212</v>
      </c>
      <c r="P21" s="3">
        <f t="shared" si="27"/>
        <v>235.192257</v>
      </c>
      <c r="Q21" s="3" t="str">
        <f t="shared" si="6"/>
        <v>S1</v>
      </c>
      <c r="R21" s="4">
        <v>21.0</v>
      </c>
      <c r="S21" s="3" t="str">
        <f t="shared" si="7"/>
        <v>S1</v>
      </c>
      <c r="T21" s="3">
        <f t="shared" si="8"/>
        <v>0</v>
      </c>
    </row>
    <row r="22" ht="15.75" customHeight="1">
      <c r="A22" s="3" t="s">
        <v>31</v>
      </c>
      <c r="B22" s="3">
        <v>10.0</v>
      </c>
      <c r="C22" s="3">
        <v>260.0</v>
      </c>
      <c r="D22" s="3">
        <v>63.0</v>
      </c>
      <c r="E22" s="3">
        <v>28.0</v>
      </c>
      <c r="M22" s="3">
        <f t="shared" ref="M22:P22" si="28">SQRT(($B22-H$3)^2+($C22-H$4)^2+($D22-H$5)^2+($E22-H$6)^2)</f>
        <v>252.2526228</v>
      </c>
      <c r="N22" s="3">
        <f t="shared" si="28"/>
        <v>203.482706</v>
      </c>
      <c r="O22" s="3">
        <f t="shared" si="28"/>
        <v>126.5435893</v>
      </c>
      <c r="P22" s="3">
        <f t="shared" si="28"/>
        <v>26.44323917</v>
      </c>
      <c r="Q22" s="3" t="str">
        <f t="shared" si="6"/>
        <v>S4</v>
      </c>
      <c r="R22" s="4">
        <v>22.0</v>
      </c>
      <c r="S22" s="3" t="str">
        <f t="shared" si="7"/>
        <v>S4</v>
      </c>
      <c r="T22" s="3">
        <f t="shared" si="8"/>
        <v>0</v>
      </c>
    </row>
    <row r="23" ht="15.75" customHeight="1">
      <c r="A23" s="3" t="s">
        <v>32</v>
      </c>
      <c r="B23" s="3">
        <v>2.0</v>
      </c>
      <c r="C23" s="3">
        <v>138.0</v>
      </c>
      <c r="D23" s="3">
        <v>82.0</v>
      </c>
      <c r="E23" s="3">
        <v>13.0</v>
      </c>
      <c r="M23" s="3">
        <f t="shared" ref="M23:P23" si="29">SQRT(($B23-H$3)^2+($C23-H$4)^2+($D23-H$5)^2+($E23-H$6)^2)</f>
        <v>132.6714201</v>
      </c>
      <c r="N23" s="3">
        <f t="shared" si="29"/>
        <v>84.48718471</v>
      </c>
      <c r="O23" s="3">
        <f t="shared" si="29"/>
        <v>17.62044267</v>
      </c>
      <c r="P23" s="3">
        <f t="shared" si="29"/>
        <v>98.91461995</v>
      </c>
      <c r="Q23" s="3" t="str">
        <f t="shared" si="6"/>
        <v>S3</v>
      </c>
      <c r="R23" s="4">
        <v>23.0</v>
      </c>
      <c r="S23" s="3" t="str">
        <f t="shared" si="7"/>
        <v>S3</v>
      </c>
      <c r="T23" s="3">
        <f t="shared" si="8"/>
        <v>0</v>
      </c>
    </row>
    <row r="24" ht="15.75" customHeight="1">
      <c r="A24" s="3" t="s">
        <v>33</v>
      </c>
      <c r="B24" s="3">
        <v>11.0</v>
      </c>
      <c r="C24" s="3">
        <v>251.0</v>
      </c>
      <c r="D24" s="3">
        <v>68.0</v>
      </c>
      <c r="E24" s="3">
        <v>35.0</v>
      </c>
      <c r="M24" s="3">
        <f t="shared" ref="M24:P24" si="30">SQRT(($B24-H$3)^2+($C24-H$4)^2+($D24-H$5)^2+($E24-H$6)^2)</f>
        <v>244.1669218</v>
      </c>
      <c r="N24" s="3">
        <f t="shared" si="30"/>
        <v>195.3209778</v>
      </c>
      <c r="O24" s="3">
        <f t="shared" si="30"/>
        <v>118.1747858</v>
      </c>
      <c r="P24" s="3">
        <f t="shared" si="30"/>
        <v>19.83040337</v>
      </c>
      <c r="Q24" s="3" t="str">
        <f t="shared" si="6"/>
        <v>S4</v>
      </c>
      <c r="R24" s="4">
        <v>24.0</v>
      </c>
      <c r="S24" s="3" t="str">
        <f t="shared" si="7"/>
        <v>S4</v>
      </c>
      <c r="T24" s="3">
        <f t="shared" si="8"/>
        <v>0</v>
      </c>
    </row>
    <row r="25" ht="15.75" customHeight="1">
      <c r="A25" s="3" t="s">
        <v>34</v>
      </c>
      <c r="B25" s="3">
        <v>1.0</v>
      </c>
      <c r="C25" s="3">
        <v>3.0</v>
      </c>
      <c r="D25" s="3">
        <v>62.0</v>
      </c>
      <c r="E25" s="3">
        <v>14.0</v>
      </c>
      <c r="M25" s="3">
        <f t="shared" ref="M25:P25" si="31">SQRT(($B25-H$3)^2+($C25-H$4)^2+($D25-H$5)^2+($E25-H$6)^2)</f>
        <v>11.38971905</v>
      </c>
      <c r="N25" s="3">
        <f t="shared" si="31"/>
        <v>54.30898819</v>
      </c>
      <c r="O25" s="3">
        <f t="shared" si="31"/>
        <v>131.2428284</v>
      </c>
      <c r="P25" s="3">
        <f t="shared" si="31"/>
        <v>231.1411796</v>
      </c>
      <c r="Q25" s="3" t="str">
        <f t="shared" si="6"/>
        <v>S1</v>
      </c>
      <c r="R25" s="4">
        <v>25.0</v>
      </c>
      <c r="S25" s="3" t="str">
        <f t="shared" si="7"/>
        <v>S1</v>
      </c>
      <c r="T25" s="3">
        <f t="shared" si="8"/>
        <v>0</v>
      </c>
    </row>
    <row r="26" ht="15.75" customHeight="1">
      <c r="A26" s="3" t="s">
        <v>35</v>
      </c>
      <c r="B26" s="3">
        <v>13.0</v>
      </c>
      <c r="C26" s="3">
        <v>209.0</v>
      </c>
      <c r="D26" s="3">
        <v>44.0</v>
      </c>
      <c r="E26" s="3">
        <v>13.0</v>
      </c>
      <c r="M26" s="3">
        <f t="shared" ref="M26:P26" si="32">SQRT(($B26-H$3)^2+($C26-H$4)^2+($D26-H$5)^2+($E26-H$6)^2)</f>
        <v>200.8372617</v>
      </c>
      <c r="N26" s="3">
        <f t="shared" si="32"/>
        <v>152.8828215</v>
      </c>
      <c r="O26" s="3">
        <f t="shared" si="32"/>
        <v>79.31506793</v>
      </c>
      <c r="P26" s="3">
        <f t="shared" si="32"/>
        <v>34.06027071</v>
      </c>
      <c r="Q26" s="3" t="str">
        <f t="shared" si="6"/>
        <v>S4</v>
      </c>
      <c r="R26" s="4">
        <v>26.0</v>
      </c>
      <c r="S26" s="3" t="str">
        <f t="shared" si="7"/>
        <v>S4</v>
      </c>
      <c r="T26" s="3">
        <f t="shared" si="8"/>
        <v>0</v>
      </c>
    </row>
    <row r="27" ht="15.75" customHeight="1">
      <c r="A27" s="3" t="s">
        <v>36</v>
      </c>
      <c r="B27" s="3">
        <v>8.0</v>
      </c>
      <c r="C27" s="3">
        <v>80.0</v>
      </c>
      <c r="D27" s="3">
        <v>61.0</v>
      </c>
      <c r="E27" s="3">
        <v>28.0</v>
      </c>
      <c r="M27" s="3">
        <f t="shared" ref="M27:P27" si="33">SQRT(($B27-H$3)^2+($C27-H$4)^2+($D27-H$5)^2+($E27-H$6)^2)</f>
        <v>74.00963248</v>
      </c>
      <c r="N27" s="3">
        <f t="shared" si="33"/>
        <v>26.78148645</v>
      </c>
      <c r="O27" s="3">
        <f t="shared" si="33"/>
        <v>54.76203064</v>
      </c>
      <c r="P27" s="3">
        <f t="shared" si="33"/>
        <v>153.5981372</v>
      </c>
      <c r="Q27" s="3" t="str">
        <f t="shared" si="6"/>
        <v>S2</v>
      </c>
      <c r="R27" s="4">
        <v>27.0</v>
      </c>
      <c r="S27" s="3" t="str">
        <f t="shared" si="7"/>
        <v>S2</v>
      </c>
      <c r="T27" s="3">
        <f t="shared" si="8"/>
        <v>0</v>
      </c>
    </row>
    <row r="28" ht="15.75" customHeight="1">
      <c r="A28" s="3" t="s">
        <v>37</v>
      </c>
      <c r="B28" s="3">
        <v>5.0</v>
      </c>
      <c r="C28" s="3">
        <v>19.0</v>
      </c>
      <c r="D28" s="3">
        <v>45.0</v>
      </c>
      <c r="E28" s="3">
        <v>15.0</v>
      </c>
      <c r="M28" s="3">
        <f t="shared" ref="M28:P28" si="34">SQRT(($B28-H$3)^2+($C28-H$4)^2+($D28-H$5)^2+($E28-H$6)^2)</f>
        <v>13.66622479</v>
      </c>
      <c r="N28" s="3">
        <f t="shared" si="34"/>
        <v>40.24168822</v>
      </c>
      <c r="O28" s="3">
        <f t="shared" si="34"/>
        <v>117.1523794</v>
      </c>
      <c r="P28" s="3">
        <f t="shared" si="34"/>
        <v>215.7047302</v>
      </c>
      <c r="Q28" s="3" t="str">
        <f t="shared" si="6"/>
        <v>S1</v>
      </c>
      <c r="R28" s="4">
        <v>28.0</v>
      </c>
      <c r="S28" s="3" t="str">
        <f t="shared" si="7"/>
        <v>S1</v>
      </c>
      <c r="T28" s="3">
        <f t="shared" si="8"/>
        <v>0</v>
      </c>
    </row>
    <row r="29" ht="15.75" customHeight="1">
      <c r="A29" s="3" t="s">
        <v>38</v>
      </c>
      <c r="B29" s="3">
        <v>4.0</v>
      </c>
      <c r="C29" s="3">
        <v>10.0</v>
      </c>
      <c r="D29" s="3">
        <v>56.0</v>
      </c>
      <c r="E29" s="3">
        <v>13.0</v>
      </c>
      <c r="M29" s="3">
        <f t="shared" ref="M29:P29" si="35">SQRT(($B29-H$3)^2+($C29-H$4)^2+($D29-H$5)^2+($E29-H$6)^2)</f>
        <v>4.416525784</v>
      </c>
      <c r="N29" s="3">
        <f t="shared" si="35"/>
        <v>47.20027752</v>
      </c>
      <c r="O29" s="3">
        <f t="shared" si="35"/>
        <v>124.6085069</v>
      </c>
      <c r="P29" s="3">
        <f t="shared" si="35"/>
        <v>224.2118623</v>
      </c>
      <c r="Q29" s="3" t="str">
        <f t="shared" si="6"/>
        <v>S1</v>
      </c>
      <c r="R29" s="4">
        <v>29.0</v>
      </c>
      <c r="S29" s="3" t="str">
        <f t="shared" si="7"/>
        <v>S1</v>
      </c>
      <c r="T29" s="3">
        <f t="shared" si="8"/>
        <v>0</v>
      </c>
    </row>
    <row r="30" ht="15.75" customHeight="1">
      <c r="A30" s="3" t="s">
        <v>39</v>
      </c>
      <c r="B30" s="3">
        <v>11.0</v>
      </c>
      <c r="C30" s="3">
        <v>239.0</v>
      </c>
      <c r="D30" s="3">
        <v>75.0</v>
      </c>
      <c r="E30" s="3">
        <v>43.0</v>
      </c>
      <c r="M30" s="3">
        <f t="shared" ref="M30:P30" si="36">SQRT(($B30-H$3)^2+($C30-H$4)^2+($D30-H$5)^2+($E30-H$6)^2)</f>
        <v>233.7824752</v>
      </c>
      <c r="N30" s="3">
        <f t="shared" si="36"/>
        <v>184.9560459</v>
      </c>
      <c r="O30" s="3">
        <f t="shared" si="36"/>
        <v>107.9438743</v>
      </c>
      <c r="P30" s="3">
        <f t="shared" si="36"/>
        <v>20.76987615</v>
      </c>
      <c r="Q30" s="3" t="str">
        <f t="shared" si="6"/>
        <v>S4</v>
      </c>
      <c r="R30" s="4">
        <v>30.0</v>
      </c>
      <c r="S30" s="3" t="str">
        <f t="shared" si="7"/>
        <v>S4</v>
      </c>
      <c r="T30" s="3">
        <f t="shared" si="8"/>
        <v>0</v>
      </c>
    </row>
    <row r="31" ht="15.75" customHeight="1">
      <c r="A31" s="3" t="s">
        <v>40</v>
      </c>
      <c r="B31" s="3">
        <v>0.0</v>
      </c>
      <c r="C31" s="3">
        <v>0.1</v>
      </c>
      <c r="D31" s="3">
        <v>53.0</v>
      </c>
      <c r="E31" s="3">
        <v>6.0</v>
      </c>
      <c r="M31" s="3">
        <f t="shared" ref="M31:P31" si="37">SQRT(($B31-H$3)^2+($C31-H$4)^2+($D31-H$5)^2+($E31-H$6)^2)</f>
        <v>10.26974683</v>
      </c>
      <c r="N31" s="3">
        <f t="shared" si="37"/>
        <v>58.0484423</v>
      </c>
      <c r="O31" s="3">
        <f t="shared" si="37"/>
        <v>135.4670809</v>
      </c>
      <c r="P31" s="3">
        <f t="shared" si="37"/>
        <v>234.8603793</v>
      </c>
      <c r="Q31" s="3" t="str">
        <f t="shared" si="6"/>
        <v>S1</v>
      </c>
      <c r="R31" s="4">
        <v>31.0</v>
      </c>
      <c r="S31" s="3" t="str">
        <f t="shared" si="7"/>
        <v>S1</v>
      </c>
      <c r="T31" s="3">
        <f t="shared" si="8"/>
        <v>0</v>
      </c>
    </row>
    <row r="32" ht="15.75" customHeight="1">
      <c r="A32" s="3" t="s">
        <v>41</v>
      </c>
      <c r="B32" s="3">
        <v>5.0</v>
      </c>
      <c r="C32" s="3">
        <v>155.0</v>
      </c>
      <c r="D32" s="3">
        <v>87.0</v>
      </c>
      <c r="E32" s="3">
        <v>19.0</v>
      </c>
      <c r="M32" s="3">
        <f t="shared" ref="M32:P32" si="38">SQRT(($B32-H$3)^2+($C32-H$4)^2+($D32-H$5)^2+($E32-H$6)^2)</f>
        <v>150.5745188</v>
      </c>
      <c r="N32" s="3">
        <f t="shared" si="38"/>
        <v>102.2462839</v>
      </c>
      <c r="O32" s="3">
        <f t="shared" si="38"/>
        <v>28.89775078</v>
      </c>
      <c r="P32" s="3">
        <f t="shared" si="38"/>
        <v>82.86625566</v>
      </c>
      <c r="Q32" s="3" t="str">
        <f t="shared" si="6"/>
        <v>S3</v>
      </c>
      <c r="R32" s="4">
        <v>32.0</v>
      </c>
      <c r="S32" s="3" t="str">
        <f t="shared" si="7"/>
        <v>S3</v>
      </c>
      <c r="T32" s="3">
        <f t="shared" si="8"/>
        <v>0</v>
      </c>
    </row>
    <row r="33" ht="15.75" customHeight="1">
      <c r="A33" s="3" t="s">
        <v>42</v>
      </c>
      <c r="B33" s="3">
        <v>12.0</v>
      </c>
      <c r="C33" s="3">
        <v>229.0</v>
      </c>
      <c r="D33" s="3">
        <v>64.0</v>
      </c>
      <c r="E33" s="3">
        <v>32.0</v>
      </c>
      <c r="M33" s="3">
        <f t="shared" ref="M33:P33" si="39">SQRT(($B33-H$3)^2+($C33-H$4)^2+($D33-H$5)^2+($E33-H$6)^2)</f>
        <v>221.8445981</v>
      </c>
      <c r="N33" s="3">
        <f t="shared" si="39"/>
        <v>173.0477938</v>
      </c>
      <c r="O33" s="3">
        <f t="shared" si="39"/>
        <v>96.08787645</v>
      </c>
      <c r="P33" s="3">
        <f t="shared" si="39"/>
        <v>6.935563482</v>
      </c>
      <c r="Q33" s="3" t="str">
        <f t="shared" si="6"/>
        <v>S4</v>
      </c>
      <c r="R33" s="4">
        <v>33.0</v>
      </c>
      <c r="S33" s="3" t="str">
        <f t="shared" si="7"/>
        <v>S4</v>
      </c>
      <c r="T33" s="3">
        <f t="shared" si="8"/>
        <v>0</v>
      </c>
    </row>
    <row r="34" ht="15.75" customHeight="1">
      <c r="A34" s="3" t="s">
        <v>43</v>
      </c>
      <c r="B34" s="3">
        <v>9.0</v>
      </c>
      <c r="C34" s="3">
        <v>161.0</v>
      </c>
      <c r="D34" s="3">
        <v>85.0</v>
      </c>
      <c r="E34" s="3">
        <v>23.0</v>
      </c>
      <c r="M34" s="3">
        <f t="shared" ref="M34:P34" si="40">SQRT(($B34-H$3)^2+($C34-H$4)^2+($D34-H$5)^2+($E34-H$6)^2)</f>
        <v>156.356406</v>
      </c>
      <c r="N34" s="3">
        <f t="shared" si="40"/>
        <v>107.8367993</v>
      </c>
      <c r="O34" s="3">
        <f t="shared" si="40"/>
        <v>32.43269955</v>
      </c>
      <c r="P34" s="3">
        <f t="shared" si="40"/>
        <v>76.08990386</v>
      </c>
      <c r="Q34" s="3" t="str">
        <f t="shared" si="6"/>
        <v>S3</v>
      </c>
      <c r="R34" s="4">
        <v>34.0</v>
      </c>
      <c r="S34" s="3" t="str">
        <f t="shared" si="7"/>
        <v>S3</v>
      </c>
      <c r="T34" s="3">
        <f t="shared" si="8"/>
        <v>0</v>
      </c>
    </row>
    <row r="35" ht="15.75" customHeight="1">
      <c r="A35" s="3" t="s">
        <v>44</v>
      </c>
      <c r="B35" s="3">
        <v>13.0</v>
      </c>
      <c r="C35" s="3">
        <v>321.0</v>
      </c>
      <c r="D35" s="3">
        <v>45.0</v>
      </c>
      <c r="E35" s="3">
        <v>13.0</v>
      </c>
      <c r="M35" s="3">
        <f t="shared" ref="M35:P35" si="41">SQRT(($B35-H$3)^2+($C35-H$4)^2+($D35-H$5)^2+($E35-H$6)^2)</f>
        <v>312.6404416</v>
      </c>
      <c r="N35" s="3">
        <f t="shared" si="41"/>
        <v>264.4204173</v>
      </c>
      <c r="O35" s="3">
        <f t="shared" si="41"/>
        <v>188.7683236</v>
      </c>
      <c r="P35" s="3">
        <f t="shared" si="41"/>
        <v>90.35463012</v>
      </c>
      <c r="Q35" s="3" t="str">
        <f t="shared" si="6"/>
        <v>S4</v>
      </c>
      <c r="R35" s="4">
        <v>35.0</v>
      </c>
      <c r="S35" s="3" t="str">
        <f t="shared" si="7"/>
        <v>S4</v>
      </c>
      <c r="T35" s="3">
        <f t="shared" si="8"/>
        <v>0</v>
      </c>
    </row>
    <row r="36" ht="15.75" customHeight="1">
      <c r="A36" s="3" t="s">
        <v>45</v>
      </c>
      <c r="B36" s="3">
        <v>0.1</v>
      </c>
      <c r="C36" s="3">
        <v>27.0</v>
      </c>
      <c r="D36" s="3">
        <v>44.0</v>
      </c>
      <c r="E36" s="3">
        <v>6.0</v>
      </c>
      <c r="M36" s="3">
        <f t="shared" ref="M36:P36" si="42">SQRT(($B36-H$3)^2+($C36-H$4)^2+($D36-H$5)^2+($E36-H$6)^2)</f>
        <v>21.0469404</v>
      </c>
      <c r="N36" s="3">
        <f t="shared" si="42"/>
        <v>34.55801207</v>
      </c>
      <c r="O36" s="3">
        <f t="shared" si="42"/>
        <v>110.5627876</v>
      </c>
      <c r="P36" s="3">
        <f t="shared" si="42"/>
        <v>208.7426249</v>
      </c>
      <c r="Q36" s="3" t="str">
        <f t="shared" si="6"/>
        <v>S1</v>
      </c>
      <c r="R36" s="4">
        <v>36.0</v>
      </c>
      <c r="S36" s="3" t="str">
        <f t="shared" si="7"/>
        <v>S1</v>
      </c>
      <c r="T36" s="3">
        <f t="shared" si="8"/>
        <v>0</v>
      </c>
    </row>
    <row r="37" ht="15.75" customHeight="1">
      <c r="A37" s="3" t="s">
        <v>46</v>
      </c>
      <c r="B37" s="3">
        <v>8.0</v>
      </c>
      <c r="C37" s="3">
        <v>119.0</v>
      </c>
      <c r="D37" s="3">
        <v>73.0</v>
      </c>
      <c r="E37" s="3">
        <v>18.0</v>
      </c>
      <c r="M37" s="3">
        <f t="shared" ref="M37:P37" si="43">SQRT(($B37-H$3)^2+($C37-H$4)^2+($D37-H$5)^2+($E37-H$6)^2)</f>
        <v>112.5793307</v>
      </c>
      <c r="N37" s="3">
        <f t="shared" si="43"/>
        <v>63.98915262</v>
      </c>
      <c r="O37" s="3">
        <f t="shared" si="43"/>
        <v>15.9084883</v>
      </c>
      <c r="P37" s="3">
        <f t="shared" si="43"/>
        <v>115.4418309</v>
      </c>
      <c r="Q37" s="3" t="str">
        <f t="shared" si="6"/>
        <v>S3</v>
      </c>
      <c r="R37" s="4">
        <v>37.0</v>
      </c>
      <c r="S37" s="3" t="str">
        <f t="shared" si="7"/>
        <v>S3</v>
      </c>
      <c r="T37" s="3">
        <f t="shared" si="8"/>
        <v>0</v>
      </c>
    </row>
    <row r="38" ht="15.75" customHeight="1">
      <c r="A38" s="3" t="s">
        <v>47</v>
      </c>
      <c r="B38" s="3">
        <v>4.0</v>
      </c>
      <c r="C38" s="3">
        <v>116.0</v>
      </c>
      <c r="D38" s="3">
        <v>59.0</v>
      </c>
      <c r="E38" s="3">
        <v>20.0</v>
      </c>
      <c r="M38" s="3">
        <f t="shared" ref="M38:P38" si="44">SQRT(($B38-H$3)^2+($C38-H$4)^2+($D38-H$5)^2+($E38-H$6)^2)</f>
        <v>107.9232399</v>
      </c>
      <c r="N38" s="3">
        <f t="shared" si="44"/>
        <v>59.10432086</v>
      </c>
      <c r="O38" s="3">
        <f t="shared" si="44"/>
        <v>20.13156725</v>
      </c>
      <c r="P38" s="3">
        <f t="shared" si="44"/>
        <v>118.0185907</v>
      </c>
      <c r="Q38" s="3" t="str">
        <f t="shared" si="6"/>
        <v>S3</v>
      </c>
      <c r="R38" s="4">
        <v>38.0</v>
      </c>
      <c r="S38" s="3" t="str">
        <f t="shared" si="7"/>
        <v>S3</v>
      </c>
      <c r="T38" s="3">
        <f t="shared" si="8"/>
        <v>0</v>
      </c>
    </row>
    <row r="39" ht="15.75" customHeight="1">
      <c r="A39" s="3" t="s">
        <v>48</v>
      </c>
      <c r="B39" s="3">
        <v>4.0</v>
      </c>
      <c r="C39" s="3">
        <v>103.0</v>
      </c>
      <c r="D39" s="3">
        <v>58.0</v>
      </c>
      <c r="E39" s="3">
        <v>29.0</v>
      </c>
      <c r="M39" s="3">
        <f t="shared" ref="M39:P39" si="45">SQRT(($B39-H$3)^2+($C39-H$4)^2+($D39-H$5)^2+($E39-H$6)^2)</f>
        <v>96.19077762</v>
      </c>
      <c r="N39" s="3">
        <f t="shared" si="45"/>
        <v>47.87628772</v>
      </c>
      <c r="O39" s="3">
        <f t="shared" si="45"/>
        <v>33.65531162</v>
      </c>
      <c r="P39" s="3">
        <f t="shared" si="45"/>
        <v>130.8137795</v>
      </c>
      <c r="Q39" s="3" t="str">
        <f t="shared" si="6"/>
        <v>S3</v>
      </c>
      <c r="R39" s="4">
        <v>39.0</v>
      </c>
      <c r="S39" s="3" t="str">
        <f t="shared" si="7"/>
        <v>S3</v>
      </c>
      <c r="T39" s="3">
        <f t="shared" si="8"/>
        <v>0</v>
      </c>
    </row>
    <row r="40" ht="15.75" customHeight="1">
      <c r="A40" s="3" t="s">
        <v>49</v>
      </c>
      <c r="B40" s="3">
        <v>4.0</v>
      </c>
      <c r="C40" s="3">
        <v>57.0</v>
      </c>
      <c r="D40" s="3">
        <v>67.0</v>
      </c>
      <c r="E40" s="3">
        <v>13.0</v>
      </c>
      <c r="M40" s="3">
        <f t="shared" ref="M40:P40" si="46">SQRT(($B40-H$3)^2+($C40-H$4)^2+($D40-H$5)^2+($E40-H$6)^2)</f>
        <v>50.51876582</v>
      </c>
      <c r="N40" s="3">
        <f t="shared" si="46"/>
        <v>9.55618877</v>
      </c>
      <c r="O40" s="3">
        <f t="shared" si="46"/>
        <v>77.23263559</v>
      </c>
      <c r="P40" s="3">
        <f t="shared" si="46"/>
        <v>177.3151812</v>
      </c>
      <c r="Q40" s="3" t="str">
        <f t="shared" si="6"/>
        <v>S2</v>
      </c>
      <c r="R40" s="4">
        <v>40.0</v>
      </c>
      <c r="S40" s="3" t="str">
        <f t="shared" si="7"/>
        <v>S2</v>
      </c>
      <c r="T40" s="3">
        <f t="shared" si="8"/>
        <v>0</v>
      </c>
    </row>
    <row r="41" ht="15.75" customHeight="1">
      <c r="A41" s="3" t="s">
        <v>50</v>
      </c>
      <c r="B41" s="3">
        <v>2.0</v>
      </c>
      <c r="C41" s="3">
        <v>97.0</v>
      </c>
      <c r="D41" s="3">
        <v>83.0</v>
      </c>
      <c r="E41" s="3">
        <v>5.0</v>
      </c>
      <c r="M41" s="3">
        <f t="shared" ref="M41:P41" si="47">SQRT(($B41-H$3)^2+($C41-H$4)^2+($D41-H$5)^2+($E41-H$6)^2)</f>
        <v>93.64926962</v>
      </c>
      <c r="N41" s="3">
        <f t="shared" si="47"/>
        <v>48.34434082</v>
      </c>
      <c r="O41" s="3">
        <f t="shared" si="47"/>
        <v>43.08224692</v>
      </c>
      <c r="P41" s="3">
        <f t="shared" si="47"/>
        <v>140.1227596</v>
      </c>
      <c r="Q41" s="3" t="str">
        <f t="shared" si="6"/>
        <v>S3</v>
      </c>
      <c r="R41" s="4">
        <v>41.0</v>
      </c>
      <c r="S41" s="3" t="str">
        <f t="shared" si="7"/>
        <v>S3</v>
      </c>
      <c r="T41" s="3">
        <f t="shared" si="8"/>
        <v>0</v>
      </c>
    </row>
    <row r="42" ht="15.75" customHeight="1">
      <c r="A42" s="3" t="s">
        <v>51</v>
      </c>
      <c r="B42" s="3">
        <v>13.0</v>
      </c>
      <c r="C42" s="3">
        <v>210.0</v>
      </c>
      <c r="D42" s="3">
        <v>46.0</v>
      </c>
      <c r="E42" s="3">
        <v>21.0</v>
      </c>
      <c r="M42" s="3">
        <f t="shared" ref="M42:P42" si="48">SQRT(($B42-H$3)^2+($C42-H$4)^2+($D42-H$5)^2+($E42-H$6)^2)</f>
        <v>201.9894198</v>
      </c>
      <c r="N42" s="3">
        <f t="shared" si="48"/>
        <v>153.7902137</v>
      </c>
      <c r="O42" s="3">
        <f t="shared" si="48"/>
        <v>79.37682281</v>
      </c>
      <c r="P42" s="3">
        <f t="shared" si="48"/>
        <v>29.61590858</v>
      </c>
      <c r="Q42" s="3" t="str">
        <f t="shared" si="6"/>
        <v>S4</v>
      </c>
      <c r="R42" s="4">
        <v>42.0</v>
      </c>
      <c r="S42" s="3" t="str">
        <f t="shared" si="7"/>
        <v>S4</v>
      </c>
      <c r="T42" s="3">
        <f t="shared" si="8"/>
        <v>0</v>
      </c>
    </row>
    <row r="43" ht="15.75" customHeight="1">
      <c r="A43" s="3" t="s">
        <v>52</v>
      </c>
      <c r="B43" s="3">
        <v>3.0</v>
      </c>
      <c r="C43" s="3">
        <v>1.0</v>
      </c>
      <c r="D43" s="3">
        <v>43.0</v>
      </c>
      <c r="E43" s="3">
        <v>12.0</v>
      </c>
      <c r="M43" s="3">
        <f t="shared" ref="M43:P43" si="49">SQRT(($B43-H$3)^2+($C43-H$4)^2+($D43-H$5)^2+($E43-H$6)^2)</f>
        <v>12.31445086</v>
      </c>
      <c r="N43" s="3">
        <f t="shared" si="49"/>
        <v>58.11800549</v>
      </c>
      <c r="O43" s="3">
        <f t="shared" si="49"/>
        <v>135.3930574</v>
      </c>
      <c r="P43" s="3">
        <f t="shared" si="49"/>
        <v>234.0069334</v>
      </c>
      <c r="Q43" s="3" t="str">
        <f t="shared" si="6"/>
        <v>S1</v>
      </c>
      <c r="R43" s="4">
        <v>43.0</v>
      </c>
      <c r="S43" s="3" t="str">
        <f t="shared" si="7"/>
        <v>S1</v>
      </c>
      <c r="T43" s="3">
        <f t="shared" si="8"/>
        <v>0</v>
      </c>
    </row>
    <row r="44" ht="15.75" customHeight="1">
      <c r="A44" s="3" t="s">
        <v>53</v>
      </c>
      <c r="B44" s="3">
        <v>14.0</v>
      </c>
      <c r="C44" s="3">
        <v>96.0</v>
      </c>
      <c r="D44" s="3">
        <v>58.0</v>
      </c>
      <c r="E44" s="3">
        <v>27.0</v>
      </c>
      <c r="M44" s="3">
        <f t="shared" ref="M44:P44" si="50">SQRT(($B44-H$3)^2+($C44-H$4)^2+($D44-H$5)^2+($E44-H$6)^2)</f>
        <v>89.70633032</v>
      </c>
      <c r="N44" s="3">
        <f t="shared" si="50"/>
        <v>42.04816306</v>
      </c>
      <c r="O44" s="3">
        <f t="shared" si="50"/>
        <v>40.0709371</v>
      </c>
      <c r="P44" s="3">
        <f t="shared" si="50"/>
        <v>137.6977613</v>
      </c>
      <c r="Q44" s="3" t="str">
        <f t="shared" si="6"/>
        <v>S3</v>
      </c>
      <c r="R44" s="4">
        <v>44.0</v>
      </c>
      <c r="S44" s="3" t="str">
        <f t="shared" si="7"/>
        <v>S3</v>
      </c>
      <c r="T44" s="3">
        <f t="shared" si="8"/>
        <v>0</v>
      </c>
    </row>
    <row r="45" ht="15.75" customHeight="1">
      <c r="A45" s="3" t="s">
        <v>54</v>
      </c>
      <c r="B45" s="3">
        <v>13.0</v>
      </c>
      <c r="C45" s="3">
        <v>137.0</v>
      </c>
      <c r="D45" s="3">
        <v>79.0</v>
      </c>
      <c r="E45" s="3">
        <v>25.0</v>
      </c>
      <c r="M45" s="3">
        <f t="shared" ref="M45:P45" si="51">SQRT(($B45-H$3)^2+($C45-H$4)^2+($D45-H$5)^2+($E45-H$6)^2)</f>
        <v>132.2042575</v>
      </c>
      <c r="N45" s="3">
        <f t="shared" si="51"/>
        <v>83.81566798</v>
      </c>
      <c r="O45" s="3">
        <f t="shared" si="51"/>
        <v>13.79420168</v>
      </c>
      <c r="P45" s="3">
        <f t="shared" si="51"/>
        <v>98.02311264</v>
      </c>
      <c r="Q45" s="3" t="str">
        <f t="shared" si="6"/>
        <v>S3</v>
      </c>
      <c r="R45" s="4">
        <v>45.0</v>
      </c>
      <c r="S45" s="3" t="str">
        <f t="shared" si="7"/>
        <v>S3</v>
      </c>
      <c r="T45" s="3">
        <f t="shared" si="8"/>
        <v>0</v>
      </c>
    </row>
    <row r="46" ht="15.75" customHeight="1">
      <c r="A46" s="3" t="s">
        <v>55</v>
      </c>
      <c r="B46" s="3">
        <v>0.0</v>
      </c>
      <c r="C46" s="3">
        <v>49.0</v>
      </c>
      <c r="D46" s="3">
        <v>74.0</v>
      </c>
      <c r="E46" s="3">
        <v>21.0</v>
      </c>
      <c r="M46" s="3">
        <f t="shared" ref="M46:P46" si="52">SQRT(($B46-H$3)^2+($C46-H$4)^2+($D46-H$5)^2+($E46-H$6)^2)</f>
        <v>46.7789023</v>
      </c>
      <c r="N46" s="3">
        <f t="shared" si="52"/>
        <v>19.16039519</v>
      </c>
      <c r="O46" s="3">
        <f t="shared" si="52"/>
        <v>85.40187352</v>
      </c>
      <c r="P46" s="3">
        <f t="shared" si="52"/>
        <v>185.3173781</v>
      </c>
      <c r="Q46" s="3" t="str">
        <f t="shared" si="6"/>
        <v>S2</v>
      </c>
      <c r="R46" s="4">
        <v>46.0</v>
      </c>
      <c r="S46" s="3" t="str">
        <f t="shared" si="7"/>
        <v>S2</v>
      </c>
      <c r="T46" s="3">
        <f t="shared" si="8"/>
        <v>0</v>
      </c>
    </row>
    <row r="47" ht="15.75" customHeight="1">
      <c r="A47" s="3" t="s">
        <v>56</v>
      </c>
      <c r="B47" s="3">
        <v>0.1</v>
      </c>
      <c r="C47" s="3">
        <v>44.0</v>
      </c>
      <c r="D47" s="3">
        <v>24.0</v>
      </c>
      <c r="E47" s="3">
        <v>8.0</v>
      </c>
      <c r="M47" s="3">
        <f t="shared" ref="M47:P47" si="53">SQRT(($B47-H$3)^2+($C47-H$4)^2+($D47-H$5)^2+($E47-H$6)^2)</f>
        <v>45.64442682</v>
      </c>
      <c r="N47" s="3">
        <f t="shared" si="53"/>
        <v>37.13589073</v>
      </c>
      <c r="O47" s="3">
        <f t="shared" si="53"/>
        <v>100.8619353</v>
      </c>
      <c r="P47" s="3">
        <f t="shared" si="53"/>
        <v>194.6811988</v>
      </c>
      <c r="Q47" s="3" t="str">
        <f t="shared" si="6"/>
        <v>S2</v>
      </c>
      <c r="R47" s="4">
        <v>47.0</v>
      </c>
      <c r="S47" s="3" t="str">
        <f t="shared" si="7"/>
        <v>S2</v>
      </c>
      <c r="T47" s="3">
        <f t="shared" si="8"/>
        <v>0</v>
      </c>
    </row>
    <row r="48" ht="15.75" customHeight="1">
      <c r="A48" s="3" t="s">
        <v>57</v>
      </c>
      <c r="B48" s="3">
        <v>7.0</v>
      </c>
      <c r="C48" s="3">
        <v>100.0</v>
      </c>
      <c r="D48" s="3">
        <v>58.0</v>
      </c>
      <c r="E48" s="3">
        <v>16.0</v>
      </c>
      <c r="M48" s="3">
        <f t="shared" ref="M48:P48" si="54">SQRT(($B48-H$3)^2+($C48-H$4)^2+($D48-H$5)^2+($E48-H$6)^2)</f>
        <v>91.76516605</v>
      </c>
      <c r="N48" s="3">
        <f t="shared" si="54"/>
        <v>43.0981208</v>
      </c>
      <c r="O48" s="3">
        <f t="shared" si="54"/>
        <v>35.39604498</v>
      </c>
      <c r="P48" s="3">
        <f t="shared" si="54"/>
        <v>134.1655237</v>
      </c>
      <c r="Q48" s="3" t="str">
        <f t="shared" si="6"/>
        <v>S3</v>
      </c>
      <c r="R48" s="4">
        <v>48.0</v>
      </c>
      <c r="S48" s="3" t="str">
        <f t="shared" si="7"/>
        <v>S3</v>
      </c>
      <c r="T48" s="3">
        <f t="shared" si="8"/>
        <v>0</v>
      </c>
    </row>
    <row r="49" ht="15.75" customHeight="1">
      <c r="A49" s="3" t="s">
        <v>58</v>
      </c>
      <c r="B49" s="3">
        <v>1.0</v>
      </c>
      <c r="C49" s="3">
        <v>62.0</v>
      </c>
      <c r="D49" s="3">
        <v>73.0</v>
      </c>
      <c r="E49" s="3">
        <v>24.0</v>
      </c>
      <c r="M49" s="3">
        <f t="shared" ref="M49:P49" si="55">SQRT(($B49-H$3)^2+($C49-H$4)^2+($D49-H$5)^2+($E49-H$6)^2)</f>
        <v>58.55771256</v>
      </c>
      <c r="N49" s="3">
        <f t="shared" si="55"/>
        <v>18.2112058</v>
      </c>
      <c r="O49" s="3">
        <f t="shared" si="55"/>
        <v>72.42292455</v>
      </c>
      <c r="P49" s="3">
        <f t="shared" si="55"/>
        <v>172.1700631</v>
      </c>
      <c r="Q49" s="3" t="str">
        <f t="shared" si="6"/>
        <v>S2</v>
      </c>
      <c r="R49" s="4">
        <v>49.0</v>
      </c>
      <c r="S49" s="3" t="str">
        <f t="shared" si="7"/>
        <v>S2</v>
      </c>
      <c r="T49" s="3">
        <f t="shared" si="8"/>
        <v>0</v>
      </c>
    </row>
    <row r="50" ht="15.75" customHeight="1">
      <c r="A50" s="3" t="s">
        <v>59</v>
      </c>
      <c r="B50" s="3">
        <v>5.0</v>
      </c>
      <c r="C50" s="3">
        <v>65.0</v>
      </c>
      <c r="D50" s="3">
        <v>34.0</v>
      </c>
      <c r="E50" s="3">
        <v>9.0</v>
      </c>
      <c r="M50" s="3">
        <f t="shared" ref="M50:P50" si="56">SQRT(($B50-H$3)^2+($C50-H$4)^2+($D50-H$5)^2+($E50-H$6)^2)</f>
        <v>59.45154077</v>
      </c>
      <c r="N50" s="3">
        <f t="shared" si="56"/>
        <v>25.99008234</v>
      </c>
      <c r="O50" s="3">
        <f t="shared" si="56"/>
        <v>77.43177642</v>
      </c>
      <c r="P50" s="3">
        <f t="shared" si="56"/>
        <v>172.0318551</v>
      </c>
      <c r="Q50" s="3" t="str">
        <f t="shared" si="6"/>
        <v>S2</v>
      </c>
      <c r="R50" s="4">
        <v>50.0</v>
      </c>
      <c r="S50" s="3" t="str">
        <f t="shared" si="7"/>
        <v>S2</v>
      </c>
      <c r="T50" s="3">
        <f t="shared" si="8"/>
        <v>0</v>
      </c>
    </row>
    <row r="51" ht="15.75" customHeight="1">
      <c r="A51" s="3" t="s">
        <v>60</v>
      </c>
      <c r="B51" s="3">
        <v>0.0</v>
      </c>
      <c r="C51" s="3">
        <v>0.1</v>
      </c>
      <c r="D51" s="3">
        <v>60.0</v>
      </c>
      <c r="E51" s="3">
        <v>11.0</v>
      </c>
      <c r="M51" s="3">
        <f t="shared" ref="M51:P51" si="57">SQRT(($B51-H$3)^2+($C51-H$4)^2+($D51-H$5)^2+($E51-H$6)^2)</f>
        <v>11.53549739</v>
      </c>
      <c r="N51" s="3">
        <f t="shared" si="57"/>
        <v>57.28544015</v>
      </c>
      <c r="O51" s="3">
        <f t="shared" si="57"/>
        <v>134.4579116</v>
      </c>
      <c r="P51" s="3">
        <f t="shared" si="57"/>
        <v>234.2787669</v>
      </c>
      <c r="Q51" s="3" t="str">
        <f t="shared" si="6"/>
        <v>S1</v>
      </c>
      <c r="R51" s="4">
        <v>51.0</v>
      </c>
      <c r="S51" s="3" t="str">
        <f t="shared" si="7"/>
        <v>S1</v>
      </c>
      <c r="T51" s="3">
        <f t="shared" si="8"/>
        <v>0</v>
      </c>
    </row>
    <row r="52" ht="15.75" customHeight="1">
      <c r="A52" s="3" t="s">
        <v>61</v>
      </c>
      <c r="B52" s="3">
        <v>6.0</v>
      </c>
      <c r="C52" s="3">
        <v>143.0</v>
      </c>
      <c r="D52" s="3">
        <v>51.0</v>
      </c>
      <c r="E52" s="3">
        <v>11.0</v>
      </c>
      <c r="M52" s="3">
        <f t="shared" ref="M52:P52" si="58">SQRT(($B52-H$3)^2+($C52-H$4)^2+($D52-H$5)^2+($E52-H$6)^2)</f>
        <v>134.4203322</v>
      </c>
      <c r="N52" s="3">
        <f t="shared" si="58"/>
        <v>86.34609439</v>
      </c>
      <c r="O52" s="3">
        <f t="shared" si="58"/>
        <v>21.16790023</v>
      </c>
      <c r="P52" s="3">
        <f t="shared" si="58"/>
        <v>92.84758193</v>
      </c>
      <c r="Q52" s="3" t="str">
        <f t="shared" si="6"/>
        <v>S3</v>
      </c>
      <c r="R52" s="4">
        <v>52.0</v>
      </c>
      <c r="S52" s="3" t="str">
        <f t="shared" si="7"/>
        <v>S3</v>
      </c>
      <c r="T52" s="3">
        <f t="shared" si="8"/>
        <v>0</v>
      </c>
    </row>
    <row r="53" ht="15.75" customHeight="1">
      <c r="M53" s="3">
        <f t="shared" ref="M53:P53" si="59">SQRT(($B53-H$3)^2+($C53-H$4)^2+($D53-H$5)^2+($E53-H$6)^2)</f>
        <v>54.51775582</v>
      </c>
      <c r="N53" s="3">
        <f t="shared" si="59"/>
        <v>82.76600542</v>
      </c>
      <c r="O53" s="3">
        <f t="shared" si="59"/>
        <v>151.4631308</v>
      </c>
      <c r="P53" s="3">
        <f t="shared" si="59"/>
        <v>243.5592372</v>
      </c>
      <c r="Q53" s="3" t="str">
        <f t="shared" si="6"/>
        <v>S1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1:K1"/>
    <mergeCell ref="M1:P1"/>
    <mergeCell ref="G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8.71"/>
    <col customWidth="1" min="4" max="4" width="15.57"/>
    <col customWidth="1" min="5" max="6" width="8.71"/>
    <col customWidth="1" min="7" max="7" width="15.57"/>
    <col customWidth="1" min="8" max="15" width="8.71"/>
    <col customWidth="1" min="16" max="16" width="11.29"/>
    <col customWidth="1" min="17" max="17" width="10.0"/>
    <col customWidth="1" min="18" max="18" width="8.71"/>
    <col customWidth="1" min="19" max="19" width="16.57"/>
    <col customWidth="1" min="20" max="26" width="8.71"/>
  </cols>
  <sheetData>
    <row r="1">
      <c r="F1" s="4" t="s">
        <v>69</v>
      </c>
      <c r="G1" s="1" t="s">
        <v>0</v>
      </c>
      <c r="M1" s="2" t="s">
        <v>1</v>
      </c>
      <c r="Q1" s="2"/>
      <c r="R1" s="4">
        <v>1.0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M2" s="3" t="str">
        <f t="shared" ref="M2:P2" si="1">H2</f>
        <v>S1</v>
      </c>
      <c r="N2" s="3" t="str">
        <f t="shared" si="1"/>
        <v>S2</v>
      </c>
      <c r="O2" s="3" t="str">
        <f t="shared" si="1"/>
        <v>S3</v>
      </c>
      <c r="P2" s="3" t="str">
        <f t="shared" si="1"/>
        <v>S4</v>
      </c>
      <c r="Q2" s="4" t="s">
        <v>7</v>
      </c>
      <c r="R2" s="4">
        <v>2.0</v>
      </c>
      <c r="S2" s="4" t="s">
        <v>63</v>
      </c>
      <c r="T2" s="4" t="s">
        <v>64</v>
      </c>
    </row>
    <row r="3">
      <c r="A3" s="3" t="s">
        <v>12</v>
      </c>
      <c r="B3" s="3">
        <v>12.0</v>
      </c>
      <c r="C3" s="3">
        <v>193.0</v>
      </c>
      <c r="D3" s="3">
        <v>51.0</v>
      </c>
      <c r="E3" s="3">
        <v>21.0</v>
      </c>
      <c r="F3" s="4">
        <v>2.0</v>
      </c>
      <c r="G3" s="3" t="s">
        <v>3</v>
      </c>
      <c r="H3" s="3">
        <f t="shared" ref="H3:K3" si="2">AVERAGEIFS(INDIRECT($F$1 &amp; "!" &amp; ADDRESS(3, $F3,1)) : INDIRECT($F$1 &amp; "!" &amp; ADDRESS(52, $F3, 1)), INDIRECT($F$1 &amp; "!$Q$3"): INDIRECT($F$1 &amp; "!$Q$52"),H$2)</f>
        <v>2.31</v>
      </c>
      <c r="I3" s="3">
        <f t="shared" si="2"/>
        <v>3.009090909</v>
      </c>
      <c r="J3" s="3">
        <f t="shared" si="2"/>
        <v>7.8</v>
      </c>
      <c r="K3" s="3">
        <f t="shared" si="2"/>
        <v>10.28571429</v>
      </c>
      <c r="M3" s="3">
        <f t="shared" ref="M3:P3" si="3">SQRT(($B3-H$3)^2+($C3-H$4)^2+($D3-H$5)^2+($E3-H$6)^2)</f>
        <v>184.8813287</v>
      </c>
      <c r="N3" s="3">
        <f t="shared" si="3"/>
        <v>136.4894029</v>
      </c>
      <c r="O3" s="3">
        <f t="shared" si="3"/>
        <v>61.63180997</v>
      </c>
      <c r="P3" s="3">
        <f t="shared" si="3"/>
        <v>42.68943376</v>
      </c>
      <c r="Q3" s="3" t="str">
        <f t="shared" ref="Q3:Q53" si="6">INDEX($M$2:$P$2,1,MATCH(MIN(M3:P3),M3:P3,0))</f>
        <v>S4</v>
      </c>
      <c r="R3" s="4">
        <v>3.0</v>
      </c>
      <c r="S3" s="3" t="str">
        <f t="shared" ref="S3:S52" si="7">INDIRECT($F$1 &amp; "!Q" &amp; R3)</f>
        <v>S4</v>
      </c>
      <c r="T3" s="3">
        <f t="shared" ref="T3:T52" si="8">IF(Q3=S3,0,1)</f>
        <v>0</v>
      </c>
    </row>
    <row r="4">
      <c r="A4" s="3" t="s">
        <v>13</v>
      </c>
      <c r="B4" s="3">
        <v>9.0</v>
      </c>
      <c r="C4" s="3">
        <v>222.0</v>
      </c>
      <c r="D4" s="3">
        <v>39.0</v>
      </c>
      <c r="E4" s="3">
        <v>42.0</v>
      </c>
      <c r="F4" s="4">
        <v>3.0</v>
      </c>
      <c r="G4" s="3" t="s">
        <v>4</v>
      </c>
      <c r="H4" s="3">
        <f t="shared" ref="H4:K4" si="4">AVERAGEIFS(INDIRECT($F$1 &amp; "!" &amp; ADDRESS(3, $F4,1)) : INDIRECT($F$1 &amp; "!" &amp; ADDRESS(52, $F4, 1)), INDIRECT($F$1 &amp; "!$Q$3"): INDIRECT($F$1 &amp; "!$Q$52"),H$2)</f>
        <v>8.64</v>
      </c>
      <c r="I4" s="3">
        <f t="shared" si="4"/>
        <v>57.09090909</v>
      </c>
      <c r="J4" s="3">
        <f t="shared" si="4"/>
        <v>133.8</v>
      </c>
      <c r="K4" s="3">
        <f t="shared" si="4"/>
        <v>233.5714286</v>
      </c>
      <c r="M4" s="3">
        <f t="shared" ref="M4:P4" si="5">SQRT(($B4-H$3)^2+($C4-H$4)^2+($D4-H$5)^2+($E4-H$6)^2)</f>
        <v>216.1037846</v>
      </c>
      <c r="N4" s="3">
        <f t="shared" si="5"/>
        <v>168.1953756</v>
      </c>
      <c r="O4" s="3">
        <f t="shared" si="5"/>
        <v>95.25691576</v>
      </c>
      <c r="P4" s="3">
        <f t="shared" si="5"/>
        <v>30.12761971</v>
      </c>
      <c r="Q4" s="3" t="str">
        <f t="shared" si="6"/>
        <v>S4</v>
      </c>
      <c r="R4" s="4">
        <v>4.0</v>
      </c>
      <c r="S4" s="3" t="str">
        <f t="shared" si="7"/>
        <v>S4</v>
      </c>
      <c r="T4" s="3">
        <f t="shared" si="8"/>
        <v>0</v>
      </c>
    </row>
    <row r="5">
      <c r="A5" s="3" t="s">
        <v>14</v>
      </c>
      <c r="B5" s="3">
        <v>6.0</v>
      </c>
      <c r="C5" s="3">
        <v>226.0</v>
      </c>
      <c r="D5" s="3">
        <v>72.0</v>
      </c>
      <c r="E5" s="3">
        <v>30.0</v>
      </c>
      <c r="F5" s="4">
        <v>4.0</v>
      </c>
      <c r="G5" s="3" t="s">
        <v>5</v>
      </c>
      <c r="H5" s="3">
        <f t="shared" ref="H5:K5" si="9">AVERAGEIFS(INDIRECT($F$1 &amp; "!" &amp; ADDRESS(3, $F5,1)) : INDIRECT($F$1 &amp; "!" &amp; ADDRESS(52, $F5, 1)), INDIRECT($F$1 &amp; "!$Q$3"): INDIRECT($F$1 &amp; "!$Q$52"),H$2)</f>
        <v>52.6</v>
      </c>
      <c r="I5" s="3">
        <f t="shared" si="9"/>
        <v>57.81818182</v>
      </c>
      <c r="J5" s="3">
        <f t="shared" si="9"/>
        <v>67.6</v>
      </c>
      <c r="K5" s="3">
        <f t="shared" si="9"/>
        <v>62.57142857</v>
      </c>
      <c r="M5" s="3">
        <f t="shared" ref="M5:P5" si="10">SQRT(($B5-H$3)^2+($C5-H$4)^2+($D5-H$5)^2+($E5-H$6)^2)</f>
        <v>219.0634285</v>
      </c>
      <c r="N5" s="3">
        <f t="shared" si="10"/>
        <v>170.1526395</v>
      </c>
      <c r="O5" s="3">
        <f t="shared" si="10"/>
        <v>92.84115467</v>
      </c>
      <c r="P5" s="3">
        <f t="shared" si="10"/>
        <v>13.11332085</v>
      </c>
      <c r="Q5" s="3" t="str">
        <f t="shared" si="6"/>
        <v>S4</v>
      </c>
      <c r="R5" s="4">
        <v>5.0</v>
      </c>
      <c r="S5" s="3" t="str">
        <f t="shared" si="7"/>
        <v>S4</v>
      </c>
      <c r="T5" s="3">
        <f t="shared" si="8"/>
        <v>0</v>
      </c>
    </row>
    <row r="6">
      <c r="A6" s="3" t="s">
        <v>15</v>
      </c>
      <c r="B6" s="3">
        <v>8.0</v>
      </c>
      <c r="C6" s="3">
        <v>177.0</v>
      </c>
      <c r="D6" s="3">
        <v>50.0</v>
      </c>
      <c r="E6" s="3">
        <v>17.0</v>
      </c>
      <c r="F6" s="4">
        <v>5.0</v>
      </c>
      <c r="G6" s="3" t="s">
        <v>6</v>
      </c>
      <c r="H6" s="3">
        <f t="shared" ref="H6:K6" si="11">AVERAGEIFS(INDIRECT($F$1 &amp; "!" &amp; ADDRESS(3, $F6,1)) : INDIRECT($F$1 &amp; "!" &amp; ADDRESS(52, $F6, 1)), INDIRECT($F$1 &amp; "!$Q$3"): INDIRECT($F$1 &amp; "!$Q$52"),H$2)</f>
        <v>11.2</v>
      </c>
      <c r="I6" s="3">
        <f t="shared" si="11"/>
        <v>15.45454545</v>
      </c>
      <c r="J6" s="3">
        <f t="shared" si="11"/>
        <v>20.2</v>
      </c>
      <c r="K6" s="3">
        <f t="shared" si="11"/>
        <v>27.28571429</v>
      </c>
      <c r="M6" s="3">
        <f t="shared" ref="M6:P6" si="12">SQRT(($B6-H$3)^2+($C6-H$4)^2+($D6-H$5)^2+($E6-H$6)^2)</f>
        <v>168.5759938</v>
      </c>
      <c r="N6" s="3">
        <f t="shared" si="12"/>
        <v>120.2772283</v>
      </c>
      <c r="O6" s="3">
        <f t="shared" si="12"/>
        <v>46.75767317</v>
      </c>
      <c r="P6" s="3">
        <f t="shared" si="12"/>
        <v>58.90150894</v>
      </c>
      <c r="Q6" s="3" t="str">
        <f t="shared" si="6"/>
        <v>S3</v>
      </c>
      <c r="R6" s="4">
        <v>6.0</v>
      </c>
      <c r="S6" s="3" t="str">
        <f t="shared" si="7"/>
        <v>S3</v>
      </c>
      <c r="T6" s="3">
        <f t="shared" si="8"/>
        <v>0</v>
      </c>
    </row>
    <row r="7">
      <c r="A7" s="3" t="s">
        <v>16</v>
      </c>
      <c r="B7" s="3">
        <v>7.0</v>
      </c>
      <c r="C7" s="3">
        <v>235.0</v>
      </c>
      <c r="D7" s="3">
        <v>86.0</v>
      </c>
      <c r="E7" s="3">
        <v>39.0</v>
      </c>
      <c r="M7" s="3">
        <f t="shared" ref="M7:P7" si="13">SQRT(($B7-H$3)^2+($C7-H$4)^2+($D7-H$5)^2+($E7-H$6)^2)</f>
        <v>230.5412017</v>
      </c>
      <c r="N7" s="3">
        <f t="shared" si="13"/>
        <v>181.7035368</v>
      </c>
      <c r="O7" s="3">
        <f t="shared" si="13"/>
        <v>104.5661513</v>
      </c>
      <c r="P7" s="3">
        <f t="shared" si="13"/>
        <v>26.43783621</v>
      </c>
      <c r="Q7" s="3" t="str">
        <f t="shared" si="6"/>
        <v>S4</v>
      </c>
      <c r="R7" s="4">
        <v>7.0</v>
      </c>
      <c r="S7" s="3" t="str">
        <f t="shared" si="7"/>
        <v>S4</v>
      </c>
      <c r="T7" s="3">
        <f t="shared" si="8"/>
        <v>0</v>
      </c>
    </row>
    <row r="8">
      <c r="A8" s="3" t="s">
        <v>17</v>
      </c>
      <c r="B8" s="3">
        <v>5.0</v>
      </c>
      <c r="C8" s="3">
        <v>170.0</v>
      </c>
      <c r="D8" s="3">
        <v>78.0</v>
      </c>
      <c r="E8" s="3">
        <v>37.0</v>
      </c>
      <c r="M8" s="3">
        <f t="shared" ref="M8:P8" si="14">SQRT(($B8-H$3)^2+($C8-H$4)^2+($D8-H$5)^2+($E8-H$6)^2)</f>
        <v>165.3937293</v>
      </c>
      <c r="N8" s="3">
        <f t="shared" si="14"/>
        <v>116.7216301</v>
      </c>
      <c r="O8" s="3">
        <f t="shared" si="14"/>
        <v>41.3361827</v>
      </c>
      <c r="P8" s="3">
        <f t="shared" si="14"/>
        <v>66.34510886</v>
      </c>
      <c r="Q8" s="3" t="str">
        <f t="shared" si="6"/>
        <v>S3</v>
      </c>
      <c r="R8" s="4">
        <v>8.0</v>
      </c>
      <c r="S8" s="3" t="str">
        <f t="shared" si="7"/>
        <v>S3</v>
      </c>
      <c r="T8" s="3">
        <f t="shared" si="8"/>
        <v>0</v>
      </c>
    </row>
    <row r="9">
      <c r="A9" s="3" t="s">
        <v>18</v>
      </c>
      <c r="B9" s="3">
        <v>0.0</v>
      </c>
      <c r="C9" s="3">
        <v>35.0</v>
      </c>
      <c r="D9" s="3">
        <v>75.0</v>
      </c>
      <c r="E9" s="3">
        <v>7.0</v>
      </c>
      <c r="M9" s="3">
        <f t="shared" ref="M9:P9" si="15">SQRT(($B9-H$3)^2+($C9-H$4)^2+($D9-H$5)^2+($E9-H$6)^2)</f>
        <v>34.9225672</v>
      </c>
      <c r="N9" s="3">
        <f t="shared" si="15"/>
        <v>29.38974494</v>
      </c>
      <c r="O9" s="3">
        <f t="shared" si="15"/>
        <v>100.2560721</v>
      </c>
      <c r="P9" s="3">
        <f t="shared" si="15"/>
        <v>200.2558058</v>
      </c>
      <c r="Q9" s="3" t="str">
        <f t="shared" si="6"/>
        <v>S2</v>
      </c>
      <c r="R9" s="4">
        <v>9.0</v>
      </c>
      <c r="S9" s="3" t="str">
        <f t="shared" si="7"/>
        <v>S2</v>
      </c>
      <c r="T9" s="3">
        <f t="shared" si="8"/>
        <v>0</v>
      </c>
    </row>
    <row r="10">
      <c r="A10" s="3" t="s">
        <v>19</v>
      </c>
      <c r="B10" s="3">
        <v>4.0</v>
      </c>
      <c r="C10" s="3">
        <v>198.0</v>
      </c>
      <c r="D10" s="3">
        <v>70.0</v>
      </c>
      <c r="E10" s="3">
        <v>15.0</v>
      </c>
      <c r="G10" s="4" t="s">
        <v>65</v>
      </c>
      <c r="I10" s="3">
        <f>SUM(T3:T52)</f>
        <v>0</v>
      </c>
      <c r="M10" s="3">
        <f t="shared" ref="M10:P10" si="16">SQRT(($B10-H$3)^2+($C10-H$4)^2+($D10-H$5)^2+($E10-H$6)^2)</f>
        <v>190.2032221</v>
      </c>
      <c r="N10" s="3">
        <f t="shared" si="16"/>
        <v>141.4388812</v>
      </c>
      <c r="O10" s="3">
        <f t="shared" si="16"/>
        <v>64.56686457</v>
      </c>
      <c r="P10" s="3">
        <f t="shared" si="16"/>
        <v>38.87105843</v>
      </c>
      <c r="Q10" s="3" t="str">
        <f t="shared" si="6"/>
        <v>S4</v>
      </c>
      <c r="R10" s="4">
        <v>10.0</v>
      </c>
      <c r="S10" s="3" t="str">
        <f t="shared" si="7"/>
        <v>S4</v>
      </c>
      <c r="T10" s="3">
        <f t="shared" si="8"/>
        <v>0</v>
      </c>
    </row>
    <row r="11">
      <c r="A11" s="3" t="s">
        <v>20</v>
      </c>
      <c r="B11" s="3">
        <v>13.0</v>
      </c>
      <c r="C11" s="3">
        <v>259.0</v>
      </c>
      <c r="D11" s="3">
        <v>74.0</v>
      </c>
      <c r="E11" s="3">
        <v>30.0</v>
      </c>
      <c r="M11" s="3">
        <f t="shared" ref="M11:P11" si="17">SQRT(($B11-H$3)^2+($C11-H$4)^2+($D11-H$5)^2+($E11-H$6)^2)</f>
        <v>252.2019145</v>
      </c>
      <c r="N11" s="3">
        <f t="shared" si="17"/>
        <v>203.3236847</v>
      </c>
      <c r="O11" s="3">
        <f t="shared" si="17"/>
        <v>125.8534068</v>
      </c>
      <c r="P11" s="3">
        <f t="shared" si="17"/>
        <v>28.14176938</v>
      </c>
      <c r="Q11" s="3" t="str">
        <f t="shared" si="6"/>
        <v>S4</v>
      </c>
      <c r="R11" s="4">
        <v>11.0</v>
      </c>
      <c r="S11" s="3" t="str">
        <f t="shared" si="7"/>
        <v>S4</v>
      </c>
      <c r="T11" s="3">
        <f t="shared" si="8"/>
        <v>0</v>
      </c>
    </row>
    <row r="12">
      <c r="A12" s="3" t="s">
        <v>21</v>
      </c>
      <c r="B12" s="3">
        <v>15.0</v>
      </c>
      <c r="C12" s="3">
        <v>136.0</v>
      </c>
      <c r="D12" s="3">
        <v>52.0</v>
      </c>
      <c r="E12" s="3">
        <v>24.0</v>
      </c>
      <c r="M12" s="3">
        <f t="shared" ref="M12:P12" si="18">SQRT(($B12-H$3)^2+($C12-H$4)^2+($D12-H$5)^2+($E12-H$6)^2)</f>
        <v>128.6305007</v>
      </c>
      <c r="N12" s="3">
        <f t="shared" si="18"/>
        <v>80.48169085</v>
      </c>
      <c r="O12" s="3">
        <f t="shared" si="18"/>
        <v>17.73358396</v>
      </c>
      <c r="P12" s="3">
        <f t="shared" si="18"/>
        <v>98.31052428</v>
      </c>
      <c r="Q12" s="3" t="str">
        <f t="shared" si="6"/>
        <v>S3</v>
      </c>
      <c r="R12" s="4">
        <v>12.0</v>
      </c>
      <c r="S12" s="3" t="str">
        <f t="shared" si="7"/>
        <v>S3</v>
      </c>
      <c r="T12" s="3">
        <f t="shared" si="8"/>
        <v>0</v>
      </c>
    </row>
    <row r="13">
      <c r="A13" s="3" t="s">
        <v>22</v>
      </c>
      <c r="B13" s="3">
        <v>5.0</v>
      </c>
      <c r="C13" s="3">
        <v>32.0</v>
      </c>
      <c r="D13" s="3">
        <v>82.0</v>
      </c>
      <c r="E13" s="3">
        <v>17.0</v>
      </c>
      <c r="M13" s="3">
        <f t="shared" ref="M13:P13" si="19">SQRT(($B13-H$3)^2+($C13-H$4)^2+($D13-H$5)^2+($E13-H$6)^2)</f>
        <v>38.09101863</v>
      </c>
      <c r="N13" s="3">
        <f t="shared" si="19"/>
        <v>34.93803369</v>
      </c>
      <c r="O13" s="3">
        <f t="shared" si="19"/>
        <v>102.9013119</v>
      </c>
      <c r="P13" s="3">
        <f t="shared" si="19"/>
        <v>202.8355119</v>
      </c>
      <c r="Q13" s="3" t="str">
        <f t="shared" si="6"/>
        <v>S2</v>
      </c>
      <c r="R13" s="4">
        <v>13.0</v>
      </c>
      <c r="S13" s="3" t="str">
        <f t="shared" si="7"/>
        <v>S2</v>
      </c>
      <c r="T13" s="3">
        <f t="shared" si="8"/>
        <v>0</v>
      </c>
    </row>
    <row r="14">
      <c r="A14" s="3" t="s">
        <v>23</v>
      </c>
      <c r="B14" s="3">
        <v>0.0</v>
      </c>
      <c r="C14" s="3">
        <v>54.0</v>
      </c>
      <c r="D14" s="3">
        <v>47.0</v>
      </c>
      <c r="E14" s="3">
        <v>12.0</v>
      </c>
      <c r="M14" s="3">
        <f t="shared" ref="M14:P14" si="20">SQRT(($B14-H$3)^2+($C14-H$4)^2+($D14-H$5)^2+($E14-H$6)^2)</f>
        <v>45.76970286</v>
      </c>
      <c r="N14" s="3">
        <f t="shared" si="20"/>
        <v>12.14805702</v>
      </c>
      <c r="O14" s="3">
        <f t="shared" si="20"/>
        <v>83.1894224</v>
      </c>
      <c r="P14" s="3">
        <f t="shared" si="20"/>
        <v>181.1844815</v>
      </c>
      <c r="Q14" s="3" t="str">
        <f t="shared" si="6"/>
        <v>S2</v>
      </c>
      <c r="R14" s="4">
        <v>14.0</v>
      </c>
      <c r="S14" s="3" t="str">
        <f t="shared" si="7"/>
        <v>S2</v>
      </c>
      <c r="T14" s="3">
        <f t="shared" si="8"/>
        <v>0</v>
      </c>
    </row>
    <row r="15">
      <c r="A15" s="3" t="s">
        <v>24</v>
      </c>
      <c r="B15" s="3">
        <v>10.0</v>
      </c>
      <c r="C15" s="3">
        <v>218.0</v>
      </c>
      <c r="D15" s="3">
        <v>79.0</v>
      </c>
      <c r="E15" s="3">
        <v>20.0</v>
      </c>
      <c r="M15" s="3">
        <f t="shared" ref="M15:P15" si="21">SQRT(($B15-H$3)^2+($C15-H$4)^2+($D15-H$5)^2+($E15-H$6)^2)</f>
        <v>211.3413015</v>
      </c>
      <c r="N15" s="3">
        <f t="shared" si="21"/>
        <v>162.5113501</v>
      </c>
      <c r="O15" s="3">
        <f t="shared" si="21"/>
        <v>84.99694112</v>
      </c>
      <c r="P15" s="3">
        <f t="shared" si="21"/>
        <v>23.78088754</v>
      </c>
      <c r="Q15" s="3" t="str">
        <f t="shared" si="6"/>
        <v>S4</v>
      </c>
      <c r="R15" s="4">
        <v>15.0</v>
      </c>
      <c r="S15" s="3" t="str">
        <f t="shared" si="7"/>
        <v>S4</v>
      </c>
      <c r="T15" s="3">
        <f t="shared" si="8"/>
        <v>0</v>
      </c>
    </row>
    <row r="16">
      <c r="A16" s="3" t="s">
        <v>25</v>
      </c>
      <c r="B16" s="3">
        <v>7.0</v>
      </c>
      <c r="C16" s="3">
        <v>26.0</v>
      </c>
      <c r="D16" s="3">
        <v>65.0</v>
      </c>
      <c r="E16" s="3">
        <v>19.0</v>
      </c>
      <c r="M16" s="3">
        <f t="shared" ref="M16:P16" si="22">SQRT(($B16-H$3)^2+($C16-H$4)^2+($D16-H$5)^2+($E16-H$6)^2)</f>
        <v>23.19408761</v>
      </c>
      <c r="N16" s="3">
        <f t="shared" si="22"/>
        <v>32.3530639</v>
      </c>
      <c r="O16" s="3">
        <f t="shared" si="22"/>
        <v>107.8409941</v>
      </c>
      <c r="P16" s="3">
        <f t="shared" si="22"/>
        <v>207.7769114</v>
      </c>
      <c r="Q16" s="3" t="str">
        <f t="shared" si="6"/>
        <v>S1</v>
      </c>
      <c r="R16" s="4">
        <v>16.0</v>
      </c>
      <c r="S16" s="3" t="str">
        <f t="shared" si="7"/>
        <v>S1</v>
      </c>
      <c r="T16" s="3">
        <f t="shared" si="8"/>
        <v>0</v>
      </c>
    </row>
    <row r="17">
      <c r="A17" s="3" t="s">
        <v>26</v>
      </c>
      <c r="B17" s="3">
        <v>2.0</v>
      </c>
      <c r="C17" s="3">
        <v>0.1</v>
      </c>
      <c r="D17" s="3">
        <v>53.0</v>
      </c>
      <c r="E17" s="3">
        <v>9.0</v>
      </c>
      <c r="M17" s="3">
        <f t="shared" ref="M17:P17" si="23">SQRT(($B17-H$3)^2+($C17-H$4)^2+($D17-H$5)^2+($E17-H$6)^2)</f>
        <v>8.833328931</v>
      </c>
      <c r="N17" s="3">
        <f t="shared" si="23"/>
        <v>57.56611865</v>
      </c>
      <c r="O17" s="3">
        <f t="shared" si="23"/>
        <v>135.0848992</v>
      </c>
      <c r="P17" s="3">
        <f t="shared" si="23"/>
        <v>234.5283365</v>
      </c>
      <c r="Q17" s="3" t="str">
        <f t="shared" si="6"/>
        <v>S1</v>
      </c>
      <c r="R17" s="4">
        <v>17.0</v>
      </c>
      <c r="S17" s="3" t="str">
        <f t="shared" si="7"/>
        <v>S1</v>
      </c>
      <c r="T17" s="3">
        <f t="shared" si="8"/>
        <v>0</v>
      </c>
    </row>
    <row r="18">
      <c r="A18" s="3" t="s">
        <v>27</v>
      </c>
      <c r="B18" s="3">
        <v>3.0</v>
      </c>
      <c r="C18" s="3">
        <v>80.0</v>
      </c>
      <c r="D18" s="3">
        <v>56.0</v>
      </c>
      <c r="E18" s="3">
        <v>16.0</v>
      </c>
      <c r="M18" s="3">
        <f t="shared" ref="M18:P18" si="24">SQRT(($B18-H$3)^2+($C18-H$4)^2+($D18-H$5)^2+($E18-H$6)^2)</f>
        <v>71.60534687</v>
      </c>
      <c r="N18" s="3">
        <f t="shared" si="24"/>
        <v>22.98760176</v>
      </c>
      <c r="O18" s="3">
        <f t="shared" si="24"/>
        <v>55.40469294</v>
      </c>
      <c r="P18" s="3">
        <f t="shared" si="24"/>
        <v>154.297817</v>
      </c>
      <c r="Q18" s="3" t="str">
        <f t="shared" si="6"/>
        <v>S2</v>
      </c>
      <c r="R18" s="4">
        <v>18.0</v>
      </c>
      <c r="S18" s="3" t="str">
        <f t="shared" si="7"/>
        <v>S2</v>
      </c>
      <c r="T18" s="3">
        <f t="shared" si="8"/>
        <v>0</v>
      </c>
    </row>
    <row r="19">
      <c r="A19" s="3" t="s">
        <v>28</v>
      </c>
      <c r="B19" s="3">
        <v>7.0</v>
      </c>
      <c r="C19" s="3">
        <v>70.0</v>
      </c>
      <c r="D19" s="3">
        <v>43.0</v>
      </c>
      <c r="E19" s="3">
        <v>15.0</v>
      </c>
      <c r="M19" s="3">
        <f t="shared" ref="M19:P19" si="25">SQRT(($B19-H$3)^2+($C19-H$4)^2+($D19-H$5)^2+($E19-H$6)^2)</f>
        <v>62.39908413</v>
      </c>
      <c r="N19" s="3">
        <f t="shared" si="25"/>
        <v>20.05884113</v>
      </c>
      <c r="O19" s="3">
        <f t="shared" si="25"/>
        <v>68.58046369</v>
      </c>
      <c r="P19" s="3">
        <f t="shared" si="25"/>
        <v>165.2282898</v>
      </c>
      <c r="Q19" s="3" t="str">
        <f t="shared" si="6"/>
        <v>S2</v>
      </c>
      <c r="R19" s="4">
        <v>19.0</v>
      </c>
      <c r="S19" s="3" t="str">
        <f t="shared" si="7"/>
        <v>S2</v>
      </c>
      <c r="T19" s="3">
        <f t="shared" si="8"/>
        <v>0</v>
      </c>
    </row>
    <row r="20">
      <c r="A20" s="3" t="s">
        <v>29</v>
      </c>
      <c r="B20" s="3">
        <v>15.0</v>
      </c>
      <c r="C20" s="3">
        <v>159.0</v>
      </c>
      <c r="D20" s="3">
        <v>61.0</v>
      </c>
      <c r="E20" s="3">
        <v>19.0</v>
      </c>
      <c r="M20" s="3">
        <f t="shared" ref="M20:P20" si="26">SQRT(($B20-H$3)^2+($C20-H$4)^2+($D20-H$5)^2+($E20-H$6)^2)</f>
        <v>151.3293286</v>
      </c>
      <c r="N20" s="3">
        <f t="shared" si="26"/>
        <v>102.722631</v>
      </c>
      <c r="O20" s="3">
        <f t="shared" si="26"/>
        <v>27.05328076</v>
      </c>
      <c r="P20" s="3">
        <f t="shared" si="26"/>
        <v>75.19471323</v>
      </c>
      <c r="Q20" s="3" t="str">
        <f t="shared" si="6"/>
        <v>S3</v>
      </c>
      <c r="R20" s="4">
        <v>20.0</v>
      </c>
      <c r="S20" s="3" t="str">
        <f t="shared" si="7"/>
        <v>S3</v>
      </c>
      <c r="T20" s="3">
        <f t="shared" si="8"/>
        <v>0</v>
      </c>
    </row>
    <row r="21" ht="15.75" customHeight="1">
      <c r="A21" s="3" t="s">
        <v>30</v>
      </c>
      <c r="B21" s="3">
        <v>1.0</v>
      </c>
      <c r="C21" s="3">
        <v>0.1</v>
      </c>
      <c r="D21" s="3">
        <v>45.0</v>
      </c>
      <c r="E21" s="3">
        <v>7.0</v>
      </c>
      <c r="M21" s="3">
        <f t="shared" ref="M21:P21" si="27">SQRT(($B21-H$3)^2+($C21-H$4)^2+($D21-H$5)^2+($E21-H$6)^2)</f>
        <v>12.2493959</v>
      </c>
      <c r="N21" s="3">
        <f t="shared" si="27"/>
        <v>59.05747446</v>
      </c>
      <c r="O21" s="3">
        <f t="shared" si="27"/>
        <v>136.4072212</v>
      </c>
      <c r="P21" s="3">
        <f t="shared" si="27"/>
        <v>235.192257</v>
      </c>
      <c r="Q21" s="3" t="str">
        <f t="shared" si="6"/>
        <v>S1</v>
      </c>
      <c r="R21" s="4">
        <v>21.0</v>
      </c>
      <c r="S21" s="3" t="str">
        <f t="shared" si="7"/>
        <v>S1</v>
      </c>
      <c r="T21" s="3">
        <f t="shared" si="8"/>
        <v>0</v>
      </c>
    </row>
    <row r="22" ht="15.75" customHeight="1">
      <c r="A22" s="3" t="s">
        <v>31</v>
      </c>
      <c r="B22" s="3">
        <v>10.0</v>
      </c>
      <c r="C22" s="3">
        <v>260.0</v>
      </c>
      <c r="D22" s="3">
        <v>63.0</v>
      </c>
      <c r="E22" s="3">
        <v>28.0</v>
      </c>
      <c r="M22" s="3">
        <f t="shared" ref="M22:P22" si="28">SQRT(($B22-H$3)^2+($C22-H$4)^2+($D22-H$5)^2+($E22-H$6)^2)</f>
        <v>252.2526228</v>
      </c>
      <c r="N22" s="3">
        <f t="shared" si="28"/>
        <v>203.482706</v>
      </c>
      <c r="O22" s="3">
        <f t="shared" si="28"/>
        <v>126.5435893</v>
      </c>
      <c r="P22" s="3">
        <f t="shared" si="28"/>
        <v>26.44323917</v>
      </c>
      <c r="Q22" s="3" t="str">
        <f t="shared" si="6"/>
        <v>S4</v>
      </c>
      <c r="R22" s="4">
        <v>22.0</v>
      </c>
      <c r="S22" s="3" t="str">
        <f t="shared" si="7"/>
        <v>S4</v>
      </c>
      <c r="T22" s="3">
        <f t="shared" si="8"/>
        <v>0</v>
      </c>
    </row>
    <row r="23" ht="15.75" customHeight="1">
      <c r="A23" s="3" t="s">
        <v>32</v>
      </c>
      <c r="B23" s="3">
        <v>2.0</v>
      </c>
      <c r="C23" s="3">
        <v>138.0</v>
      </c>
      <c r="D23" s="3">
        <v>82.0</v>
      </c>
      <c r="E23" s="3">
        <v>13.0</v>
      </c>
      <c r="M23" s="3">
        <f t="shared" ref="M23:P23" si="29">SQRT(($B23-H$3)^2+($C23-H$4)^2+($D23-H$5)^2+($E23-H$6)^2)</f>
        <v>132.6714201</v>
      </c>
      <c r="N23" s="3">
        <f t="shared" si="29"/>
        <v>84.48718471</v>
      </c>
      <c r="O23" s="3">
        <f t="shared" si="29"/>
        <v>17.62044267</v>
      </c>
      <c r="P23" s="3">
        <f t="shared" si="29"/>
        <v>98.91461995</v>
      </c>
      <c r="Q23" s="3" t="str">
        <f t="shared" si="6"/>
        <v>S3</v>
      </c>
      <c r="R23" s="4">
        <v>23.0</v>
      </c>
      <c r="S23" s="3" t="str">
        <f t="shared" si="7"/>
        <v>S3</v>
      </c>
      <c r="T23" s="3">
        <f t="shared" si="8"/>
        <v>0</v>
      </c>
    </row>
    <row r="24" ht="15.75" customHeight="1">
      <c r="A24" s="3" t="s">
        <v>33</v>
      </c>
      <c r="B24" s="3">
        <v>11.0</v>
      </c>
      <c r="C24" s="3">
        <v>251.0</v>
      </c>
      <c r="D24" s="3">
        <v>68.0</v>
      </c>
      <c r="E24" s="3">
        <v>35.0</v>
      </c>
      <c r="M24" s="3">
        <f t="shared" ref="M24:P24" si="30">SQRT(($B24-H$3)^2+($C24-H$4)^2+($D24-H$5)^2+($E24-H$6)^2)</f>
        <v>244.1669218</v>
      </c>
      <c r="N24" s="3">
        <f t="shared" si="30"/>
        <v>195.3209778</v>
      </c>
      <c r="O24" s="3">
        <f t="shared" si="30"/>
        <v>118.1747858</v>
      </c>
      <c r="P24" s="3">
        <f t="shared" si="30"/>
        <v>19.83040337</v>
      </c>
      <c r="Q24" s="3" t="str">
        <f t="shared" si="6"/>
        <v>S4</v>
      </c>
      <c r="R24" s="4">
        <v>24.0</v>
      </c>
      <c r="S24" s="3" t="str">
        <f t="shared" si="7"/>
        <v>S4</v>
      </c>
      <c r="T24" s="3">
        <f t="shared" si="8"/>
        <v>0</v>
      </c>
    </row>
    <row r="25" ht="15.75" customHeight="1">
      <c r="A25" s="3" t="s">
        <v>34</v>
      </c>
      <c r="B25" s="3">
        <v>1.0</v>
      </c>
      <c r="C25" s="3">
        <v>3.0</v>
      </c>
      <c r="D25" s="3">
        <v>62.0</v>
      </c>
      <c r="E25" s="3">
        <v>14.0</v>
      </c>
      <c r="M25" s="3">
        <f t="shared" ref="M25:P25" si="31">SQRT(($B25-H$3)^2+($C25-H$4)^2+($D25-H$5)^2+($E25-H$6)^2)</f>
        <v>11.38971905</v>
      </c>
      <c r="N25" s="3">
        <f t="shared" si="31"/>
        <v>54.30898819</v>
      </c>
      <c r="O25" s="3">
        <f t="shared" si="31"/>
        <v>131.2428284</v>
      </c>
      <c r="P25" s="3">
        <f t="shared" si="31"/>
        <v>231.1411796</v>
      </c>
      <c r="Q25" s="3" t="str">
        <f t="shared" si="6"/>
        <v>S1</v>
      </c>
      <c r="R25" s="4">
        <v>25.0</v>
      </c>
      <c r="S25" s="3" t="str">
        <f t="shared" si="7"/>
        <v>S1</v>
      </c>
      <c r="T25" s="3">
        <f t="shared" si="8"/>
        <v>0</v>
      </c>
    </row>
    <row r="26" ht="15.75" customHeight="1">
      <c r="A26" s="3" t="s">
        <v>35</v>
      </c>
      <c r="B26" s="3">
        <v>13.0</v>
      </c>
      <c r="C26" s="3">
        <v>209.0</v>
      </c>
      <c r="D26" s="3">
        <v>44.0</v>
      </c>
      <c r="E26" s="3">
        <v>13.0</v>
      </c>
      <c r="M26" s="3">
        <f t="shared" ref="M26:P26" si="32">SQRT(($B26-H$3)^2+($C26-H$4)^2+($D26-H$5)^2+($E26-H$6)^2)</f>
        <v>200.8372617</v>
      </c>
      <c r="N26" s="3">
        <f t="shared" si="32"/>
        <v>152.8828215</v>
      </c>
      <c r="O26" s="3">
        <f t="shared" si="32"/>
        <v>79.31506793</v>
      </c>
      <c r="P26" s="3">
        <f t="shared" si="32"/>
        <v>34.06027071</v>
      </c>
      <c r="Q26" s="3" t="str">
        <f t="shared" si="6"/>
        <v>S4</v>
      </c>
      <c r="R26" s="4">
        <v>26.0</v>
      </c>
      <c r="S26" s="3" t="str">
        <f t="shared" si="7"/>
        <v>S4</v>
      </c>
      <c r="T26" s="3">
        <f t="shared" si="8"/>
        <v>0</v>
      </c>
    </row>
    <row r="27" ht="15.75" customHeight="1">
      <c r="A27" s="3" t="s">
        <v>36</v>
      </c>
      <c r="B27" s="3">
        <v>8.0</v>
      </c>
      <c r="C27" s="3">
        <v>80.0</v>
      </c>
      <c r="D27" s="3">
        <v>61.0</v>
      </c>
      <c r="E27" s="3">
        <v>28.0</v>
      </c>
      <c r="M27" s="3">
        <f t="shared" ref="M27:P27" si="33">SQRT(($B27-H$3)^2+($C27-H$4)^2+($D27-H$5)^2+($E27-H$6)^2)</f>
        <v>74.00963248</v>
      </c>
      <c r="N27" s="3">
        <f t="shared" si="33"/>
        <v>26.78148645</v>
      </c>
      <c r="O27" s="3">
        <f t="shared" si="33"/>
        <v>54.76203064</v>
      </c>
      <c r="P27" s="3">
        <f t="shared" si="33"/>
        <v>153.5981372</v>
      </c>
      <c r="Q27" s="3" t="str">
        <f t="shared" si="6"/>
        <v>S2</v>
      </c>
      <c r="R27" s="4">
        <v>27.0</v>
      </c>
      <c r="S27" s="3" t="str">
        <f t="shared" si="7"/>
        <v>S2</v>
      </c>
      <c r="T27" s="3">
        <f t="shared" si="8"/>
        <v>0</v>
      </c>
    </row>
    <row r="28" ht="15.75" customHeight="1">
      <c r="A28" s="3" t="s">
        <v>37</v>
      </c>
      <c r="B28" s="3">
        <v>5.0</v>
      </c>
      <c r="C28" s="3">
        <v>19.0</v>
      </c>
      <c r="D28" s="3">
        <v>45.0</v>
      </c>
      <c r="E28" s="3">
        <v>15.0</v>
      </c>
      <c r="M28" s="3">
        <f t="shared" ref="M28:P28" si="34">SQRT(($B28-H$3)^2+($C28-H$4)^2+($D28-H$5)^2+($E28-H$6)^2)</f>
        <v>13.66622479</v>
      </c>
      <c r="N28" s="3">
        <f t="shared" si="34"/>
        <v>40.24168822</v>
      </c>
      <c r="O28" s="3">
        <f t="shared" si="34"/>
        <v>117.1523794</v>
      </c>
      <c r="P28" s="3">
        <f t="shared" si="34"/>
        <v>215.7047302</v>
      </c>
      <c r="Q28" s="3" t="str">
        <f t="shared" si="6"/>
        <v>S1</v>
      </c>
      <c r="R28" s="4">
        <v>28.0</v>
      </c>
      <c r="S28" s="3" t="str">
        <f t="shared" si="7"/>
        <v>S1</v>
      </c>
      <c r="T28" s="3">
        <f t="shared" si="8"/>
        <v>0</v>
      </c>
    </row>
    <row r="29" ht="15.75" customHeight="1">
      <c r="A29" s="3" t="s">
        <v>38</v>
      </c>
      <c r="B29" s="3">
        <v>4.0</v>
      </c>
      <c r="C29" s="3">
        <v>10.0</v>
      </c>
      <c r="D29" s="3">
        <v>56.0</v>
      </c>
      <c r="E29" s="3">
        <v>13.0</v>
      </c>
      <c r="M29" s="3">
        <f t="shared" ref="M29:P29" si="35">SQRT(($B29-H$3)^2+($C29-H$4)^2+($D29-H$5)^2+($E29-H$6)^2)</f>
        <v>4.416525784</v>
      </c>
      <c r="N29" s="3">
        <f t="shared" si="35"/>
        <v>47.20027752</v>
      </c>
      <c r="O29" s="3">
        <f t="shared" si="35"/>
        <v>124.6085069</v>
      </c>
      <c r="P29" s="3">
        <f t="shared" si="35"/>
        <v>224.2118623</v>
      </c>
      <c r="Q29" s="3" t="str">
        <f t="shared" si="6"/>
        <v>S1</v>
      </c>
      <c r="R29" s="4">
        <v>29.0</v>
      </c>
      <c r="S29" s="3" t="str">
        <f t="shared" si="7"/>
        <v>S1</v>
      </c>
      <c r="T29" s="3">
        <f t="shared" si="8"/>
        <v>0</v>
      </c>
    </row>
    <row r="30" ht="15.75" customHeight="1">
      <c r="A30" s="3" t="s">
        <v>39</v>
      </c>
      <c r="B30" s="3">
        <v>11.0</v>
      </c>
      <c r="C30" s="3">
        <v>239.0</v>
      </c>
      <c r="D30" s="3">
        <v>75.0</v>
      </c>
      <c r="E30" s="3">
        <v>43.0</v>
      </c>
      <c r="M30" s="3">
        <f t="shared" ref="M30:P30" si="36">SQRT(($B30-H$3)^2+($C30-H$4)^2+($D30-H$5)^2+($E30-H$6)^2)</f>
        <v>233.7824752</v>
      </c>
      <c r="N30" s="3">
        <f t="shared" si="36"/>
        <v>184.9560459</v>
      </c>
      <c r="O30" s="3">
        <f t="shared" si="36"/>
        <v>107.9438743</v>
      </c>
      <c r="P30" s="3">
        <f t="shared" si="36"/>
        <v>20.76987615</v>
      </c>
      <c r="Q30" s="3" t="str">
        <f t="shared" si="6"/>
        <v>S4</v>
      </c>
      <c r="R30" s="4">
        <v>30.0</v>
      </c>
      <c r="S30" s="3" t="str">
        <f t="shared" si="7"/>
        <v>S4</v>
      </c>
      <c r="T30" s="3">
        <f t="shared" si="8"/>
        <v>0</v>
      </c>
    </row>
    <row r="31" ht="15.75" customHeight="1">
      <c r="A31" s="3" t="s">
        <v>40</v>
      </c>
      <c r="B31" s="3">
        <v>0.0</v>
      </c>
      <c r="C31" s="3">
        <v>0.1</v>
      </c>
      <c r="D31" s="3">
        <v>53.0</v>
      </c>
      <c r="E31" s="3">
        <v>6.0</v>
      </c>
      <c r="M31" s="3">
        <f t="shared" ref="M31:P31" si="37">SQRT(($B31-H$3)^2+($C31-H$4)^2+($D31-H$5)^2+($E31-H$6)^2)</f>
        <v>10.26974683</v>
      </c>
      <c r="N31" s="3">
        <f t="shared" si="37"/>
        <v>58.0484423</v>
      </c>
      <c r="O31" s="3">
        <f t="shared" si="37"/>
        <v>135.4670809</v>
      </c>
      <c r="P31" s="3">
        <f t="shared" si="37"/>
        <v>234.8603793</v>
      </c>
      <c r="Q31" s="3" t="str">
        <f t="shared" si="6"/>
        <v>S1</v>
      </c>
      <c r="R31" s="4">
        <v>31.0</v>
      </c>
      <c r="S31" s="3" t="str">
        <f t="shared" si="7"/>
        <v>S1</v>
      </c>
      <c r="T31" s="3">
        <f t="shared" si="8"/>
        <v>0</v>
      </c>
    </row>
    <row r="32" ht="15.75" customHeight="1">
      <c r="A32" s="3" t="s">
        <v>41</v>
      </c>
      <c r="B32" s="3">
        <v>5.0</v>
      </c>
      <c r="C32" s="3">
        <v>155.0</v>
      </c>
      <c r="D32" s="3">
        <v>87.0</v>
      </c>
      <c r="E32" s="3">
        <v>19.0</v>
      </c>
      <c r="M32" s="3">
        <f t="shared" ref="M32:P32" si="38">SQRT(($B32-H$3)^2+($C32-H$4)^2+($D32-H$5)^2+($E32-H$6)^2)</f>
        <v>150.5745188</v>
      </c>
      <c r="N32" s="3">
        <f t="shared" si="38"/>
        <v>102.2462839</v>
      </c>
      <c r="O32" s="3">
        <f t="shared" si="38"/>
        <v>28.89775078</v>
      </c>
      <c r="P32" s="3">
        <f t="shared" si="38"/>
        <v>82.86625566</v>
      </c>
      <c r="Q32" s="3" t="str">
        <f t="shared" si="6"/>
        <v>S3</v>
      </c>
      <c r="R32" s="4">
        <v>32.0</v>
      </c>
      <c r="S32" s="3" t="str">
        <f t="shared" si="7"/>
        <v>S3</v>
      </c>
      <c r="T32" s="3">
        <f t="shared" si="8"/>
        <v>0</v>
      </c>
    </row>
    <row r="33" ht="15.75" customHeight="1">
      <c r="A33" s="3" t="s">
        <v>42</v>
      </c>
      <c r="B33" s="3">
        <v>12.0</v>
      </c>
      <c r="C33" s="3">
        <v>229.0</v>
      </c>
      <c r="D33" s="3">
        <v>64.0</v>
      </c>
      <c r="E33" s="3">
        <v>32.0</v>
      </c>
      <c r="M33" s="3">
        <f t="shared" ref="M33:P33" si="39">SQRT(($B33-H$3)^2+($C33-H$4)^2+($D33-H$5)^2+($E33-H$6)^2)</f>
        <v>221.8445981</v>
      </c>
      <c r="N33" s="3">
        <f t="shared" si="39"/>
        <v>173.0477938</v>
      </c>
      <c r="O33" s="3">
        <f t="shared" si="39"/>
        <v>96.08787645</v>
      </c>
      <c r="P33" s="3">
        <f t="shared" si="39"/>
        <v>6.935563482</v>
      </c>
      <c r="Q33" s="3" t="str">
        <f t="shared" si="6"/>
        <v>S4</v>
      </c>
      <c r="R33" s="4">
        <v>33.0</v>
      </c>
      <c r="S33" s="3" t="str">
        <f t="shared" si="7"/>
        <v>S4</v>
      </c>
      <c r="T33" s="3">
        <f t="shared" si="8"/>
        <v>0</v>
      </c>
    </row>
    <row r="34" ht="15.75" customHeight="1">
      <c r="A34" s="3" t="s">
        <v>43</v>
      </c>
      <c r="B34" s="3">
        <v>9.0</v>
      </c>
      <c r="C34" s="3">
        <v>161.0</v>
      </c>
      <c r="D34" s="3">
        <v>85.0</v>
      </c>
      <c r="E34" s="3">
        <v>23.0</v>
      </c>
      <c r="M34" s="3">
        <f t="shared" ref="M34:P34" si="40">SQRT(($B34-H$3)^2+($C34-H$4)^2+($D34-H$5)^2+($E34-H$6)^2)</f>
        <v>156.356406</v>
      </c>
      <c r="N34" s="3">
        <f t="shared" si="40"/>
        <v>107.8367993</v>
      </c>
      <c r="O34" s="3">
        <f t="shared" si="40"/>
        <v>32.43269955</v>
      </c>
      <c r="P34" s="3">
        <f t="shared" si="40"/>
        <v>76.08990386</v>
      </c>
      <c r="Q34" s="3" t="str">
        <f t="shared" si="6"/>
        <v>S3</v>
      </c>
      <c r="R34" s="4">
        <v>34.0</v>
      </c>
      <c r="S34" s="3" t="str">
        <f t="shared" si="7"/>
        <v>S3</v>
      </c>
      <c r="T34" s="3">
        <f t="shared" si="8"/>
        <v>0</v>
      </c>
    </row>
    <row r="35" ht="15.75" customHeight="1">
      <c r="A35" s="3" t="s">
        <v>44</v>
      </c>
      <c r="B35" s="3">
        <v>13.0</v>
      </c>
      <c r="C35" s="3">
        <v>321.0</v>
      </c>
      <c r="D35" s="3">
        <v>45.0</v>
      </c>
      <c r="E35" s="3">
        <v>13.0</v>
      </c>
      <c r="M35" s="3">
        <f t="shared" ref="M35:P35" si="41">SQRT(($B35-H$3)^2+($C35-H$4)^2+($D35-H$5)^2+($E35-H$6)^2)</f>
        <v>312.6404416</v>
      </c>
      <c r="N35" s="3">
        <f t="shared" si="41"/>
        <v>264.4204173</v>
      </c>
      <c r="O35" s="3">
        <f t="shared" si="41"/>
        <v>188.7683236</v>
      </c>
      <c r="P35" s="3">
        <f t="shared" si="41"/>
        <v>90.35463012</v>
      </c>
      <c r="Q35" s="3" t="str">
        <f t="shared" si="6"/>
        <v>S4</v>
      </c>
      <c r="R35" s="4">
        <v>35.0</v>
      </c>
      <c r="S35" s="3" t="str">
        <f t="shared" si="7"/>
        <v>S4</v>
      </c>
      <c r="T35" s="3">
        <f t="shared" si="8"/>
        <v>0</v>
      </c>
    </row>
    <row r="36" ht="15.75" customHeight="1">
      <c r="A36" s="3" t="s">
        <v>45</v>
      </c>
      <c r="B36" s="3">
        <v>0.1</v>
      </c>
      <c r="C36" s="3">
        <v>27.0</v>
      </c>
      <c r="D36" s="3">
        <v>44.0</v>
      </c>
      <c r="E36" s="3">
        <v>6.0</v>
      </c>
      <c r="M36" s="3">
        <f t="shared" ref="M36:P36" si="42">SQRT(($B36-H$3)^2+($C36-H$4)^2+($D36-H$5)^2+($E36-H$6)^2)</f>
        <v>21.0469404</v>
      </c>
      <c r="N36" s="3">
        <f t="shared" si="42"/>
        <v>34.55801207</v>
      </c>
      <c r="O36" s="3">
        <f t="shared" si="42"/>
        <v>110.5627876</v>
      </c>
      <c r="P36" s="3">
        <f t="shared" si="42"/>
        <v>208.7426249</v>
      </c>
      <c r="Q36" s="3" t="str">
        <f t="shared" si="6"/>
        <v>S1</v>
      </c>
      <c r="R36" s="4">
        <v>36.0</v>
      </c>
      <c r="S36" s="3" t="str">
        <f t="shared" si="7"/>
        <v>S1</v>
      </c>
      <c r="T36" s="3">
        <f t="shared" si="8"/>
        <v>0</v>
      </c>
    </row>
    <row r="37" ht="15.75" customHeight="1">
      <c r="A37" s="3" t="s">
        <v>46</v>
      </c>
      <c r="B37" s="3">
        <v>8.0</v>
      </c>
      <c r="C37" s="3">
        <v>119.0</v>
      </c>
      <c r="D37" s="3">
        <v>73.0</v>
      </c>
      <c r="E37" s="3">
        <v>18.0</v>
      </c>
      <c r="M37" s="3">
        <f t="shared" ref="M37:P37" si="43">SQRT(($B37-H$3)^2+($C37-H$4)^2+($D37-H$5)^2+($E37-H$6)^2)</f>
        <v>112.5793307</v>
      </c>
      <c r="N37" s="3">
        <f t="shared" si="43"/>
        <v>63.98915262</v>
      </c>
      <c r="O37" s="3">
        <f t="shared" si="43"/>
        <v>15.9084883</v>
      </c>
      <c r="P37" s="3">
        <f t="shared" si="43"/>
        <v>115.4418309</v>
      </c>
      <c r="Q37" s="3" t="str">
        <f t="shared" si="6"/>
        <v>S3</v>
      </c>
      <c r="R37" s="4">
        <v>37.0</v>
      </c>
      <c r="S37" s="3" t="str">
        <f t="shared" si="7"/>
        <v>S3</v>
      </c>
      <c r="T37" s="3">
        <f t="shared" si="8"/>
        <v>0</v>
      </c>
    </row>
    <row r="38" ht="15.75" customHeight="1">
      <c r="A38" s="3" t="s">
        <v>47</v>
      </c>
      <c r="B38" s="3">
        <v>4.0</v>
      </c>
      <c r="C38" s="3">
        <v>116.0</v>
      </c>
      <c r="D38" s="3">
        <v>59.0</v>
      </c>
      <c r="E38" s="3">
        <v>20.0</v>
      </c>
      <c r="M38" s="3">
        <f t="shared" ref="M38:P38" si="44">SQRT(($B38-H$3)^2+($C38-H$4)^2+($D38-H$5)^2+($E38-H$6)^2)</f>
        <v>107.9232399</v>
      </c>
      <c r="N38" s="3">
        <f t="shared" si="44"/>
        <v>59.10432086</v>
      </c>
      <c r="O38" s="3">
        <f t="shared" si="44"/>
        <v>20.13156725</v>
      </c>
      <c r="P38" s="3">
        <f t="shared" si="44"/>
        <v>118.0185907</v>
      </c>
      <c r="Q38" s="3" t="str">
        <f t="shared" si="6"/>
        <v>S3</v>
      </c>
      <c r="R38" s="4">
        <v>38.0</v>
      </c>
      <c r="S38" s="3" t="str">
        <f t="shared" si="7"/>
        <v>S3</v>
      </c>
      <c r="T38" s="3">
        <f t="shared" si="8"/>
        <v>0</v>
      </c>
    </row>
    <row r="39" ht="15.75" customHeight="1">
      <c r="A39" s="3" t="s">
        <v>48</v>
      </c>
      <c r="B39" s="3">
        <v>4.0</v>
      </c>
      <c r="C39" s="3">
        <v>103.0</v>
      </c>
      <c r="D39" s="3">
        <v>58.0</v>
      </c>
      <c r="E39" s="3">
        <v>29.0</v>
      </c>
      <c r="M39" s="3">
        <f t="shared" ref="M39:P39" si="45">SQRT(($B39-H$3)^2+($C39-H$4)^2+($D39-H$5)^2+($E39-H$6)^2)</f>
        <v>96.19077762</v>
      </c>
      <c r="N39" s="3">
        <f t="shared" si="45"/>
        <v>47.87628772</v>
      </c>
      <c r="O39" s="3">
        <f t="shared" si="45"/>
        <v>33.65531162</v>
      </c>
      <c r="P39" s="3">
        <f t="shared" si="45"/>
        <v>130.8137795</v>
      </c>
      <c r="Q39" s="3" t="str">
        <f t="shared" si="6"/>
        <v>S3</v>
      </c>
      <c r="R39" s="4">
        <v>39.0</v>
      </c>
      <c r="S39" s="3" t="str">
        <f t="shared" si="7"/>
        <v>S3</v>
      </c>
      <c r="T39" s="3">
        <f t="shared" si="8"/>
        <v>0</v>
      </c>
    </row>
    <row r="40" ht="15.75" customHeight="1">
      <c r="A40" s="3" t="s">
        <v>49</v>
      </c>
      <c r="B40" s="3">
        <v>4.0</v>
      </c>
      <c r="C40" s="3">
        <v>57.0</v>
      </c>
      <c r="D40" s="3">
        <v>67.0</v>
      </c>
      <c r="E40" s="3">
        <v>13.0</v>
      </c>
      <c r="M40" s="3">
        <f t="shared" ref="M40:P40" si="46">SQRT(($B40-H$3)^2+($C40-H$4)^2+($D40-H$5)^2+($E40-H$6)^2)</f>
        <v>50.51876582</v>
      </c>
      <c r="N40" s="3">
        <f t="shared" si="46"/>
        <v>9.55618877</v>
      </c>
      <c r="O40" s="3">
        <f t="shared" si="46"/>
        <v>77.23263559</v>
      </c>
      <c r="P40" s="3">
        <f t="shared" si="46"/>
        <v>177.3151812</v>
      </c>
      <c r="Q40" s="3" t="str">
        <f t="shared" si="6"/>
        <v>S2</v>
      </c>
      <c r="R40" s="4">
        <v>40.0</v>
      </c>
      <c r="S40" s="3" t="str">
        <f t="shared" si="7"/>
        <v>S2</v>
      </c>
      <c r="T40" s="3">
        <f t="shared" si="8"/>
        <v>0</v>
      </c>
    </row>
    <row r="41" ht="15.75" customHeight="1">
      <c r="A41" s="3" t="s">
        <v>50</v>
      </c>
      <c r="B41" s="3">
        <v>2.0</v>
      </c>
      <c r="C41" s="3">
        <v>97.0</v>
      </c>
      <c r="D41" s="3">
        <v>83.0</v>
      </c>
      <c r="E41" s="3">
        <v>5.0</v>
      </c>
      <c r="M41" s="3">
        <f t="shared" ref="M41:P41" si="47">SQRT(($B41-H$3)^2+($C41-H$4)^2+($D41-H$5)^2+($E41-H$6)^2)</f>
        <v>93.64926962</v>
      </c>
      <c r="N41" s="3">
        <f t="shared" si="47"/>
        <v>48.34434082</v>
      </c>
      <c r="O41" s="3">
        <f t="shared" si="47"/>
        <v>43.08224692</v>
      </c>
      <c r="P41" s="3">
        <f t="shared" si="47"/>
        <v>140.1227596</v>
      </c>
      <c r="Q41" s="3" t="str">
        <f t="shared" si="6"/>
        <v>S3</v>
      </c>
      <c r="R41" s="4">
        <v>41.0</v>
      </c>
      <c r="S41" s="3" t="str">
        <f t="shared" si="7"/>
        <v>S3</v>
      </c>
      <c r="T41" s="3">
        <f t="shared" si="8"/>
        <v>0</v>
      </c>
    </row>
    <row r="42" ht="15.75" customHeight="1">
      <c r="A42" s="3" t="s">
        <v>51</v>
      </c>
      <c r="B42" s="3">
        <v>13.0</v>
      </c>
      <c r="C42" s="3">
        <v>210.0</v>
      </c>
      <c r="D42" s="3">
        <v>46.0</v>
      </c>
      <c r="E42" s="3">
        <v>21.0</v>
      </c>
      <c r="M42" s="3">
        <f t="shared" ref="M42:P42" si="48">SQRT(($B42-H$3)^2+($C42-H$4)^2+($D42-H$5)^2+($E42-H$6)^2)</f>
        <v>201.9894198</v>
      </c>
      <c r="N42" s="3">
        <f t="shared" si="48"/>
        <v>153.7902137</v>
      </c>
      <c r="O42" s="3">
        <f t="shared" si="48"/>
        <v>79.37682281</v>
      </c>
      <c r="P42" s="3">
        <f t="shared" si="48"/>
        <v>29.61590858</v>
      </c>
      <c r="Q42" s="3" t="str">
        <f t="shared" si="6"/>
        <v>S4</v>
      </c>
      <c r="R42" s="4">
        <v>42.0</v>
      </c>
      <c r="S42" s="3" t="str">
        <f t="shared" si="7"/>
        <v>S4</v>
      </c>
      <c r="T42" s="3">
        <f t="shared" si="8"/>
        <v>0</v>
      </c>
    </row>
    <row r="43" ht="15.75" customHeight="1">
      <c r="A43" s="3" t="s">
        <v>52</v>
      </c>
      <c r="B43" s="3">
        <v>3.0</v>
      </c>
      <c r="C43" s="3">
        <v>1.0</v>
      </c>
      <c r="D43" s="3">
        <v>43.0</v>
      </c>
      <c r="E43" s="3">
        <v>12.0</v>
      </c>
      <c r="M43" s="3">
        <f t="shared" ref="M43:P43" si="49">SQRT(($B43-H$3)^2+($C43-H$4)^2+($D43-H$5)^2+($E43-H$6)^2)</f>
        <v>12.31445086</v>
      </c>
      <c r="N43" s="3">
        <f t="shared" si="49"/>
        <v>58.11800549</v>
      </c>
      <c r="O43" s="3">
        <f t="shared" si="49"/>
        <v>135.3930574</v>
      </c>
      <c r="P43" s="3">
        <f t="shared" si="49"/>
        <v>234.0069334</v>
      </c>
      <c r="Q43" s="3" t="str">
        <f t="shared" si="6"/>
        <v>S1</v>
      </c>
      <c r="R43" s="4">
        <v>43.0</v>
      </c>
      <c r="S43" s="3" t="str">
        <f t="shared" si="7"/>
        <v>S1</v>
      </c>
      <c r="T43" s="3">
        <f t="shared" si="8"/>
        <v>0</v>
      </c>
    </row>
    <row r="44" ht="15.75" customHeight="1">
      <c r="A44" s="3" t="s">
        <v>53</v>
      </c>
      <c r="B44" s="3">
        <v>14.0</v>
      </c>
      <c r="C44" s="3">
        <v>96.0</v>
      </c>
      <c r="D44" s="3">
        <v>58.0</v>
      </c>
      <c r="E44" s="3">
        <v>27.0</v>
      </c>
      <c r="M44" s="3">
        <f t="shared" ref="M44:P44" si="50">SQRT(($B44-H$3)^2+($C44-H$4)^2+($D44-H$5)^2+($E44-H$6)^2)</f>
        <v>89.70633032</v>
      </c>
      <c r="N44" s="3">
        <f t="shared" si="50"/>
        <v>42.04816306</v>
      </c>
      <c r="O44" s="3">
        <f t="shared" si="50"/>
        <v>40.0709371</v>
      </c>
      <c r="P44" s="3">
        <f t="shared" si="50"/>
        <v>137.6977613</v>
      </c>
      <c r="Q44" s="3" t="str">
        <f t="shared" si="6"/>
        <v>S3</v>
      </c>
      <c r="R44" s="4">
        <v>44.0</v>
      </c>
      <c r="S44" s="3" t="str">
        <f t="shared" si="7"/>
        <v>S3</v>
      </c>
      <c r="T44" s="3">
        <f t="shared" si="8"/>
        <v>0</v>
      </c>
    </row>
    <row r="45" ht="15.75" customHeight="1">
      <c r="A45" s="3" t="s">
        <v>54</v>
      </c>
      <c r="B45" s="3">
        <v>13.0</v>
      </c>
      <c r="C45" s="3">
        <v>137.0</v>
      </c>
      <c r="D45" s="3">
        <v>79.0</v>
      </c>
      <c r="E45" s="3">
        <v>25.0</v>
      </c>
      <c r="M45" s="3">
        <f t="shared" ref="M45:P45" si="51">SQRT(($B45-H$3)^2+($C45-H$4)^2+($D45-H$5)^2+($E45-H$6)^2)</f>
        <v>132.2042575</v>
      </c>
      <c r="N45" s="3">
        <f t="shared" si="51"/>
        <v>83.81566798</v>
      </c>
      <c r="O45" s="3">
        <f t="shared" si="51"/>
        <v>13.79420168</v>
      </c>
      <c r="P45" s="3">
        <f t="shared" si="51"/>
        <v>98.02311264</v>
      </c>
      <c r="Q45" s="3" t="str">
        <f t="shared" si="6"/>
        <v>S3</v>
      </c>
      <c r="R45" s="4">
        <v>45.0</v>
      </c>
      <c r="S45" s="3" t="str">
        <f t="shared" si="7"/>
        <v>S3</v>
      </c>
      <c r="T45" s="3">
        <f t="shared" si="8"/>
        <v>0</v>
      </c>
    </row>
    <row r="46" ht="15.75" customHeight="1">
      <c r="A46" s="3" t="s">
        <v>55</v>
      </c>
      <c r="B46" s="3">
        <v>0.0</v>
      </c>
      <c r="C46" s="3">
        <v>49.0</v>
      </c>
      <c r="D46" s="3">
        <v>74.0</v>
      </c>
      <c r="E46" s="3">
        <v>21.0</v>
      </c>
      <c r="M46" s="3">
        <f t="shared" ref="M46:P46" si="52">SQRT(($B46-H$3)^2+($C46-H$4)^2+($D46-H$5)^2+($E46-H$6)^2)</f>
        <v>46.7789023</v>
      </c>
      <c r="N46" s="3">
        <f t="shared" si="52"/>
        <v>19.16039519</v>
      </c>
      <c r="O46" s="3">
        <f t="shared" si="52"/>
        <v>85.40187352</v>
      </c>
      <c r="P46" s="3">
        <f t="shared" si="52"/>
        <v>185.3173781</v>
      </c>
      <c r="Q46" s="3" t="str">
        <f t="shared" si="6"/>
        <v>S2</v>
      </c>
      <c r="R46" s="4">
        <v>46.0</v>
      </c>
      <c r="S46" s="3" t="str">
        <f t="shared" si="7"/>
        <v>S2</v>
      </c>
      <c r="T46" s="3">
        <f t="shared" si="8"/>
        <v>0</v>
      </c>
    </row>
    <row r="47" ht="15.75" customHeight="1">
      <c r="A47" s="3" t="s">
        <v>56</v>
      </c>
      <c r="B47" s="3">
        <v>0.1</v>
      </c>
      <c r="C47" s="3">
        <v>44.0</v>
      </c>
      <c r="D47" s="3">
        <v>24.0</v>
      </c>
      <c r="E47" s="3">
        <v>8.0</v>
      </c>
      <c r="M47" s="3">
        <f t="shared" ref="M47:P47" si="53">SQRT(($B47-H$3)^2+($C47-H$4)^2+($D47-H$5)^2+($E47-H$6)^2)</f>
        <v>45.64442682</v>
      </c>
      <c r="N47" s="3">
        <f t="shared" si="53"/>
        <v>37.13589073</v>
      </c>
      <c r="O47" s="3">
        <f t="shared" si="53"/>
        <v>100.8619353</v>
      </c>
      <c r="P47" s="3">
        <f t="shared" si="53"/>
        <v>194.6811988</v>
      </c>
      <c r="Q47" s="3" t="str">
        <f t="shared" si="6"/>
        <v>S2</v>
      </c>
      <c r="R47" s="4">
        <v>47.0</v>
      </c>
      <c r="S47" s="3" t="str">
        <f t="shared" si="7"/>
        <v>S2</v>
      </c>
      <c r="T47" s="3">
        <f t="shared" si="8"/>
        <v>0</v>
      </c>
    </row>
    <row r="48" ht="15.75" customHeight="1">
      <c r="A48" s="3" t="s">
        <v>57</v>
      </c>
      <c r="B48" s="3">
        <v>7.0</v>
      </c>
      <c r="C48" s="3">
        <v>100.0</v>
      </c>
      <c r="D48" s="3">
        <v>58.0</v>
      </c>
      <c r="E48" s="3">
        <v>16.0</v>
      </c>
      <c r="M48" s="3">
        <f t="shared" ref="M48:P48" si="54">SQRT(($B48-H$3)^2+($C48-H$4)^2+($D48-H$5)^2+($E48-H$6)^2)</f>
        <v>91.76516605</v>
      </c>
      <c r="N48" s="3">
        <f t="shared" si="54"/>
        <v>43.0981208</v>
      </c>
      <c r="O48" s="3">
        <f t="shared" si="54"/>
        <v>35.39604498</v>
      </c>
      <c r="P48" s="3">
        <f t="shared" si="54"/>
        <v>134.1655237</v>
      </c>
      <c r="Q48" s="3" t="str">
        <f t="shared" si="6"/>
        <v>S3</v>
      </c>
      <c r="R48" s="4">
        <v>48.0</v>
      </c>
      <c r="S48" s="3" t="str">
        <f t="shared" si="7"/>
        <v>S3</v>
      </c>
      <c r="T48" s="3">
        <f t="shared" si="8"/>
        <v>0</v>
      </c>
    </row>
    <row r="49" ht="15.75" customHeight="1">
      <c r="A49" s="3" t="s">
        <v>58</v>
      </c>
      <c r="B49" s="3">
        <v>1.0</v>
      </c>
      <c r="C49" s="3">
        <v>62.0</v>
      </c>
      <c r="D49" s="3">
        <v>73.0</v>
      </c>
      <c r="E49" s="3">
        <v>24.0</v>
      </c>
      <c r="M49" s="3">
        <f t="shared" ref="M49:P49" si="55">SQRT(($B49-H$3)^2+($C49-H$4)^2+($D49-H$5)^2+($E49-H$6)^2)</f>
        <v>58.55771256</v>
      </c>
      <c r="N49" s="3">
        <f t="shared" si="55"/>
        <v>18.2112058</v>
      </c>
      <c r="O49" s="3">
        <f t="shared" si="55"/>
        <v>72.42292455</v>
      </c>
      <c r="P49" s="3">
        <f t="shared" si="55"/>
        <v>172.1700631</v>
      </c>
      <c r="Q49" s="3" t="str">
        <f t="shared" si="6"/>
        <v>S2</v>
      </c>
      <c r="R49" s="4">
        <v>49.0</v>
      </c>
      <c r="S49" s="3" t="str">
        <f t="shared" si="7"/>
        <v>S2</v>
      </c>
      <c r="T49" s="3">
        <f t="shared" si="8"/>
        <v>0</v>
      </c>
    </row>
    <row r="50" ht="15.75" customHeight="1">
      <c r="A50" s="3" t="s">
        <v>59</v>
      </c>
      <c r="B50" s="3">
        <v>5.0</v>
      </c>
      <c r="C50" s="3">
        <v>65.0</v>
      </c>
      <c r="D50" s="3">
        <v>34.0</v>
      </c>
      <c r="E50" s="3">
        <v>9.0</v>
      </c>
      <c r="M50" s="3">
        <f t="shared" ref="M50:P50" si="56">SQRT(($B50-H$3)^2+($C50-H$4)^2+($D50-H$5)^2+($E50-H$6)^2)</f>
        <v>59.45154077</v>
      </c>
      <c r="N50" s="3">
        <f t="shared" si="56"/>
        <v>25.99008234</v>
      </c>
      <c r="O50" s="3">
        <f t="shared" si="56"/>
        <v>77.43177642</v>
      </c>
      <c r="P50" s="3">
        <f t="shared" si="56"/>
        <v>172.0318551</v>
      </c>
      <c r="Q50" s="3" t="str">
        <f t="shared" si="6"/>
        <v>S2</v>
      </c>
      <c r="R50" s="4">
        <v>50.0</v>
      </c>
      <c r="S50" s="3" t="str">
        <f t="shared" si="7"/>
        <v>S2</v>
      </c>
      <c r="T50" s="3">
        <f t="shared" si="8"/>
        <v>0</v>
      </c>
    </row>
    <row r="51" ht="15.75" customHeight="1">
      <c r="A51" s="3" t="s">
        <v>60</v>
      </c>
      <c r="B51" s="3">
        <v>0.0</v>
      </c>
      <c r="C51" s="3">
        <v>0.1</v>
      </c>
      <c r="D51" s="3">
        <v>60.0</v>
      </c>
      <c r="E51" s="3">
        <v>11.0</v>
      </c>
      <c r="M51" s="3">
        <f t="shared" ref="M51:P51" si="57">SQRT(($B51-H$3)^2+($C51-H$4)^2+($D51-H$5)^2+($E51-H$6)^2)</f>
        <v>11.53549739</v>
      </c>
      <c r="N51" s="3">
        <f t="shared" si="57"/>
        <v>57.28544015</v>
      </c>
      <c r="O51" s="3">
        <f t="shared" si="57"/>
        <v>134.4579116</v>
      </c>
      <c r="P51" s="3">
        <f t="shared" si="57"/>
        <v>234.2787669</v>
      </c>
      <c r="Q51" s="3" t="str">
        <f t="shared" si="6"/>
        <v>S1</v>
      </c>
      <c r="R51" s="4">
        <v>51.0</v>
      </c>
      <c r="S51" s="3" t="str">
        <f t="shared" si="7"/>
        <v>S1</v>
      </c>
      <c r="T51" s="3">
        <f t="shared" si="8"/>
        <v>0</v>
      </c>
    </row>
    <row r="52" ht="15.75" customHeight="1">
      <c r="A52" s="3" t="s">
        <v>61</v>
      </c>
      <c r="B52" s="3">
        <v>6.0</v>
      </c>
      <c r="C52" s="3">
        <v>143.0</v>
      </c>
      <c r="D52" s="3">
        <v>51.0</v>
      </c>
      <c r="E52" s="3">
        <v>11.0</v>
      </c>
      <c r="M52" s="3">
        <f t="shared" ref="M52:P52" si="58">SQRT(($B52-H$3)^2+($C52-H$4)^2+($D52-H$5)^2+($E52-H$6)^2)</f>
        <v>134.4203322</v>
      </c>
      <c r="N52" s="3">
        <f t="shared" si="58"/>
        <v>86.34609439</v>
      </c>
      <c r="O52" s="3">
        <f t="shared" si="58"/>
        <v>21.16790023</v>
      </c>
      <c r="P52" s="3">
        <f t="shared" si="58"/>
        <v>92.84758193</v>
      </c>
      <c r="Q52" s="3" t="str">
        <f t="shared" si="6"/>
        <v>S3</v>
      </c>
      <c r="R52" s="4">
        <v>52.0</v>
      </c>
      <c r="S52" s="3" t="str">
        <f t="shared" si="7"/>
        <v>S3</v>
      </c>
      <c r="T52" s="3">
        <f t="shared" si="8"/>
        <v>0</v>
      </c>
    </row>
    <row r="53" ht="15.75" customHeight="1">
      <c r="M53" s="3">
        <f t="shared" ref="M53:P53" si="59">SQRT(($B53-H$3)^2+($C53-H$4)^2+($D53-H$5)^2+($E53-H$6)^2)</f>
        <v>54.51775582</v>
      </c>
      <c r="N53" s="3">
        <f t="shared" si="59"/>
        <v>82.76600542</v>
      </c>
      <c r="O53" s="3">
        <f t="shared" si="59"/>
        <v>151.4631308</v>
      </c>
      <c r="P53" s="3">
        <f t="shared" si="59"/>
        <v>243.5592372</v>
      </c>
      <c r="Q53" s="3" t="str">
        <f t="shared" si="6"/>
        <v>S1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1:K1"/>
    <mergeCell ref="M1:P1"/>
    <mergeCell ref="G10:H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2019-10-16T22:27:25Z</dcterms:created>
</cp:coreProperties>
</file>