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-sprzedaż" sheetId="1" r:id="rId4"/>
  </sheets>
  <definedNames/>
  <calcPr/>
  <extLst>
    <ext uri="GoogleSheetsCustomDataVersion2">
      <go:sheetsCustomData xmlns:go="http://customooxmlschemas.google.com/" r:id="rId5" roundtripDataChecksum="ILvRChQdln3ErXaLBmdsV4FeXRQdPhrS5+WhtE5Zh/U="/>
    </ext>
  </extLst>
</workbook>
</file>

<file path=xl/sharedStrings.xml><?xml version="1.0" encoding="utf-8"?>
<sst xmlns="http://schemas.openxmlformats.org/spreadsheetml/2006/main" count="14" uniqueCount="14">
  <si>
    <t>Temperatura (°C)</t>
  </si>
  <si>
    <t>Sprzedaż lodów (w tysiącach dolarów)</t>
  </si>
  <si>
    <t>suma(x)</t>
  </si>
  <si>
    <t>suma(y)</t>
  </si>
  <si>
    <t>suma(xy)</t>
  </si>
  <si>
    <t>suma(x^2)</t>
  </si>
  <si>
    <t>n=</t>
  </si>
  <si>
    <t>a=</t>
  </si>
  <si>
    <t>b=</t>
  </si>
  <si>
    <t>Do predykcji</t>
  </si>
  <si>
    <t>x</t>
  </si>
  <si>
    <t>y</t>
  </si>
  <si>
    <t>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</si>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</sst>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Sprzedaż lodów (w tysiącach dolarów)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(Sprzedaż lodów (w tysiącach dolarów))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'temp-sprzedaż'!$A$2:$A$9</c:f>
            </c:numRef>
          </c:xVal>
          <c:yVal>
            <c:numRef>
              <c:f>'temp-sprzedaż'!$B$2:$B$9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577137"/>
        <c:axId val="783561725"/>
      </c:scatterChart>
      <c:valAx>
        <c:axId val="1599577137"/>
        <c:scaling>
          <c:orientation val="minMax"/>
          <c:min val="29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3561725"/>
      </c:valAx>
      <c:valAx>
        <c:axId val="783561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957713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314325</xdr:colOff>
      <xdr:row>1</xdr:row>
      <xdr:rowOff>76200</xdr:rowOff>
    </xdr:from>
    <xdr:ext cx="4371975" cy="2714625"/>
    <xdr:graphicFrame>
      <xdr:nvGraphicFramePr>
        <xdr:cNvPr id="2053048098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35.29"/>
    <col customWidth="1" min="3" max="3" width="8.71"/>
    <col customWidth="1" min="4" max="4" width="15.0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>
        <v>32.8</v>
      </c>
      <c r="B2" s="1">
        <v>89.8</v>
      </c>
      <c r="C2" s="1">
        <f t="shared" ref="C2:D2" si="1">SUM(A2:A9)</f>
        <v>264</v>
      </c>
      <c r="D2" s="1">
        <f t="shared" si="1"/>
        <v>781.3</v>
      </c>
    </row>
    <row r="3" ht="14.25" customHeight="1">
      <c r="A3" s="1">
        <v>30.6</v>
      </c>
      <c r="B3" s="1">
        <v>90.2</v>
      </c>
    </row>
    <row r="4" ht="14.25" customHeight="1">
      <c r="A4" s="1">
        <v>30.0</v>
      </c>
      <c r="B4" s="1">
        <v>81.1</v>
      </c>
      <c r="C4" s="1" t="s">
        <v>4</v>
      </c>
      <c r="D4" s="1" t="s">
        <v>5</v>
      </c>
    </row>
    <row r="5" ht="14.25" customHeight="1">
      <c r="A5" s="1">
        <v>31.1</v>
      </c>
      <c r="B5" s="1">
        <v>83.0</v>
      </c>
      <c r="C5" s="1">
        <f>SUMPRODUCT(A2:A9,B2:B9)</f>
        <v>26037.87</v>
      </c>
      <c r="D5" s="1">
        <f>SUMPRODUCT(A2:A9,A2:A9)</f>
        <v>8748.92</v>
      </c>
    </row>
    <row r="6" ht="14.25" customHeight="1">
      <c r="A6" s="1">
        <v>33.8</v>
      </c>
      <c r="B6" s="1">
        <v>90.9</v>
      </c>
    </row>
    <row r="7" ht="14.25" customHeight="1">
      <c r="A7" s="1">
        <v>35.1</v>
      </c>
      <c r="B7" s="1">
        <v>119.0</v>
      </c>
      <c r="C7" s="1" t="s">
        <v>6</v>
      </c>
      <c r="D7" s="1">
        <f>COUNT(A2:A9)</f>
        <v>8</v>
      </c>
    </row>
    <row r="8" ht="14.25" customHeight="1">
      <c r="A8" s="1">
        <v>34.1</v>
      </c>
      <c r="B8" s="1">
        <v>94.9</v>
      </c>
      <c r="C8" s="1" t="s">
        <v>7</v>
      </c>
      <c r="D8" s="1">
        <f>(D7*C5-C2*D2)/(D7*D5-C2^2)</f>
        <v>6.906013001</v>
      </c>
    </row>
    <row r="9" ht="14.25" customHeight="1">
      <c r="A9" s="1">
        <v>36.5</v>
      </c>
      <c r="B9" s="1">
        <v>132.4</v>
      </c>
      <c r="C9" s="1" t="s">
        <v>8</v>
      </c>
      <c r="D9" s="1">
        <f>(D5*D2-C2*C5)/(D7*D5-C2^2)</f>
        <v>-130.235929</v>
      </c>
    </row>
    <row r="10" ht="14.25" customHeight="1"/>
    <row r="11" ht="14.25" customHeight="1">
      <c r="D11" s="1" t="s">
        <v>9</v>
      </c>
    </row>
    <row r="12" ht="14.25" customHeight="1">
      <c r="C12" s="1">
        <v>31.6</v>
      </c>
      <c r="D12" s="1">
        <f t="shared" ref="D12:D14" si="2">ROUND(C12*$D$8+$D$9,1)</f>
        <v>88</v>
      </c>
    </row>
    <row r="13" ht="14.25" customHeight="1">
      <c r="C13" s="1">
        <v>36.1</v>
      </c>
      <c r="D13" s="1">
        <f t="shared" si="2"/>
        <v>119.1</v>
      </c>
    </row>
    <row r="14" ht="14.25" customHeight="1">
      <c r="C14" s="1">
        <v>34.8</v>
      </c>
      <c r="D14" s="1">
        <f t="shared" si="2"/>
        <v>110.1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>
      <c r="A20" s="1" t="s">
        <v>10</v>
      </c>
      <c r="B20" s="1" t="s">
        <v>11</v>
      </c>
    </row>
    <row r="21" ht="14.25" customHeight="1">
      <c r="A21" s="1">
        <v>32.8</v>
      </c>
      <c r="B21" s="1">
        <v>89.8</v>
      </c>
      <c r="C21" s="1" t="s">
        <v>12</v>
      </c>
      <c r="D21" s="1" t="s">
        <v>13</v>
      </c>
    </row>
    <row r="22" ht="14.25" customHeight="1">
      <c r="A22" s="1">
        <v>30.6</v>
      </c>
      <c r="B22" s="1">
        <v>90.2</v>
      </c>
      <c r="C22" s="1">
        <f t="array" ref="C22:D26">LINEST(B21:B28,A21:A28,TRUE,TRUE)</f>
        <v>6.906013001</v>
      </c>
      <c r="D22" s="1">
        <v>-130.23592903575312</v>
      </c>
    </row>
    <row r="23" ht="14.25" customHeight="1">
      <c r="A23" s="1">
        <v>30.0</v>
      </c>
      <c r="B23" s="1">
        <v>81.1</v>
      </c>
      <c r="C23" s="1">
        <v>1.5918555906084526</v>
      </c>
      <c r="D23" s="1">
        <v>52.64242610797108</v>
      </c>
    </row>
    <row r="24" ht="14.25" customHeight="1">
      <c r="A24" s="1">
        <v>31.1</v>
      </c>
      <c r="B24" s="1">
        <v>83.0</v>
      </c>
      <c r="C24" s="1">
        <v>0.7582712141821663</v>
      </c>
      <c r="D24" s="1">
        <v>9.672405897825685</v>
      </c>
    </row>
    <row r="25" ht="14.25" customHeight="1">
      <c r="A25" s="1">
        <v>33.8</v>
      </c>
      <c r="B25" s="1">
        <v>90.9</v>
      </c>
      <c r="C25" s="1">
        <v>18.82120604585995</v>
      </c>
      <c r="D25" s="1">
        <v>6.0</v>
      </c>
    </row>
    <row r="26" ht="14.25" customHeight="1">
      <c r="A26" s="1">
        <v>35.1</v>
      </c>
      <c r="B26" s="1">
        <v>119.0</v>
      </c>
      <c r="C26" s="1">
        <v>1760.8261348862418</v>
      </c>
      <c r="D26" s="1">
        <v>561.3326151137587</v>
      </c>
    </row>
    <row r="27" ht="14.25" customHeight="1">
      <c r="A27" s="1">
        <v>34.1</v>
      </c>
      <c r="B27" s="1">
        <v>94.9</v>
      </c>
    </row>
    <row r="28" ht="14.25" customHeight="1">
      <c r="A28" s="1">
        <v>36.5</v>
      </c>
      <c r="B28" s="1">
        <v>132.4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