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WU" sheetId="1" r:id="rId4"/>
  </sheets>
  <definedNames>
    <definedName localSheetId="0" name="solver_cvg">0.0001</definedName>
    <definedName localSheetId="0" name="solver_drv">1</definedName>
    <definedName localSheetId="0" name="solver_eng">1</definedName>
    <definedName localSheetId="0" name="solver_est">1</definedName>
    <definedName localSheetId="0" name="solver_itr">2147483647</definedName>
    <definedName localSheetId="0" name="solver_mip">2147483647</definedName>
    <definedName localSheetId="0" name="solver_mni">30</definedName>
    <definedName localSheetId="0" name="solver_mrt">0.075</definedName>
    <definedName localSheetId="0" name="solver_msl">2</definedName>
    <definedName localSheetId="0" name="solver_neg">1</definedName>
    <definedName localSheetId="0" name="solver_nod">2147483647</definedName>
    <definedName localSheetId="0" name="solver_num">0</definedName>
    <definedName localSheetId="0" name="solver_nwt">1</definedName>
    <definedName localSheetId="0" name="solver_pre">0.000001</definedName>
    <definedName localSheetId="0" name="solver_rbv">1</definedName>
    <definedName localSheetId="0" name="solver_rlx">2</definedName>
    <definedName localSheetId="0" name="solver_rsd">0</definedName>
    <definedName localSheetId="0" name="solver_scl">1</definedName>
    <definedName localSheetId="0" name="solver_sho">2</definedName>
    <definedName localSheetId="0" name="solver_ssz">100</definedName>
    <definedName localSheetId="0" name="solver_tim">2147483647</definedName>
    <definedName localSheetId="0" name="solver_tol">0.01</definedName>
    <definedName localSheetId="0" name="solver_typ">2</definedName>
    <definedName localSheetId="0" name="solver_val">0</definedName>
    <definedName localSheetId="0" name="solver_ver">3</definedName>
    <definedName localSheetId="0" name="solver_adj">'1WU'!$B$2:$M$4</definedName>
    <definedName localSheetId="0" name="solver_opt">'1WU'!$Q$1</definedName>
  </definedNames>
  <calcPr/>
  <extLst>
    <ext uri="GoogleSheetsCustomDataVersion2">
      <go:sheetsCustomData xmlns:go="http://customooxmlschemas.google.com/" r:id="rId5" roundtripDataChecksum="m8XCg+tUCPBriyGQpkoczVlfOHuLr5JN5gHaLFhZslg="/>
    </ext>
  </extLst>
</workbook>
</file>

<file path=xl/sharedStrings.xml><?xml version="1.0" encoding="utf-8"?>
<sst xmlns="http://schemas.openxmlformats.org/spreadsheetml/2006/main" count="38" uniqueCount="38">
  <si>
    <t>Neuron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</si>
  <si>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</si>
  <si>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</si>
  <si>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</si>
  <si>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</si>
  <si>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</si>
  <si>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</si>
  <si>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</si>
  <si>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</si>
  <si>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</si>
  <si>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b</t>
  </si>
  <si>
    <t>Wo</t>
  </si>
  <si>
    <t>Bo</t>
  </si>
  <si>
    <t>Suma błędów</t>
  </si>
  <si>
    <t/>
  </si>
  <si>
    <t>odcięcie</t>
  </si>
  <si>
    <t>pomyłki</t>
  </si>
  <si>
    <t>MAX</t>
  </si>
  <si>
    <t>średnia</t>
  </si>
  <si>
    <t>MIN</t>
  </si>
  <si>
    <t>liczba</t>
  </si>
  <si>
    <t>ważona suma neuronu</t>
  </si>
  <si>
    <t>znormalizowana</t>
  </si>
  <si>
    <t>po przekształceniu sigmoidalnym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</si>
  <si>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</si>
  <si>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</si>
  <si>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</si>
  <si>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</si>
  <si>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</si>
  <si>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</si>
  <si>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</si>
  <si>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</si>
  <si>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</si>
  <si>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Klasa</t>
  </si>
  <si>
    <t>Wyjście</t>
  </si>
  <si>
    <t>Błąd</t>
  </si>
  <si>
    <t>Predykcja</t>
  </si>
  <si>
    <t>Różnica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</si>
</sst>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;;;"/>
  </numFmts>
  <fonts count="2">
    <font>
      <sz val="11.0"/>
      <color theme="1"/>
      <name val="Calibri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0" xfId="0" applyAlignment="1" applyFont="1">
      <alignment horizontal="right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1" fillId="0" fontId="1" numFmtId="0" xfId="0" applyBorder="1" applyFont="1"/>
    <xf borderId="1" fillId="0" fontId="1" numFmtId="0" xfId="0" applyAlignment="1" applyBorder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3" width="10.0"/>
    <col customWidth="1" min="4" max="4" width="10.29"/>
    <col customWidth="1" min="5" max="6" width="10.14"/>
    <col customWidth="1" min="7" max="7" width="10.57"/>
    <col customWidth="1" min="8" max="8" width="10.43"/>
    <col customWidth="1" min="9" max="9" width="10.57"/>
    <col customWidth="1" min="10" max="10" width="9.71"/>
    <col customWidth="1" min="11" max="11" width="10.14"/>
    <col customWidth="1" min="12" max="19" width="9.14"/>
    <col customWidth="1" min="20" max="20" width="13.71"/>
    <col customWidth="1" min="21" max="48" width="9.14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/>
      <c r="P1" s="1" t="s">
        <v>13</v>
      </c>
      <c r="Q1" s="1">
        <f>SUM(V11:V510)</f>
        <v>199.8532705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2" t="s">
        <v>14</v>
      </c>
    </row>
    <row r="2" ht="15.75" customHeight="1">
      <c r="A2" s="1">
        <v>1.0</v>
      </c>
      <c r="B2" s="1">
        <v>0.0158765668959657</v>
      </c>
      <c r="C2" s="1">
        <v>1.5954236501613708</v>
      </c>
      <c r="D2" s="1">
        <v>1.5472906723363775</v>
      </c>
      <c r="E2" s="1">
        <v>0.03206559633772252</v>
      </c>
      <c r="F2" s="1">
        <v>0.06231042422483472</v>
      </c>
      <c r="G2" s="1">
        <v>3.245840854595916</v>
      </c>
      <c r="H2" s="1">
        <v>0.03229272297294215</v>
      </c>
      <c r="I2" s="1">
        <v>0.2846192607596702</v>
      </c>
      <c r="J2" s="1">
        <v>0.0</v>
      </c>
      <c r="K2" s="1">
        <v>1.0431095581021987</v>
      </c>
      <c r="L2" s="1">
        <v>1.582845354334071</v>
      </c>
      <c r="M2" s="1">
        <v>0.0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ht="15.75" customHeight="1">
      <c r="A3" s="1">
        <v>2.0</v>
      </c>
      <c r="B3" s="1">
        <v>0.019502001278515275</v>
      </c>
      <c r="C3" s="1">
        <v>1.6489731846785245</v>
      </c>
      <c r="D3" s="1">
        <v>1.2713134042108685</v>
      </c>
      <c r="E3" s="1">
        <v>0.0</v>
      </c>
      <c r="F3" s="1">
        <v>3.641034400856635E-7</v>
      </c>
      <c r="G3" s="1">
        <v>3.2560535834000977</v>
      </c>
      <c r="H3" s="1">
        <v>0.0</v>
      </c>
      <c r="I3" s="1">
        <v>0.29279204632056205</v>
      </c>
      <c r="J3" s="1">
        <v>0.0</v>
      </c>
      <c r="K3" s="1">
        <v>1.0408963234212845</v>
      </c>
      <c r="L3" s="1">
        <v>1.6497079783770554</v>
      </c>
      <c r="M3" s="1">
        <v>0.9657084889051681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ht="15.75" customHeight="1">
      <c r="A4" s="1">
        <v>3.0</v>
      </c>
      <c r="B4" s="1">
        <v>0.009889006281250725</v>
      </c>
      <c r="C4" s="1">
        <v>1.40661128916876</v>
      </c>
      <c r="D4" s="1">
        <v>1.515586631700115</v>
      </c>
      <c r="E4" s="1">
        <v>0.0027982632092626606</v>
      </c>
      <c r="F4" s="1">
        <v>0.0</v>
      </c>
      <c r="G4" s="1">
        <v>3.3351834051347047</v>
      </c>
      <c r="H4" s="1">
        <v>4.028872636499428E-6</v>
      </c>
      <c r="I4" s="1">
        <v>0.3004046072199007</v>
      </c>
      <c r="J4" s="1">
        <v>0.0</v>
      </c>
      <c r="K4" s="1">
        <v>1.1161656686022108</v>
      </c>
      <c r="L4" s="1">
        <v>1.7162412202440926</v>
      </c>
      <c r="M4" s="1">
        <v>1.0934638109738362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ht="15.75" customHeight="1">
      <c r="A5" s="1"/>
      <c r="B5" s="1"/>
      <c r="C5" s="1"/>
      <c r="D5" s="1"/>
      <c r="E5" s="1"/>
      <c r="F5" s="1"/>
      <c r="G5" s="3"/>
      <c r="H5" s="1"/>
      <c r="I5" s="1"/>
      <c r="J5" s="1"/>
      <c r="K5" s="1"/>
      <c r="L5" s="1"/>
      <c r="M5" s="1"/>
      <c r="N5" s="1"/>
      <c r="O5" s="1"/>
      <c r="P5" s="1"/>
      <c r="Q5" s="4">
        <v>2.0</v>
      </c>
      <c r="R5" s="4">
        <v>4.0</v>
      </c>
      <c r="S5" s="4" t="s">
        <v>15</v>
      </c>
      <c r="T5" s="4" t="s">
        <v>16</v>
      </c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ht="15.75" customHeight="1">
      <c r="A6" s="1"/>
      <c r="B6" s="1"/>
      <c r="C6" s="1"/>
      <c r="D6" s="1"/>
      <c r="E6" s="1"/>
      <c r="F6" s="1"/>
      <c r="G6" s="3"/>
      <c r="H6" s="1"/>
      <c r="I6" s="1"/>
      <c r="J6" s="1"/>
      <c r="K6" s="1" t="s">
        <v>17</v>
      </c>
      <c r="L6" s="1">
        <f t="shared" ref="L6:N6" si="1">MAX(L11:L510)</f>
        <v>69.01217992</v>
      </c>
      <c r="M6" s="1">
        <f t="shared" si="1"/>
        <v>65.92724216</v>
      </c>
      <c r="N6" s="1">
        <f t="shared" si="1"/>
        <v>66.82093798</v>
      </c>
      <c r="O6" s="1"/>
      <c r="P6" s="1" t="s">
        <v>18</v>
      </c>
      <c r="Q6" s="1">
        <f t="shared" ref="Q6:R6" si="2">AVERAGEIFS($U11:$U510,$K11:$K510,Q5)</f>
        <v>2.524741018</v>
      </c>
      <c r="R6" s="1">
        <f t="shared" si="2"/>
        <v>3.272480169</v>
      </c>
      <c r="S6" s="1">
        <f>(Q6*Q7+R6*R7)/500</f>
        <v>2.798413547</v>
      </c>
      <c r="T6" s="1">
        <f>SUM(X511:X693)</f>
        <v>5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ht="15.75" customHeight="1">
      <c r="A7" s="1"/>
      <c r="B7" s="1"/>
      <c r="C7" s="1"/>
      <c r="D7" s="1"/>
      <c r="E7" s="1"/>
      <c r="F7" s="1"/>
      <c r="G7" s="3"/>
      <c r="H7" s="1"/>
      <c r="I7" s="1"/>
      <c r="J7" s="1"/>
      <c r="K7" s="1" t="s">
        <v>19</v>
      </c>
      <c r="L7" s="1">
        <f t="shared" ref="L7:N7" si="3">MIN(L11:L510)</f>
        <v>7.858829306</v>
      </c>
      <c r="M7" s="1">
        <f t="shared" si="3"/>
        <v>7.529530907</v>
      </c>
      <c r="N7" s="1">
        <f t="shared" si="3"/>
        <v>7.6866429</v>
      </c>
      <c r="O7" s="1"/>
      <c r="P7" s="1" t="s">
        <v>20</v>
      </c>
      <c r="Q7" s="1">
        <f t="shared" ref="Q7:R7" si="4">COUNTIFS($K11:$K510,Q5)</f>
        <v>317</v>
      </c>
      <c r="R7" s="1">
        <f t="shared" si="4"/>
        <v>183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ht="15.75" customHeight="1">
      <c r="A8" s="1"/>
      <c r="B8" s="1"/>
      <c r="C8" s="1"/>
      <c r="D8" s="1"/>
      <c r="E8" s="1"/>
      <c r="F8" s="1"/>
      <c r="G8" s="3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ht="15.75" customHeight="1">
      <c r="A9" s="1"/>
      <c r="B9" s="1"/>
      <c r="C9" s="1"/>
      <c r="D9" s="1"/>
      <c r="E9" s="1"/>
      <c r="F9" s="1"/>
      <c r="G9" s="3"/>
      <c r="H9" s="1"/>
      <c r="I9" s="1"/>
      <c r="J9" s="1"/>
      <c r="K9" s="1"/>
      <c r="L9" s="5" t="s">
        <v>21</v>
      </c>
      <c r="O9" s="6" t="s">
        <v>22</v>
      </c>
      <c r="R9" s="1" t="s">
        <v>23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ht="15.75" customHeight="1">
      <c r="A10" s="1"/>
      <c r="B10" s="1" t="s">
        <v>24</v>
      </c>
      <c r="C10" s="1" t="s">
        <v>25</v>
      </c>
      <c r="D10" s="1" t="s">
        <v>26</v>
      </c>
      <c r="E10" s="1" t="s">
        <v>27</v>
      </c>
      <c r="F10" s="1" t="s">
        <v>28</v>
      </c>
      <c r="G10" s="1" t="s">
        <v>29</v>
      </c>
      <c r="H10" s="1" t="s">
        <v>30</v>
      </c>
      <c r="I10" s="1" t="s">
        <v>31</v>
      </c>
      <c r="J10" s="1" t="s">
        <v>32</v>
      </c>
      <c r="K10" s="1" t="s">
        <v>33</v>
      </c>
      <c r="L10" s="1">
        <v>1.0</v>
      </c>
      <c r="M10" s="1">
        <v>2.0</v>
      </c>
      <c r="N10" s="1">
        <v>3.0</v>
      </c>
      <c r="O10" s="1">
        <v>1.0</v>
      </c>
      <c r="P10" s="1">
        <v>2.0</v>
      </c>
      <c r="Q10" s="1">
        <v>3.0</v>
      </c>
      <c r="R10" s="1">
        <v>1.0</v>
      </c>
      <c r="S10" s="1">
        <v>2.0</v>
      </c>
      <c r="T10" s="1">
        <v>3.0</v>
      </c>
      <c r="U10" s="1" t="s">
        <v>34</v>
      </c>
      <c r="V10" s="1" t="s">
        <v>35</v>
      </c>
      <c r="W10" s="4" t="s">
        <v>36</v>
      </c>
      <c r="X10" s="4" t="s">
        <v>37</v>
      </c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ht="15.75" customHeight="1">
      <c r="A11" s="1"/>
      <c r="B11" s="1">
        <v>10.0</v>
      </c>
      <c r="C11" s="1">
        <v>10.0</v>
      </c>
      <c r="D11" s="1">
        <v>10.0</v>
      </c>
      <c r="E11" s="1">
        <v>8.0</v>
      </c>
      <c r="F11" s="1">
        <v>6.0</v>
      </c>
      <c r="G11" s="3">
        <v>1.0</v>
      </c>
      <c r="H11" s="1">
        <v>8.0</v>
      </c>
      <c r="I11" s="1">
        <v>9.0</v>
      </c>
      <c r="J11" s="1">
        <v>1.0</v>
      </c>
      <c r="K11" s="1">
        <v>4.0</v>
      </c>
      <c r="L11" s="1">
        <f t="shared" ref="L11:N11" si="5">SUMPRODUCT($B11:$J11, INDEX($B$2:$J$4, L$10, 0)) + INDEX($K$2:$K$4, L$10,1)</f>
        <v>39.32516175</v>
      </c>
      <c r="M11" s="1">
        <f t="shared" si="5"/>
        <v>36.32996641</v>
      </c>
      <c r="N11" s="1">
        <f t="shared" si="5"/>
        <v>36.49827815</v>
      </c>
      <c r="O11" s="1">
        <f t="shared" ref="O11:Q11" si="6">(L11-L$7)/(L$6-L$7)</f>
        <v>0.5145479704</v>
      </c>
      <c r="P11" s="1">
        <f t="shared" si="6"/>
        <v>0.4931774702</v>
      </c>
      <c r="Q11" s="1">
        <f t="shared" si="6"/>
        <v>0.4872237879</v>
      </c>
      <c r="R11" s="1">
        <f t="shared" ref="R11:T11" si="7">1/(1+EXP(-O11))</f>
        <v>0.6258720183</v>
      </c>
      <c r="S11" s="1">
        <f t="shared" si="7"/>
        <v>0.6208546769</v>
      </c>
      <c r="T11" s="1">
        <f t="shared" si="7"/>
        <v>0.61945221</v>
      </c>
      <c r="U11" s="1">
        <f t="shared" ref="U11:U693" si="11">MMULT(R11:T11, $L$2:$L$4)+$M$2</f>
        <v>3.078016947</v>
      </c>
      <c r="V11" s="1">
        <f t="shared" ref="V11:V693" si="12">(U11-K11)^2</f>
        <v>0.8500527496</v>
      </c>
      <c r="W11" s="1">
        <f t="shared" ref="W11:W693" si="13">IF(U11&lt;=$S$6,2,4)</f>
        <v>4</v>
      </c>
      <c r="X11" s="1">
        <f t="shared" ref="X11:X693" si="14">IF(K11=W11,0,1)</f>
        <v>0</v>
      </c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ht="15.75" customHeight="1">
      <c r="A12" s="1"/>
      <c r="B12" s="1">
        <v>1.0</v>
      </c>
      <c r="C12" s="1">
        <v>1.0</v>
      </c>
      <c r="D12" s="1">
        <v>1.0</v>
      </c>
      <c r="E12" s="1">
        <v>1.0</v>
      </c>
      <c r="F12" s="1">
        <v>2.0</v>
      </c>
      <c r="G12" s="3">
        <v>1.0</v>
      </c>
      <c r="H12" s="1">
        <v>3.0</v>
      </c>
      <c r="I12" s="1">
        <v>1.0</v>
      </c>
      <c r="J12" s="1">
        <v>1.0</v>
      </c>
      <c r="K12" s="1">
        <v>2.0</v>
      </c>
      <c r="L12" s="1">
        <f t="shared" ref="L12:N12" si="8">SUMPRODUCT($B12:$J12, INDEX($B$2:$J$4, L$10, 0)) + INDEX($K$2:$K$4, L$10,1)</f>
        <v>7.985725177</v>
      </c>
      <c r="M12" s="1">
        <f t="shared" si="8"/>
        <v>7.529531272</v>
      </c>
      <c r="N12" s="1">
        <f t="shared" si="8"/>
        <v>7.686650958</v>
      </c>
      <c r="O12" s="1">
        <f t="shared" ref="O12:Q12" si="9">(L12-L$7)/(L$6-L$7)</f>
        <v>0.002075043622</v>
      </c>
      <c r="P12" s="1">
        <f t="shared" si="9"/>
        <v>0.000000006234892308</v>
      </c>
      <c r="Q12" s="1">
        <f t="shared" si="9"/>
        <v>0.0000001362617963</v>
      </c>
      <c r="R12" s="1">
        <f t="shared" ref="R12:T12" si="10">1/(1+EXP(-O12))</f>
        <v>0.5005187607</v>
      </c>
      <c r="S12" s="1">
        <f t="shared" si="10"/>
        <v>0.5000000016</v>
      </c>
      <c r="T12" s="1">
        <f t="shared" si="10"/>
        <v>0.5000000341</v>
      </c>
      <c r="U12" s="1">
        <f t="shared" si="11"/>
        <v>2.475218456</v>
      </c>
      <c r="V12" s="1">
        <f t="shared" si="12"/>
        <v>0.2258325805</v>
      </c>
      <c r="W12" s="1">
        <f t="shared" si="13"/>
        <v>2</v>
      </c>
      <c r="X12" s="1">
        <f t="shared" si="14"/>
        <v>0</v>
      </c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ht="15.75" customHeight="1">
      <c r="A13" s="1"/>
      <c r="B13" s="1">
        <v>3.0</v>
      </c>
      <c r="C13" s="1">
        <v>1.0</v>
      </c>
      <c r="D13" s="1">
        <v>1.0</v>
      </c>
      <c r="E13" s="1">
        <v>1.0</v>
      </c>
      <c r="F13" s="1">
        <v>2.0</v>
      </c>
      <c r="G13" s="3">
        <v>1.0</v>
      </c>
      <c r="H13" s="1">
        <v>1.0</v>
      </c>
      <c r="I13" s="1">
        <v>1.0</v>
      </c>
      <c r="J13" s="1">
        <v>1.0</v>
      </c>
      <c r="K13" s="1">
        <v>2.0</v>
      </c>
      <c r="L13" s="1">
        <f t="shared" ref="L13:N13" si="15">SUMPRODUCT($B13:$J13, INDEX($B$2:$J$4, L$10, 0)) + INDEX($K$2:$K$4, L$10,1)</f>
        <v>7.952892864</v>
      </c>
      <c r="M13" s="1">
        <f t="shared" si="15"/>
        <v>7.568535274</v>
      </c>
      <c r="N13" s="1">
        <f t="shared" si="15"/>
        <v>7.706420913</v>
      </c>
      <c r="O13" s="1">
        <f t="shared" ref="O13:Q13" si="16">(L13-L$7)/(L$6-L$7)</f>
        <v>0.001538158696</v>
      </c>
      <c r="P13" s="1">
        <f t="shared" si="16"/>
        <v>0.0006679091667</v>
      </c>
      <c r="Q13" s="1">
        <f t="shared" si="16"/>
        <v>0.0003344592598</v>
      </c>
      <c r="R13" s="1">
        <f t="shared" ref="R13:T13" si="17">1/(1+EXP(-O13))</f>
        <v>0.5003845396</v>
      </c>
      <c r="S13" s="1">
        <f t="shared" si="17"/>
        <v>0.5001669773</v>
      </c>
      <c r="T13" s="1">
        <f t="shared" si="17"/>
        <v>0.5000836148</v>
      </c>
      <c r="U13" s="1">
        <f t="shared" si="11"/>
        <v>2.47542491</v>
      </c>
      <c r="V13" s="1">
        <f t="shared" si="12"/>
        <v>0.2260288452</v>
      </c>
      <c r="W13" s="1">
        <f t="shared" si="13"/>
        <v>2</v>
      </c>
      <c r="X13" s="1">
        <f t="shared" si="14"/>
        <v>0</v>
      </c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ht="15.75" customHeight="1">
      <c r="A14" s="1"/>
      <c r="B14" s="1">
        <v>3.0</v>
      </c>
      <c r="C14" s="1">
        <v>1.0</v>
      </c>
      <c r="D14" s="1">
        <v>1.0</v>
      </c>
      <c r="E14" s="1">
        <v>1.0</v>
      </c>
      <c r="F14" s="1">
        <v>2.0</v>
      </c>
      <c r="G14" s="3">
        <v>1.0</v>
      </c>
      <c r="H14" s="1">
        <v>2.0</v>
      </c>
      <c r="I14" s="1">
        <v>1.0</v>
      </c>
      <c r="J14" s="1">
        <v>1.0</v>
      </c>
      <c r="K14" s="1">
        <v>2.0</v>
      </c>
      <c r="L14" s="1">
        <f t="shared" ref="L14:N14" si="18">SUMPRODUCT($B14:$J14, INDEX($B$2:$J$4, L$10, 0)) + INDEX($K$2:$K$4, L$10,1)</f>
        <v>7.985185587</v>
      </c>
      <c r="M14" s="1">
        <f t="shared" si="18"/>
        <v>7.568535274</v>
      </c>
      <c r="N14" s="1">
        <f t="shared" si="18"/>
        <v>7.706424942</v>
      </c>
      <c r="O14" s="1">
        <f t="shared" ref="O14:Q14" si="19">(L14-L$7)/(L$6-L$7)</f>
        <v>0.00206622008</v>
      </c>
      <c r="P14" s="1">
        <f t="shared" si="19"/>
        <v>0.0006679091667</v>
      </c>
      <c r="Q14" s="1">
        <f t="shared" si="19"/>
        <v>0.0003345273907</v>
      </c>
      <c r="R14" s="1">
        <f t="shared" ref="R14:T14" si="20">1/(1+EXP(-O14))</f>
        <v>0.5005165548</v>
      </c>
      <c r="S14" s="1">
        <f t="shared" si="20"/>
        <v>0.5001669773</v>
      </c>
      <c r="T14" s="1">
        <f t="shared" si="20"/>
        <v>0.5000836318</v>
      </c>
      <c r="U14" s="1">
        <f t="shared" si="11"/>
        <v>2.475633899</v>
      </c>
      <c r="V14" s="1">
        <f t="shared" si="12"/>
        <v>0.226227606</v>
      </c>
      <c r="W14" s="1">
        <f t="shared" si="13"/>
        <v>2</v>
      </c>
      <c r="X14" s="1">
        <f t="shared" si="14"/>
        <v>0</v>
      </c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ht="15.75" customHeight="1">
      <c r="A15" s="1"/>
      <c r="B15" s="1">
        <v>10.0</v>
      </c>
      <c r="C15" s="1">
        <v>10.0</v>
      </c>
      <c r="D15" s="1">
        <v>10.0</v>
      </c>
      <c r="E15" s="1">
        <v>10.0</v>
      </c>
      <c r="F15" s="1">
        <v>10.0</v>
      </c>
      <c r="G15" s="3">
        <v>10.0</v>
      </c>
      <c r="H15" s="1">
        <v>4.0</v>
      </c>
      <c r="I15" s="1">
        <v>10.0</v>
      </c>
      <c r="J15" s="1">
        <v>10.0</v>
      </c>
      <c r="K15" s="1">
        <v>4.0</v>
      </c>
      <c r="L15" s="1">
        <f t="shared" ref="L15:N15" si="21">SUMPRODUCT($B15:$J15, INDEX($B$2:$J$4, L$10, 0)) + INDEX($K$2:$K$4, L$10,1)</f>
        <v>69.0065507</v>
      </c>
      <c r="M15" s="1">
        <f t="shared" si="21"/>
        <v>65.92724216</v>
      </c>
      <c r="N15" s="1">
        <f t="shared" si="21"/>
        <v>66.82091381</v>
      </c>
      <c r="O15" s="1">
        <f t="shared" ref="O15:Q15" si="22">(L15-L$7)/(L$6-L$7)</f>
        <v>0.9999079491</v>
      </c>
      <c r="P15" s="1">
        <f t="shared" si="22"/>
        <v>1</v>
      </c>
      <c r="Q15" s="1">
        <f t="shared" si="22"/>
        <v>0.9999995912</v>
      </c>
      <c r="R15" s="1">
        <f t="shared" ref="R15:T15" si="23">1/(1+EXP(-O15))</f>
        <v>0.7310404799</v>
      </c>
      <c r="S15" s="1">
        <f t="shared" si="23"/>
        <v>0.7310585786</v>
      </c>
      <c r="T15" s="1">
        <f t="shared" si="23"/>
        <v>0.7310584983</v>
      </c>
      <c r="U15" s="1">
        <f t="shared" si="11"/>
        <v>3.617829926</v>
      </c>
      <c r="V15" s="1">
        <f t="shared" si="12"/>
        <v>0.1460539651</v>
      </c>
      <c r="W15" s="1">
        <f t="shared" si="13"/>
        <v>4</v>
      </c>
      <c r="X15" s="1">
        <f t="shared" si="14"/>
        <v>0</v>
      </c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ht="15.75" customHeight="1">
      <c r="A16" s="1"/>
      <c r="B16" s="1">
        <v>6.0</v>
      </c>
      <c r="C16" s="1">
        <v>5.0</v>
      </c>
      <c r="D16" s="1">
        <v>5.0</v>
      </c>
      <c r="E16" s="1">
        <v>8.0</v>
      </c>
      <c r="F16" s="1">
        <v>4.0</v>
      </c>
      <c r="G16" s="3">
        <v>10.0</v>
      </c>
      <c r="H16" s="1">
        <v>3.0</v>
      </c>
      <c r="I16" s="1">
        <v>4.0</v>
      </c>
      <c r="J16" s="1">
        <v>1.0</v>
      </c>
      <c r="K16" s="1">
        <v>4.0</v>
      </c>
      <c r="L16" s="1">
        <f t="shared" ref="L16:N16" si="24">SUMPRODUCT($B16:$J16, INDEX($B$2:$J$4, L$10, 0)) + INDEX($K$2:$K$4, L$10,1)</f>
        <v>51.0514708</v>
      </c>
      <c r="M16" s="1">
        <f t="shared" si="24"/>
        <v>49.49104675</v>
      </c>
      <c r="N16" s="1">
        <f t="shared" si="24"/>
        <v>50.36233998</v>
      </c>
      <c r="O16" s="1">
        <f t="shared" ref="O16:Q16" si="25">(L16-L$7)/(L$6-L$7)</f>
        <v>0.7063004897</v>
      </c>
      <c r="P16" s="1">
        <f t="shared" si="25"/>
        <v>0.7185472674</v>
      </c>
      <c r="Q16" s="1">
        <f t="shared" si="25"/>
        <v>0.7216742336</v>
      </c>
      <c r="R16" s="1">
        <f t="shared" ref="R16:T16" si="26">1/(1+EXP(-O16))</f>
        <v>0.6695831886</v>
      </c>
      <c r="S16" s="1">
        <f t="shared" si="26"/>
        <v>0.6722870353</v>
      </c>
      <c r="T16" s="1">
        <f t="shared" si="26"/>
        <v>0.6729755881</v>
      </c>
      <c r="U16" s="1">
        <f t="shared" si="11"/>
        <v>3.32391237</v>
      </c>
      <c r="V16" s="1">
        <f t="shared" si="12"/>
        <v>0.4570944838</v>
      </c>
      <c r="W16" s="1">
        <f t="shared" si="13"/>
        <v>4</v>
      </c>
      <c r="X16" s="1">
        <f t="shared" si="14"/>
        <v>0</v>
      </c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ht="15.75" customHeight="1">
      <c r="A17" s="1"/>
      <c r="B17" s="1">
        <v>1.0</v>
      </c>
      <c r="C17" s="1">
        <v>1.0</v>
      </c>
      <c r="D17" s="1">
        <v>1.0</v>
      </c>
      <c r="E17" s="1">
        <v>1.0</v>
      </c>
      <c r="F17" s="1">
        <v>2.0</v>
      </c>
      <c r="G17" s="3">
        <v>1.0</v>
      </c>
      <c r="H17" s="1">
        <v>1.0</v>
      </c>
      <c r="I17" s="1">
        <v>1.0</v>
      </c>
      <c r="J17" s="1">
        <v>1.0</v>
      </c>
      <c r="K17" s="1">
        <v>2.0</v>
      </c>
      <c r="L17" s="1">
        <f t="shared" ref="L17:N17" si="27">SUMPRODUCT($B17:$J17, INDEX($B$2:$J$4, L$10, 0)) + INDEX($K$2:$K$4, L$10,1)</f>
        <v>7.921139731</v>
      </c>
      <c r="M17" s="1">
        <f t="shared" si="27"/>
        <v>7.529531272</v>
      </c>
      <c r="N17" s="1">
        <f t="shared" si="27"/>
        <v>7.6866429</v>
      </c>
      <c r="O17" s="1">
        <f t="shared" ref="O17:Q17" si="28">(L17-L$7)/(L$6-L$7)</f>
        <v>0.001018920854</v>
      </c>
      <c r="P17" s="1">
        <f t="shared" si="28"/>
        <v>0.000000006234892308</v>
      </c>
      <c r="Q17" s="1">
        <f t="shared" si="28"/>
        <v>0</v>
      </c>
      <c r="R17" s="1">
        <f t="shared" ref="R17:T17" si="29">1/(1+EXP(-O17))</f>
        <v>0.5002547302</v>
      </c>
      <c r="S17" s="1">
        <f t="shared" si="29"/>
        <v>0.5000000016</v>
      </c>
      <c r="T17" s="1">
        <f t="shared" si="29"/>
        <v>0.5</v>
      </c>
      <c r="U17" s="1">
        <f t="shared" si="11"/>
        <v>2.474800478</v>
      </c>
      <c r="V17" s="1">
        <f t="shared" si="12"/>
        <v>0.2254354935</v>
      </c>
      <c r="W17" s="1">
        <f t="shared" si="13"/>
        <v>2</v>
      </c>
      <c r="X17" s="1">
        <f t="shared" si="14"/>
        <v>0</v>
      </c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ht="15.75" customHeight="1">
      <c r="A18" s="1"/>
      <c r="B18" s="1">
        <v>5.0</v>
      </c>
      <c r="C18" s="1">
        <v>2.0</v>
      </c>
      <c r="D18" s="1">
        <v>1.0</v>
      </c>
      <c r="E18" s="1">
        <v>1.0</v>
      </c>
      <c r="F18" s="1">
        <v>2.0</v>
      </c>
      <c r="G18" s="3">
        <v>1.0</v>
      </c>
      <c r="H18" s="1">
        <v>1.0</v>
      </c>
      <c r="I18" s="1">
        <v>1.0</v>
      </c>
      <c r="J18" s="1">
        <v>1.0</v>
      </c>
      <c r="K18" s="1">
        <v>2.0</v>
      </c>
      <c r="L18" s="1">
        <f t="shared" ref="L18:N18" si="30">SUMPRODUCT($B18:$J18, INDEX($B$2:$J$4, L$10, 0)) + INDEX($K$2:$K$4, L$10,1)</f>
        <v>9.580069648</v>
      </c>
      <c r="M18" s="1">
        <f t="shared" si="30"/>
        <v>9.256512461</v>
      </c>
      <c r="N18" s="1">
        <f t="shared" si="30"/>
        <v>9.132810214</v>
      </c>
      <c r="O18" s="1">
        <f t="shared" ref="O18:Q18" si="31">(L18-L$7)/(L$6-L$7)</f>
        <v>0.02814629656</v>
      </c>
      <c r="P18" s="1">
        <f t="shared" si="31"/>
        <v>0.02957276093</v>
      </c>
      <c r="Q18" s="1">
        <f t="shared" si="31"/>
        <v>0.02445564477</v>
      </c>
      <c r="R18" s="1">
        <f t="shared" ref="R18:T18" si="32">1/(1+EXP(-O18))</f>
        <v>0.5070361096</v>
      </c>
      <c r="S18" s="1">
        <f t="shared" si="32"/>
        <v>0.5073926515</v>
      </c>
      <c r="T18" s="1">
        <f t="shared" si="32"/>
        <v>0.5061136065</v>
      </c>
      <c r="U18" s="1">
        <f t="shared" si="11"/>
        <v>2.50822249</v>
      </c>
      <c r="V18" s="1">
        <f t="shared" si="12"/>
        <v>0.2582900988</v>
      </c>
      <c r="W18" s="1">
        <f t="shared" si="13"/>
        <v>2</v>
      </c>
      <c r="X18" s="1">
        <f t="shared" si="14"/>
        <v>0</v>
      </c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ht="15.75" customHeight="1">
      <c r="A19" s="1"/>
      <c r="B19" s="1">
        <v>1.0</v>
      </c>
      <c r="C19" s="1">
        <v>1.0</v>
      </c>
      <c r="D19" s="1">
        <v>1.0</v>
      </c>
      <c r="E19" s="1">
        <v>1.0</v>
      </c>
      <c r="F19" s="1">
        <v>2.0</v>
      </c>
      <c r="G19" s="3">
        <v>1.0</v>
      </c>
      <c r="H19" s="1">
        <v>3.0</v>
      </c>
      <c r="I19" s="1">
        <v>1.0</v>
      </c>
      <c r="J19" s="1">
        <v>1.0</v>
      </c>
      <c r="K19" s="1">
        <v>2.0</v>
      </c>
      <c r="L19" s="1">
        <f t="shared" ref="L19:N19" si="33">SUMPRODUCT($B19:$J19, INDEX($B$2:$J$4, L$10, 0)) + INDEX($K$2:$K$4, L$10,1)</f>
        <v>7.985725177</v>
      </c>
      <c r="M19" s="1">
        <f t="shared" si="33"/>
        <v>7.529531272</v>
      </c>
      <c r="N19" s="1">
        <f t="shared" si="33"/>
        <v>7.686650958</v>
      </c>
      <c r="O19" s="1">
        <f t="shared" ref="O19:Q19" si="34">(L19-L$7)/(L$6-L$7)</f>
        <v>0.002075043622</v>
      </c>
      <c r="P19" s="1">
        <f t="shared" si="34"/>
        <v>0.000000006234892308</v>
      </c>
      <c r="Q19" s="1">
        <f t="shared" si="34"/>
        <v>0.0000001362617963</v>
      </c>
      <c r="R19" s="1">
        <f t="shared" ref="R19:T19" si="35">1/(1+EXP(-O19))</f>
        <v>0.5005187607</v>
      </c>
      <c r="S19" s="1">
        <f t="shared" si="35"/>
        <v>0.5000000016</v>
      </c>
      <c r="T19" s="1">
        <f t="shared" si="35"/>
        <v>0.5000000341</v>
      </c>
      <c r="U19" s="1">
        <f t="shared" si="11"/>
        <v>2.475218456</v>
      </c>
      <c r="V19" s="1">
        <f t="shared" si="12"/>
        <v>0.2258325805</v>
      </c>
      <c r="W19" s="1">
        <f t="shared" si="13"/>
        <v>2</v>
      </c>
      <c r="X19" s="1">
        <f t="shared" si="14"/>
        <v>0</v>
      </c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ht="15.75" customHeight="1">
      <c r="A20" s="1"/>
      <c r="B20" s="1">
        <v>4.0</v>
      </c>
      <c r="C20" s="1">
        <v>10.0</v>
      </c>
      <c r="D20" s="1">
        <v>8.0</v>
      </c>
      <c r="E20" s="1">
        <v>5.0</v>
      </c>
      <c r="F20" s="1">
        <v>4.0</v>
      </c>
      <c r="G20" s="3">
        <v>1.0</v>
      </c>
      <c r="H20" s="1">
        <v>10.0</v>
      </c>
      <c r="I20" s="1">
        <v>1.0</v>
      </c>
      <c r="J20" s="1">
        <v>1.0</v>
      </c>
      <c r="K20" s="1">
        <v>4.0</v>
      </c>
      <c r="L20" s="1">
        <f t="shared" ref="L20:N20" si="36">SUMPRODUCT($B20:$J20, INDEX($B$2:$J$4, L$10, 0)) + INDEX($K$2:$K$4, L$10,1)</f>
        <v>33.70213473</v>
      </c>
      <c r="M20" s="1">
        <f t="shared" si="36"/>
        <v>31.3279905</v>
      </c>
      <c r="N20" s="1">
        <f t="shared" si="36"/>
        <v>30.99614726</v>
      </c>
      <c r="O20" s="1">
        <f t="shared" ref="O20:Q20" si="37">(L20-L$7)/(L$6-L$7)</f>
        <v>0.4225983558</v>
      </c>
      <c r="P20" s="1">
        <f t="shared" si="37"/>
        <v>0.4075238408</v>
      </c>
      <c r="Q20" s="1">
        <f t="shared" si="37"/>
        <v>0.3941791193</v>
      </c>
      <c r="R20" s="1">
        <f t="shared" ref="R20:T20" si="38">1/(1+EXP(-O20))</f>
        <v>0.6041048461</v>
      </c>
      <c r="S20" s="1">
        <f t="shared" si="38"/>
        <v>0.600493994</v>
      </c>
      <c r="T20" s="1">
        <f t="shared" si="38"/>
        <v>0.5972883311</v>
      </c>
      <c r="U20" s="1">
        <f t="shared" si="11"/>
        <v>2.971935136</v>
      </c>
      <c r="V20" s="1">
        <f t="shared" si="12"/>
        <v>1.056917364</v>
      </c>
      <c r="W20" s="1">
        <f t="shared" si="13"/>
        <v>4</v>
      </c>
      <c r="X20" s="1">
        <f t="shared" si="14"/>
        <v>0</v>
      </c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ht="15.75" customHeight="1">
      <c r="A21" s="1"/>
      <c r="B21" s="1">
        <v>4.0</v>
      </c>
      <c r="C21" s="1">
        <v>8.0</v>
      </c>
      <c r="D21" s="1">
        <v>8.0</v>
      </c>
      <c r="E21" s="1">
        <v>5.0</v>
      </c>
      <c r="F21" s="1">
        <v>4.0</v>
      </c>
      <c r="G21" s="3">
        <v>5.0</v>
      </c>
      <c r="H21" s="1">
        <v>10.0</v>
      </c>
      <c r="I21" s="1">
        <v>4.0</v>
      </c>
      <c r="J21" s="1">
        <v>1.0</v>
      </c>
      <c r="K21" s="1">
        <v>4.0</v>
      </c>
      <c r="L21" s="1">
        <f t="shared" ref="L21:N21" si="39">SUMPRODUCT($B21:$J21, INDEX($B$2:$J$4, L$10, 0)) + INDEX($K$2:$K$4, L$10,1)</f>
        <v>44.34850863</v>
      </c>
      <c r="M21" s="1">
        <f t="shared" si="39"/>
        <v>41.9326346</v>
      </c>
      <c r="N21" s="1">
        <f t="shared" si="39"/>
        <v>42.42487212</v>
      </c>
      <c r="O21" s="1">
        <f t="shared" ref="O21:Q21" si="40">(L21-L$7)/(L$6-L$7)</f>
        <v>0.5966914152</v>
      </c>
      <c r="P21" s="1">
        <f t="shared" si="40"/>
        <v>0.5891173293</v>
      </c>
      <c r="Q21" s="1">
        <f t="shared" si="40"/>
        <v>0.5874464077</v>
      </c>
      <c r="R21" s="1">
        <f t="shared" ref="R21:T21" si="41">1/(1+EXP(-O21))</f>
        <v>0.6448989899</v>
      </c>
      <c r="S21" s="1">
        <f t="shared" si="41"/>
        <v>0.6431625944</v>
      </c>
      <c r="T21" s="1">
        <f t="shared" si="41"/>
        <v>0.6427790188</v>
      </c>
      <c r="U21" s="1">
        <f t="shared" si="11"/>
        <v>3.184969681</v>
      </c>
      <c r="V21" s="1">
        <f t="shared" si="12"/>
        <v>0.6642744207</v>
      </c>
      <c r="W21" s="1">
        <f t="shared" si="13"/>
        <v>4</v>
      </c>
      <c r="X21" s="1">
        <f t="shared" si="14"/>
        <v>0</v>
      </c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ht="15.75" customHeight="1">
      <c r="A22" s="1"/>
      <c r="B22" s="1">
        <v>7.0</v>
      </c>
      <c r="C22" s="1">
        <v>8.0</v>
      </c>
      <c r="D22" s="1">
        <v>7.0</v>
      </c>
      <c r="E22" s="1">
        <v>2.0</v>
      </c>
      <c r="F22" s="1">
        <v>4.0</v>
      </c>
      <c r="G22" s="3">
        <v>8.0</v>
      </c>
      <c r="H22" s="1">
        <v>3.0</v>
      </c>
      <c r="I22" s="1">
        <v>8.0</v>
      </c>
      <c r="J22" s="1">
        <v>2.0</v>
      </c>
      <c r="K22" s="1">
        <v>4.0</v>
      </c>
      <c r="L22" s="1">
        <f t="shared" ref="L22:N22" si="42">SUMPRODUCT($B22:$J22, INDEX($B$2:$J$4, L$10, 0)) + INDEX($K$2:$K$4, L$10,1)</f>
        <v>53.40260142</v>
      </c>
      <c r="M22" s="1">
        <f t="shared" si="42"/>
        <v>51.65915613</v>
      </c>
      <c r="N22" s="1">
        <f t="shared" si="42"/>
        <v>52.13769816</v>
      </c>
      <c r="O22" s="1">
        <f t="shared" ref="O22:Q22" si="43">(L22-L$7)/(L$6-L$7)</f>
        <v>0.7447469623</v>
      </c>
      <c r="P22" s="1">
        <f t="shared" si="43"/>
        <v>0.7556738831</v>
      </c>
      <c r="Q22" s="1">
        <f t="shared" si="43"/>
        <v>0.7516967133</v>
      </c>
      <c r="R22" s="1">
        <f t="shared" ref="R22:T22" si="44">1/(1+EXP(-O22))</f>
        <v>0.6780330128</v>
      </c>
      <c r="S22" s="1">
        <f t="shared" si="44"/>
        <v>0.680413751</v>
      </c>
      <c r="T22" s="1">
        <f t="shared" si="44"/>
        <v>0.6795482921</v>
      </c>
      <c r="U22" s="1">
        <f t="shared" si="11"/>
        <v>3.361974188</v>
      </c>
      <c r="V22" s="1">
        <f t="shared" si="12"/>
        <v>0.4070769367</v>
      </c>
      <c r="W22" s="1">
        <f t="shared" si="13"/>
        <v>4</v>
      </c>
      <c r="X22" s="1">
        <f t="shared" si="14"/>
        <v>0</v>
      </c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ht="15.75" customHeight="1">
      <c r="A23" s="1"/>
      <c r="B23" s="1">
        <v>1.0</v>
      </c>
      <c r="C23" s="1">
        <v>1.0</v>
      </c>
      <c r="D23" s="1">
        <v>4.0</v>
      </c>
      <c r="E23" s="1">
        <v>1.0</v>
      </c>
      <c r="F23" s="1">
        <v>2.0</v>
      </c>
      <c r="G23" s="3">
        <v>1.0</v>
      </c>
      <c r="H23" s="1">
        <v>2.0</v>
      </c>
      <c r="I23" s="1">
        <v>1.0</v>
      </c>
      <c r="J23" s="1">
        <v>1.0</v>
      </c>
      <c r="K23" s="1">
        <v>2.0</v>
      </c>
      <c r="L23" s="1">
        <f t="shared" ref="L23:N23" si="45">SUMPRODUCT($B23:$J23, INDEX($B$2:$J$4, L$10, 0)) + INDEX($K$2:$K$4, L$10,1)</f>
        <v>12.59530447</v>
      </c>
      <c r="M23" s="1">
        <f t="shared" si="45"/>
        <v>11.34347148</v>
      </c>
      <c r="N23" s="1">
        <f t="shared" si="45"/>
        <v>12.23340682</v>
      </c>
      <c r="O23" s="1">
        <f t="shared" ref="O23:Q23" si="46">(L23-L$7)/(L$6-L$7)</f>
        <v>0.07745242274</v>
      </c>
      <c r="P23" s="1">
        <f t="shared" si="46"/>
        <v>0.0653097612</v>
      </c>
      <c r="Q23" s="1">
        <f t="shared" si="46"/>
        <v>0.07688878201</v>
      </c>
      <c r="R23" s="1">
        <f t="shared" ref="R23:T23" si="47">1/(1+EXP(-O23))</f>
        <v>0.5193534317</v>
      </c>
      <c r="S23" s="1">
        <f t="shared" si="47"/>
        <v>0.5163216392</v>
      </c>
      <c r="T23" s="1">
        <f t="shared" si="47"/>
        <v>0.5192127311</v>
      </c>
      <c r="U23" s="1">
        <f t="shared" si="11"/>
        <v>2.564930386</v>
      </c>
      <c r="V23" s="1">
        <f t="shared" si="12"/>
        <v>0.3191463406</v>
      </c>
      <c r="W23" s="1">
        <f t="shared" si="13"/>
        <v>2</v>
      </c>
      <c r="X23" s="1">
        <f t="shared" si="14"/>
        <v>0</v>
      </c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ht="15.75" customHeight="1">
      <c r="A24" s="1"/>
      <c r="B24" s="1">
        <v>1.0</v>
      </c>
      <c r="C24" s="1">
        <v>1.0</v>
      </c>
      <c r="D24" s="1">
        <v>1.0</v>
      </c>
      <c r="E24" s="1">
        <v>1.0</v>
      </c>
      <c r="F24" s="1">
        <v>2.0</v>
      </c>
      <c r="G24" s="3">
        <v>5.0</v>
      </c>
      <c r="H24" s="1">
        <v>1.0</v>
      </c>
      <c r="I24" s="1">
        <v>1.0</v>
      </c>
      <c r="J24" s="1">
        <v>1.0</v>
      </c>
      <c r="K24" s="1">
        <v>2.0</v>
      </c>
      <c r="L24" s="1">
        <f t="shared" ref="L24:N24" si="48">SUMPRODUCT($B24:$J24, INDEX($B$2:$J$4, L$10, 0)) + INDEX($K$2:$K$4, L$10,1)</f>
        <v>20.90450315</v>
      </c>
      <c r="M24" s="1">
        <f t="shared" si="48"/>
        <v>20.55374561</v>
      </c>
      <c r="N24" s="1">
        <f t="shared" si="48"/>
        <v>21.02737652</v>
      </c>
      <c r="O24" s="1">
        <f t="shared" ref="O24:Q24" si="49">(L24-L$7)/(L$6-L$7)</f>
        <v>0.2133272128</v>
      </c>
      <c r="P24" s="1">
        <f t="shared" si="49"/>
        <v>0.2230261155</v>
      </c>
      <c r="Q24" s="1">
        <f t="shared" si="49"/>
        <v>0.2256006198</v>
      </c>
      <c r="R24" s="1">
        <f t="shared" ref="R24:T24" si="50">1/(1+EXP(-O24))</f>
        <v>0.5531304652</v>
      </c>
      <c r="S24" s="1">
        <f t="shared" si="50"/>
        <v>0.5555265589</v>
      </c>
      <c r="T24" s="1">
        <f t="shared" si="50"/>
        <v>0.556162156</v>
      </c>
      <c r="U24" s="1">
        <f t="shared" si="11"/>
        <v>2.746485001</v>
      </c>
      <c r="V24" s="1">
        <f t="shared" si="12"/>
        <v>0.5572398566</v>
      </c>
      <c r="W24" s="1">
        <f t="shared" si="13"/>
        <v>2</v>
      </c>
      <c r="X24" s="1">
        <f t="shared" si="14"/>
        <v>0</v>
      </c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ht="15.75" customHeight="1">
      <c r="A25" s="1"/>
      <c r="B25" s="1">
        <v>3.0</v>
      </c>
      <c r="C25" s="1">
        <v>1.0</v>
      </c>
      <c r="D25" s="1">
        <v>1.0</v>
      </c>
      <c r="E25" s="1">
        <v>1.0</v>
      </c>
      <c r="F25" s="1">
        <v>2.0</v>
      </c>
      <c r="G25" s="3">
        <v>1.0</v>
      </c>
      <c r="H25" s="1">
        <v>3.0</v>
      </c>
      <c r="I25" s="1">
        <v>1.0</v>
      </c>
      <c r="J25" s="1">
        <v>1.0</v>
      </c>
      <c r="K25" s="1">
        <v>2.0</v>
      </c>
      <c r="L25" s="1">
        <f t="shared" ref="L25:N25" si="51">SUMPRODUCT($B25:$J25, INDEX($B$2:$J$4, L$10, 0)) + INDEX($K$2:$K$4, L$10,1)</f>
        <v>8.01747831</v>
      </c>
      <c r="M25" s="1">
        <f t="shared" si="51"/>
        <v>7.568535274</v>
      </c>
      <c r="N25" s="1">
        <f t="shared" si="51"/>
        <v>7.70642897</v>
      </c>
      <c r="O25" s="1">
        <f t="shared" ref="O25:Q25" si="52">(L25-L$7)/(L$6-L$7)</f>
        <v>0.002594281464</v>
      </c>
      <c r="P25" s="1">
        <f t="shared" si="52"/>
        <v>0.0006679091667</v>
      </c>
      <c r="Q25" s="1">
        <f t="shared" si="52"/>
        <v>0.0003345955216</v>
      </c>
      <c r="R25" s="1">
        <f t="shared" ref="R25:T25" si="53">1/(1+EXP(-O25))</f>
        <v>0.50064857</v>
      </c>
      <c r="S25" s="1">
        <f t="shared" si="53"/>
        <v>0.5001669773</v>
      </c>
      <c r="T25" s="1">
        <f t="shared" si="53"/>
        <v>0.5000836489</v>
      </c>
      <c r="U25" s="1">
        <f t="shared" si="11"/>
        <v>2.475842888</v>
      </c>
      <c r="V25" s="1">
        <f t="shared" si="12"/>
        <v>0.226426454</v>
      </c>
      <c r="W25" s="1">
        <f t="shared" si="13"/>
        <v>2</v>
      </c>
      <c r="X25" s="1">
        <f t="shared" si="14"/>
        <v>0</v>
      </c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ht="15.75" customHeight="1">
      <c r="A26" s="1"/>
      <c r="B26" s="1">
        <v>1.0</v>
      </c>
      <c r="C26" s="1">
        <v>1.0</v>
      </c>
      <c r="D26" s="1">
        <v>1.0</v>
      </c>
      <c r="E26" s="1">
        <v>1.0</v>
      </c>
      <c r="F26" s="1">
        <v>2.0</v>
      </c>
      <c r="G26" s="3">
        <v>1.0</v>
      </c>
      <c r="H26" s="1">
        <v>1.0</v>
      </c>
      <c r="I26" s="1">
        <v>1.0</v>
      </c>
      <c r="J26" s="1">
        <v>1.0</v>
      </c>
      <c r="K26" s="1">
        <v>2.0</v>
      </c>
      <c r="L26" s="1">
        <f t="shared" ref="L26:N26" si="54">SUMPRODUCT($B26:$J26, INDEX($B$2:$J$4, L$10, 0)) + INDEX($K$2:$K$4, L$10,1)</f>
        <v>7.921139731</v>
      </c>
      <c r="M26" s="1">
        <f t="shared" si="54"/>
        <v>7.529531272</v>
      </c>
      <c r="N26" s="1">
        <f t="shared" si="54"/>
        <v>7.6866429</v>
      </c>
      <c r="O26" s="1">
        <f t="shared" ref="O26:Q26" si="55">(L26-L$7)/(L$6-L$7)</f>
        <v>0.001018920854</v>
      </c>
      <c r="P26" s="1">
        <f t="shared" si="55"/>
        <v>0.000000006234892308</v>
      </c>
      <c r="Q26" s="1">
        <f t="shared" si="55"/>
        <v>0</v>
      </c>
      <c r="R26" s="1">
        <f t="shared" ref="R26:T26" si="56">1/(1+EXP(-O26))</f>
        <v>0.5002547302</v>
      </c>
      <c r="S26" s="1">
        <f t="shared" si="56"/>
        <v>0.5000000016</v>
      </c>
      <c r="T26" s="1">
        <f t="shared" si="56"/>
        <v>0.5</v>
      </c>
      <c r="U26" s="1">
        <f t="shared" si="11"/>
        <v>2.474800478</v>
      </c>
      <c r="V26" s="1">
        <f t="shared" si="12"/>
        <v>0.2254354935</v>
      </c>
      <c r="W26" s="1">
        <f t="shared" si="13"/>
        <v>2</v>
      </c>
      <c r="X26" s="1">
        <f t="shared" si="14"/>
        <v>0</v>
      </c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ht="15.75" customHeight="1">
      <c r="A27" s="1"/>
      <c r="B27" s="1">
        <v>5.0</v>
      </c>
      <c r="C27" s="1">
        <v>1.0</v>
      </c>
      <c r="D27" s="1">
        <v>1.0</v>
      </c>
      <c r="E27" s="1">
        <v>2.0</v>
      </c>
      <c r="F27" s="1">
        <v>2.0</v>
      </c>
      <c r="G27" s="3">
        <v>1.0</v>
      </c>
      <c r="H27" s="1">
        <v>2.0</v>
      </c>
      <c r="I27" s="1">
        <v>1.0</v>
      </c>
      <c r="J27" s="1">
        <v>1.0</v>
      </c>
      <c r="K27" s="1">
        <v>2.0</v>
      </c>
      <c r="L27" s="1">
        <f t="shared" ref="L27:N27" si="57">SUMPRODUCT($B27:$J27, INDEX($B$2:$J$4, L$10, 0)) + INDEX($K$2:$K$4, L$10,1)</f>
        <v>8.049004318</v>
      </c>
      <c r="M27" s="1">
        <f t="shared" si="57"/>
        <v>7.607539277</v>
      </c>
      <c r="N27" s="1">
        <f t="shared" si="57"/>
        <v>7.729001217</v>
      </c>
      <c r="O27" s="1">
        <f t="shared" ref="O27:Q27" si="58">(L27-L$7)/(L$6-L$7)</f>
        <v>0.003109805255</v>
      </c>
      <c r="P27" s="1">
        <f t="shared" si="58"/>
        <v>0.001335812098</v>
      </c>
      <c r="Q27" s="1">
        <f t="shared" si="58"/>
        <v>0.0007163071302</v>
      </c>
      <c r="R27" s="1">
        <f t="shared" ref="R27:T27" si="59">1/(1+EXP(-O27))</f>
        <v>0.5007774507</v>
      </c>
      <c r="S27" s="1">
        <f t="shared" si="59"/>
        <v>0.500333953</v>
      </c>
      <c r="T27" s="1">
        <f t="shared" si="59"/>
        <v>0.5001790768</v>
      </c>
      <c r="U27" s="1">
        <f t="shared" si="11"/>
        <v>2.476486125</v>
      </c>
      <c r="V27" s="1">
        <f t="shared" si="12"/>
        <v>0.2270390269</v>
      </c>
      <c r="W27" s="1">
        <f t="shared" si="13"/>
        <v>2</v>
      </c>
      <c r="X27" s="1">
        <f t="shared" si="14"/>
        <v>0</v>
      </c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ht="15.75" customHeight="1">
      <c r="A28" s="1"/>
      <c r="B28" s="1">
        <v>3.0</v>
      </c>
      <c r="C28" s="1">
        <v>1.0</v>
      </c>
      <c r="D28" s="1">
        <v>1.0</v>
      </c>
      <c r="E28" s="1">
        <v>4.0</v>
      </c>
      <c r="F28" s="1">
        <v>3.0</v>
      </c>
      <c r="G28" s="3">
        <v>1.0</v>
      </c>
      <c r="H28" s="1">
        <v>2.0</v>
      </c>
      <c r="I28" s="1">
        <v>2.0</v>
      </c>
      <c r="J28" s="1">
        <v>1.0</v>
      </c>
      <c r="K28" s="1">
        <v>2.0</v>
      </c>
      <c r="L28" s="1">
        <f t="shared" ref="L28:N28" si="60">SUMPRODUCT($B28:$J28, INDEX($B$2:$J$4, L$10, 0)) + INDEX($K$2:$K$4, L$10,1)</f>
        <v>8.428312061</v>
      </c>
      <c r="M28" s="1">
        <f t="shared" si="60"/>
        <v>7.861327684</v>
      </c>
      <c r="N28" s="1">
        <f t="shared" si="60"/>
        <v>8.015224338</v>
      </c>
      <c r="O28" s="1">
        <f t="shared" ref="O28:Q28" si="61">(L28-L$7)/(L$6-L$7)</f>
        <v>0.009312372081</v>
      </c>
      <c r="P28" s="1">
        <f t="shared" si="61"/>
        <v>0.005681674332</v>
      </c>
      <c r="Q28" s="1">
        <f t="shared" si="61"/>
        <v>0.005556529216</v>
      </c>
      <c r="R28" s="1">
        <f t="shared" ref="R28:T28" si="62">1/(1+EXP(-O28))</f>
        <v>0.5023280762</v>
      </c>
      <c r="S28" s="1">
        <f t="shared" si="62"/>
        <v>0.5014204148</v>
      </c>
      <c r="T28" s="1">
        <f t="shared" si="62"/>
        <v>0.5013891287</v>
      </c>
      <c r="U28" s="1">
        <f t="shared" si="11"/>
        <v>2.482809611</v>
      </c>
      <c r="V28" s="1">
        <f t="shared" si="12"/>
        <v>0.2331051201</v>
      </c>
      <c r="W28" s="1">
        <f t="shared" si="13"/>
        <v>2</v>
      </c>
      <c r="X28" s="1">
        <f t="shared" si="14"/>
        <v>0</v>
      </c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ht="15.75" customHeight="1">
      <c r="A29" s="1"/>
      <c r="B29" s="1">
        <v>1.0</v>
      </c>
      <c r="C29" s="1">
        <v>1.0</v>
      </c>
      <c r="D29" s="1">
        <v>1.0</v>
      </c>
      <c r="E29" s="1">
        <v>2.0</v>
      </c>
      <c r="F29" s="1">
        <v>2.0</v>
      </c>
      <c r="G29" s="3">
        <v>1.0</v>
      </c>
      <c r="H29" s="1">
        <v>2.0</v>
      </c>
      <c r="I29" s="1">
        <v>1.0</v>
      </c>
      <c r="J29" s="1">
        <v>1.0</v>
      </c>
      <c r="K29" s="1">
        <v>2.0</v>
      </c>
      <c r="L29" s="1">
        <f t="shared" ref="L29:N29" si="63">SUMPRODUCT($B29:$J29, INDEX($B$2:$J$4, L$10, 0)) + INDEX($K$2:$K$4, L$10,1)</f>
        <v>7.98549805</v>
      </c>
      <c r="M29" s="1">
        <f t="shared" si="63"/>
        <v>7.529531272</v>
      </c>
      <c r="N29" s="1">
        <f t="shared" si="63"/>
        <v>7.689445192</v>
      </c>
      <c r="O29" s="1">
        <f t="shared" ref="O29:Q29" si="64">(L29-L$7)/(L$6-L$7)</f>
        <v>0.002071329572</v>
      </c>
      <c r="P29" s="1">
        <f t="shared" si="64"/>
        <v>0.000000006234892308</v>
      </c>
      <c r="Q29" s="1">
        <f t="shared" si="64"/>
        <v>0.00004738861058</v>
      </c>
      <c r="R29" s="1">
        <f t="shared" ref="R29:T29" si="65">1/(1+EXP(-O29))</f>
        <v>0.5005178322</v>
      </c>
      <c r="S29" s="1">
        <f t="shared" si="65"/>
        <v>0.5000000016</v>
      </c>
      <c r="T29" s="1">
        <f t="shared" si="65"/>
        <v>0.5000118472</v>
      </c>
      <c r="U29" s="1">
        <f t="shared" si="11"/>
        <v>2.47523726</v>
      </c>
      <c r="V29" s="1">
        <f t="shared" si="12"/>
        <v>0.2258504532</v>
      </c>
      <c r="W29" s="1">
        <f t="shared" si="13"/>
        <v>2</v>
      </c>
      <c r="X29" s="1">
        <f t="shared" si="14"/>
        <v>0</v>
      </c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ht="15.75" customHeight="1">
      <c r="A30" s="1"/>
      <c r="B30" s="1">
        <v>3.0</v>
      </c>
      <c r="C30" s="1">
        <v>1.0</v>
      </c>
      <c r="D30" s="1">
        <v>1.0</v>
      </c>
      <c r="E30" s="1">
        <v>1.0</v>
      </c>
      <c r="F30" s="1">
        <v>2.0</v>
      </c>
      <c r="G30" s="3">
        <v>4.0</v>
      </c>
      <c r="H30" s="1">
        <v>1.0</v>
      </c>
      <c r="I30" s="1">
        <v>1.0</v>
      </c>
      <c r="J30" s="1">
        <v>1.0</v>
      </c>
      <c r="K30" s="1">
        <v>2.0</v>
      </c>
      <c r="L30" s="1">
        <f t="shared" ref="L30:N30" si="66">SUMPRODUCT($B30:$J30, INDEX($B$2:$J$4, L$10, 0)) + INDEX($K$2:$K$4, L$10,1)</f>
        <v>17.69041543</v>
      </c>
      <c r="M30" s="1">
        <f t="shared" si="66"/>
        <v>17.33669602</v>
      </c>
      <c r="N30" s="1">
        <f t="shared" si="66"/>
        <v>17.71197113</v>
      </c>
      <c r="O30" s="1">
        <f t="shared" ref="O30:Q30" si="67">(L30-L$7)/(L$6-L$7)</f>
        <v>0.1607693777</v>
      </c>
      <c r="P30" s="1">
        <f t="shared" si="67"/>
        <v>0.1679374911</v>
      </c>
      <c r="Q30" s="1">
        <f t="shared" si="67"/>
        <v>0.1695349241</v>
      </c>
      <c r="R30" s="1">
        <f t="shared" ref="R30:T30" si="68">1/(1+EXP(-O30))</f>
        <v>0.5401059973</v>
      </c>
      <c r="S30" s="1">
        <f t="shared" si="68"/>
        <v>0.5418859765</v>
      </c>
      <c r="T30" s="1">
        <f t="shared" si="68"/>
        <v>0.5422825055</v>
      </c>
      <c r="U30" s="1">
        <f t="shared" si="11"/>
        <v>2.679545477</v>
      </c>
      <c r="V30" s="1">
        <f t="shared" si="12"/>
        <v>0.4617820547</v>
      </c>
      <c r="W30" s="1">
        <f t="shared" si="13"/>
        <v>2</v>
      </c>
      <c r="X30" s="1">
        <f t="shared" si="14"/>
        <v>0</v>
      </c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ht="15.75" customHeight="1">
      <c r="A31" s="1"/>
      <c r="B31" s="1">
        <v>3.0</v>
      </c>
      <c r="C31" s="1">
        <v>2.0</v>
      </c>
      <c r="D31" s="1">
        <v>2.0</v>
      </c>
      <c r="E31" s="1">
        <v>3.0</v>
      </c>
      <c r="F31" s="1">
        <v>2.0</v>
      </c>
      <c r="G31" s="3">
        <v>1.0</v>
      </c>
      <c r="H31" s="1">
        <v>1.0</v>
      </c>
      <c r="I31" s="1">
        <v>1.0</v>
      </c>
      <c r="J31" s="1">
        <v>1.0</v>
      </c>
      <c r="K31" s="1">
        <v>2.0</v>
      </c>
      <c r="L31" s="1">
        <f t="shared" ref="L31:N31" si="69">SUMPRODUCT($B31:$J31, INDEX($B$2:$J$4, L$10, 0)) + INDEX($K$2:$K$4, L$10,1)</f>
        <v>11.15973838</v>
      </c>
      <c r="M31" s="1">
        <f t="shared" si="69"/>
        <v>10.48882186</v>
      </c>
      <c r="N31" s="1">
        <f t="shared" si="69"/>
        <v>10.63421536</v>
      </c>
      <c r="O31" s="1">
        <f t="shared" ref="O31:Q31" si="70">(L31-L$7)/(L$6-L$7)</f>
        <v>0.05397756688</v>
      </c>
      <c r="P31" s="1">
        <f t="shared" si="70"/>
        <v>0.05067477632</v>
      </c>
      <c r="Q31" s="1">
        <f t="shared" si="70"/>
        <v>0.04984539776</v>
      </c>
      <c r="R31" s="1">
        <f t="shared" ref="R31:T31" si="71">1/(1+EXP(-O31))</f>
        <v>0.5134911163</v>
      </c>
      <c r="S31" s="1">
        <f t="shared" si="71"/>
        <v>0.5126659837</v>
      </c>
      <c r="T31" s="1">
        <f t="shared" si="71"/>
        <v>0.51245877</v>
      </c>
      <c r="U31" s="1">
        <f t="shared" si="11"/>
        <v>2.538029056</v>
      </c>
      <c r="V31" s="1">
        <f t="shared" si="12"/>
        <v>0.2894752654</v>
      </c>
      <c r="W31" s="1">
        <f t="shared" si="13"/>
        <v>2</v>
      </c>
      <c r="X31" s="1">
        <f t="shared" si="14"/>
        <v>0</v>
      </c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ht="15.75" customHeight="1">
      <c r="A32" s="1"/>
      <c r="B32" s="1">
        <v>10.0</v>
      </c>
      <c r="C32" s="1">
        <v>4.0</v>
      </c>
      <c r="D32" s="1">
        <v>3.0</v>
      </c>
      <c r="E32" s="1">
        <v>10.0</v>
      </c>
      <c r="F32" s="1">
        <v>4.0</v>
      </c>
      <c r="G32" s="3">
        <v>10.0</v>
      </c>
      <c r="H32" s="1">
        <v>10.0</v>
      </c>
      <c r="I32" s="1">
        <v>1.0</v>
      </c>
      <c r="J32" s="1">
        <v>1.0</v>
      </c>
      <c r="K32" s="1">
        <v>4.0</v>
      </c>
      <c r="L32" s="1">
        <f t="shared" ref="L32:N32" si="72">SUMPRODUCT($B32:$J32, INDEX($B$2:$J$4, L$10, 0)) + INDEX($K$2:$K$4, L$10,1)</f>
        <v>45.86129454</v>
      </c>
      <c r="M32" s="1">
        <f t="shared" si="72"/>
        <v>44.49907862</v>
      </c>
      <c r="N32" s="1">
        <f t="shared" si="72"/>
        <v>45.06852236</v>
      </c>
      <c r="O32" s="1">
        <f t="shared" ref="O32:Q32" si="73">(L32-L$7)/(L$6-L$7)</f>
        <v>0.6214289953</v>
      </c>
      <c r="P32" s="1">
        <f t="shared" si="73"/>
        <v>0.633065011</v>
      </c>
      <c r="Q32" s="1">
        <f t="shared" si="73"/>
        <v>0.63215228</v>
      </c>
      <c r="R32" s="1">
        <f t="shared" ref="R32:T32" si="74">1/(1+EXP(-O32))</f>
        <v>0.6505434814</v>
      </c>
      <c r="S32" s="1">
        <f t="shared" si="74"/>
        <v>0.6531841189</v>
      </c>
      <c r="T32" s="1">
        <f t="shared" si="74"/>
        <v>0.6529773248</v>
      </c>
      <c r="U32" s="1">
        <f t="shared" si="11"/>
        <v>3.22793938</v>
      </c>
      <c r="V32" s="1">
        <f t="shared" si="12"/>
        <v>0.5960776002</v>
      </c>
      <c r="W32" s="1">
        <f t="shared" si="13"/>
        <v>4</v>
      </c>
      <c r="X32" s="1">
        <f t="shared" si="14"/>
        <v>0</v>
      </c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ht="15.75" customHeight="1">
      <c r="A33" s="1"/>
      <c r="B33" s="1">
        <v>3.0</v>
      </c>
      <c r="C33" s="1">
        <v>1.0</v>
      </c>
      <c r="D33" s="1">
        <v>1.0</v>
      </c>
      <c r="E33" s="1">
        <v>1.0</v>
      </c>
      <c r="F33" s="1">
        <v>2.0</v>
      </c>
      <c r="G33" s="3">
        <v>1.0</v>
      </c>
      <c r="H33" s="1">
        <v>1.0</v>
      </c>
      <c r="I33" s="1">
        <v>1.0</v>
      </c>
      <c r="J33" s="1">
        <v>1.0</v>
      </c>
      <c r="K33" s="1">
        <v>2.0</v>
      </c>
      <c r="L33" s="1">
        <f t="shared" ref="L33:N33" si="75">SUMPRODUCT($B33:$J33, INDEX($B$2:$J$4, L$10, 0)) + INDEX($K$2:$K$4, L$10,1)</f>
        <v>7.952892864</v>
      </c>
      <c r="M33" s="1">
        <f t="shared" si="75"/>
        <v>7.568535274</v>
      </c>
      <c r="N33" s="1">
        <f t="shared" si="75"/>
        <v>7.706420913</v>
      </c>
      <c r="O33" s="1">
        <f t="shared" ref="O33:Q33" si="76">(L33-L$7)/(L$6-L$7)</f>
        <v>0.001538158696</v>
      </c>
      <c r="P33" s="1">
        <f t="shared" si="76"/>
        <v>0.0006679091667</v>
      </c>
      <c r="Q33" s="1">
        <f t="shared" si="76"/>
        <v>0.0003344592598</v>
      </c>
      <c r="R33" s="1">
        <f t="shared" ref="R33:T33" si="77">1/(1+EXP(-O33))</f>
        <v>0.5003845396</v>
      </c>
      <c r="S33" s="1">
        <f t="shared" si="77"/>
        <v>0.5001669773</v>
      </c>
      <c r="T33" s="1">
        <f t="shared" si="77"/>
        <v>0.5000836148</v>
      </c>
      <c r="U33" s="1">
        <f t="shared" si="11"/>
        <v>2.47542491</v>
      </c>
      <c r="V33" s="1">
        <f t="shared" si="12"/>
        <v>0.2260288452</v>
      </c>
      <c r="W33" s="1">
        <f t="shared" si="13"/>
        <v>2</v>
      </c>
      <c r="X33" s="1">
        <f t="shared" si="14"/>
        <v>0</v>
      </c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ht="15.75" customHeight="1">
      <c r="A34" s="1"/>
      <c r="B34" s="1">
        <v>2.0</v>
      </c>
      <c r="C34" s="1">
        <v>1.0</v>
      </c>
      <c r="D34" s="1">
        <v>3.0</v>
      </c>
      <c r="E34" s="1">
        <v>2.0</v>
      </c>
      <c r="F34" s="1">
        <v>2.0</v>
      </c>
      <c r="G34" s="3">
        <v>1.0</v>
      </c>
      <c r="H34" s="1">
        <v>2.0</v>
      </c>
      <c r="I34" s="1">
        <v>1.0</v>
      </c>
      <c r="J34" s="1">
        <v>1.0</v>
      </c>
      <c r="K34" s="1">
        <v>2.0</v>
      </c>
      <c r="L34" s="1">
        <f t="shared" ref="L34:N34" si="78">SUMPRODUCT($B34:$J34, INDEX($B$2:$J$4, L$10, 0)) + INDEX($K$2:$K$4, L$10,1)</f>
        <v>11.09595596</v>
      </c>
      <c r="M34" s="1">
        <f t="shared" si="78"/>
        <v>10.09166008</v>
      </c>
      <c r="N34" s="1">
        <f t="shared" si="78"/>
        <v>10.73050746</v>
      </c>
      <c r="O34" s="1">
        <f t="shared" ref="O34:Q34" si="79">(L34-L$7)/(L$6-L$7)</f>
        <v>0.0529345755</v>
      </c>
      <c r="P34" s="1">
        <f t="shared" si="79"/>
        <v>0.04387379434</v>
      </c>
      <c r="Q34" s="1">
        <f t="shared" si="79"/>
        <v>0.05147376083</v>
      </c>
      <c r="R34" s="1">
        <f t="shared" ref="R34:T34" si="80">1/(1+EXP(-O34))</f>
        <v>0.5132305546</v>
      </c>
      <c r="S34" s="1">
        <f t="shared" si="80"/>
        <v>0.5109666895</v>
      </c>
      <c r="T34" s="1">
        <f t="shared" si="80"/>
        <v>0.5128655997</v>
      </c>
      <c r="U34" s="1">
        <f t="shared" si="11"/>
        <v>2.535511506</v>
      </c>
      <c r="V34" s="1">
        <f t="shared" si="12"/>
        <v>0.286772573</v>
      </c>
      <c r="W34" s="1">
        <f t="shared" si="13"/>
        <v>2</v>
      </c>
      <c r="X34" s="1">
        <f t="shared" si="14"/>
        <v>0</v>
      </c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ht="15.75" customHeight="1">
      <c r="A35" s="1"/>
      <c r="B35" s="1">
        <v>4.0</v>
      </c>
      <c r="C35" s="1">
        <v>1.0</v>
      </c>
      <c r="D35" s="1">
        <v>1.0</v>
      </c>
      <c r="E35" s="1">
        <v>1.0</v>
      </c>
      <c r="F35" s="1">
        <v>2.0</v>
      </c>
      <c r="G35" s="3">
        <v>1.0</v>
      </c>
      <c r="H35" s="1">
        <v>3.0</v>
      </c>
      <c r="I35" s="1">
        <v>2.0</v>
      </c>
      <c r="J35" s="1">
        <v>1.0</v>
      </c>
      <c r="K35" s="1">
        <v>2.0</v>
      </c>
      <c r="L35" s="1">
        <f t="shared" ref="L35:N35" si="81">SUMPRODUCT($B35:$J35, INDEX($B$2:$J$4, L$10, 0)) + INDEX($K$2:$K$4, L$10,1)</f>
        <v>8.317974138</v>
      </c>
      <c r="M35" s="1">
        <f t="shared" si="81"/>
        <v>7.880829322</v>
      </c>
      <c r="N35" s="1">
        <f t="shared" si="81"/>
        <v>8.016722584</v>
      </c>
      <c r="O35" s="1">
        <f t="shared" ref="O35:Q35" si="82">(L35-L$7)/(L$6-L$7)</f>
        <v>0.007508089532</v>
      </c>
      <c r="P35" s="1">
        <f t="shared" si="82"/>
        <v>0.006015619563</v>
      </c>
      <c r="Q35" s="1">
        <f t="shared" si="82"/>
        <v>0.005581865537</v>
      </c>
      <c r="R35" s="1">
        <f t="shared" ref="R35:T35" si="83">1/(1+EXP(-O35))</f>
        <v>0.5018770136</v>
      </c>
      <c r="S35" s="1">
        <f t="shared" si="83"/>
        <v>0.5015039004</v>
      </c>
      <c r="T35" s="1">
        <f t="shared" si="83"/>
        <v>0.5013954628</v>
      </c>
      <c r="U35" s="1">
        <f t="shared" si="11"/>
        <v>2.482244246</v>
      </c>
      <c r="V35" s="1">
        <f t="shared" si="12"/>
        <v>0.2325595126</v>
      </c>
      <c r="W35" s="1">
        <f t="shared" si="13"/>
        <v>2</v>
      </c>
      <c r="X35" s="1">
        <f t="shared" si="14"/>
        <v>0</v>
      </c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ht="15.75" customHeight="1">
      <c r="A36" s="1"/>
      <c r="B36" s="1">
        <v>4.0</v>
      </c>
      <c r="C36" s="1">
        <v>6.0</v>
      </c>
      <c r="D36" s="1">
        <v>6.0</v>
      </c>
      <c r="E36" s="1">
        <v>5.0</v>
      </c>
      <c r="F36" s="1">
        <v>7.0</v>
      </c>
      <c r="G36" s="3">
        <v>6.0</v>
      </c>
      <c r="H36" s="1">
        <v>7.0</v>
      </c>
      <c r="I36" s="1">
        <v>7.0</v>
      </c>
      <c r="J36" s="1">
        <v>3.0</v>
      </c>
      <c r="K36" s="1">
        <v>4.0</v>
      </c>
      <c r="L36" s="1">
        <f t="shared" ref="L36:N36" si="84">SUMPRODUCT($B36:$J36, INDEX($B$2:$J$4, L$10, 0)) + INDEX($K$2:$K$4, L$10,1)</f>
        <v>42.25283173</v>
      </c>
      <c r="M36" s="1">
        <f t="shared" si="84"/>
        <v>40.22649224</v>
      </c>
      <c r="N36" s="1">
        <f t="shared" si="84"/>
        <v>40.81686142</v>
      </c>
      <c r="O36" s="1">
        <f t="shared" ref="O36:Q36" si="85">(L36-L$7)/(L$6-L$7)</f>
        <v>0.562422207</v>
      </c>
      <c r="P36" s="1">
        <f t="shared" si="85"/>
        <v>0.5599014178</v>
      </c>
      <c r="Q36" s="1">
        <f t="shared" si="85"/>
        <v>0.5602538843</v>
      </c>
      <c r="R36" s="1">
        <f t="shared" ref="R36:T36" si="86">1/(1+EXP(-O36))</f>
        <v>0.6370128068</v>
      </c>
      <c r="S36" s="1">
        <f t="shared" si="86"/>
        <v>0.63642973</v>
      </c>
      <c r="T36" s="1">
        <f t="shared" si="86"/>
        <v>0.6365112822</v>
      </c>
      <c r="U36" s="1">
        <f t="shared" si="11"/>
        <v>3.150622865</v>
      </c>
      <c r="V36" s="1">
        <f t="shared" si="12"/>
        <v>0.721441518</v>
      </c>
      <c r="W36" s="1">
        <f t="shared" si="13"/>
        <v>4</v>
      </c>
      <c r="X36" s="1">
        <f t="shared" si="14"/>
        <v>0</v>
      </c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ht="15.75" customHeight="1">
      <c r="A37" s="1"/>
      <c r="B37" s="1">
        <v>1.0</v>
      </c>
      <c r="C37" s="1">
        <v>1.0</v>
      </c>
      <c r="D37" s="1">
        <v>1.0</v>
      </c>
      <c r="E37" s="1">
        <v>1.0</v>
      </c>
      <c r="F37" s="1">
        <v>2.0</v>
      </c>
      <c r="G37" s="3">
        <v>1.0</v>
      </c>
      <c r="H37" s="1">
        <v>1.0</v>
      </c>
      <c r="I37" s="1">
        <v>1.0</v>
      </c>
      <c r="J37" s="1">
        <v>1.0</v>
      </c>
      <c r="K37" s="1">
        <v>2.0</v>
      </c>
      <c r="L37" s="1">
        <f t="shared" ref="L37:N37" si="87">SUMPRODUCT($B37:$J37, INDEX($B$2:$J$4, L$10, 0)) + INDEX($K$2:$K$4, L$10,1)</f>
        <v>7.921139731</v>
      </c>
      <c r="M37" s="1">
        <f t="shared" si="87"/>
        <v>7.529531272</v>
      </c>
      <c r="N37" s="1">
        <f t="shared" si="87"/>
        <v>7.6866429</v>
      </c>
      <c r="O37" s="1">
        <f t="shared" ref="O37:Q37" si="88">(L37-L$7)/(L$6-L$7)</f>
        <v>0.001018920854</v>
      </c>
      <c r="P37" s="1">
        <f t="shared" si="88"/>
        <v>0.000000006234892308</v>
      </c>
      <c r="Q37" s="1">
        <f t="shared" si="88"/>
        <v>0</v>
      </c>
      <c r="R37" s="1">
        <f t="shared" ref="R37:T37" si="89">1/(1+EXP(-O37))</f>
        <v>0.5002547302</v>
      </c>
      <c r="S37" s="1">
        <f t="shared" si="89"/>
        <v>0.5000000016</v>
      </c>
      <c r="T37" s="1">
        <f t="shared" si="89"/>
        <v>0.5</v>
      </c>
      <c r="U37" s="1">
        <f t="shared" si="11"/>
        <v>2.474800478</v>
      </c>
      <c r="V37" s="1">
        <f t="shared" si="12"/>
        <v>0.2254354935</v>
      </c>
      <c r="W37" s="1">
        <f t="shared" si="13"/>
        <v>2</v>
      </c>
      <c r="X37" s="1">
        <f t="shared" si="14"/>
        <v>0</v>
      </c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ht="15.75" customHeight="1">
      <c r="A38" s="1"/>
      <c r="B38" s="1">
        <v>5.0</v>
      </c>
      <c r="C38" s="1">
        <v>10.0</v>
      </c>
      <c r="D38" s="1">
        <v>10.0</v>
      </c>
      <c r="E38" s="1">
        <v>10.0</v>
      </c>
      <c r="F38" s="1">
        <v>4.0</v>
      </c>
      <c r="G38" s="3">
        <v>10.0</v>
      </c>
      <c r="H38" s="1">
        <v>5.0</v>
      </c>
      <c r="I38" s="1">
        <v>6.0</v>
      </c>
      <c r="J38" s="1">
        <v>3.0</v>
      </c>
      <c r="K38" s="1">
        <v>4.0</v>
      </c>
      <c r="L38" s="1">
        <f t="shared" ref="L38:N38" si="90">SUMPRODUCT($B38:$J38, INDEX($B$2:$J$4, L$10, 0)) + INDEX($K$2:$K$4, L$10,1)</f>
        <v>67.447121</v>
      </c>
      <c r="M38" s="1">
        <f t="shared" si="90"/>
        <v>64.65856179</v>
      </c>
      <c r="N38" s="1">
        <f t="shared" si="90"/>
        <v>65.56985438</v>
      </c>
      <c r="O38" s="1">
        <f t="shared" ref="O38:Q38" si="91">(L38-L$7)/(L$6-L$7)</f>
        <v>0.9744076342</v>
      </c>
      <c r="P38" s="1">
        <f t="shared" si="91"/>
        <v>0.9782751695</v>
      </c>
      <c r="Q38" s="1">
        <f t="shared" si="91"/>
        <v>0.9788433497</v>
      </c>
      <c r="R38" s="1">
        <f t="shared" ref="R38:T38" si="92">1/(1+EXP(-O38))</f>
        <v>0.7259971605</v>
      </c>
      <c r="S38" s="1">
        <f t="shared" si="92"/>
        <v>0.7267658382</v>
      </c>
      <c r="T38" s="1">
        <f t="shared" si="92"/>
        <v>0.7268786514</v>
      </c>
      <c r="U38" s="1">
        <f t="shared" si="11"/>
        <v>3.595591738</v>
      </c>
      <c r="V38" s="1">
        <f t="shared" si="12"/>
        <v>0.1635460423</v>
      </c>
      <c r="W38" s="1">
        <f t="shared" si="13"/>
        <v>4</v>
      </c>
      <c r="X38" s="1">
        <f t="shared" si="14"/>
        <v>0</v>
      </c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ht="15.75" customHeight="1">
      <c r="A39" s="1"/>
      <c r="B39" s="1">
        <v>4.0</v>
      </c>
      <c r="C39" s="1">
        <v>1.0</v>
      </c>
      <c r="D39" s="1">
        <v>1.0</v>
      </c>
      <c r="E39" s="1">
        <v>1.0</v>
      </c>
      <c r="F39" s="1">
        <v>2.0</v>
      </c>
      <c r="G39" s="3">
        <v>1.0</v>
      </c>
      <c r="H39" s="1">
        <v>1.0</v>
      </c>
      <c r="I39" s="1">
        <v>1.0</v>
      </c>
      <c r="J39" s="1">
        <v>1.0</v>
      </c>
      <c r="K39" s="1">
        <v>2.0</v>
      </c>
      <c r="L39" s="1">
        <f t="shared" ref="L39:N39" si="93">SUMPRODUCT($B39:$J39, INDEX($B$2:$J$4, L$10, 0)) + INDEX($K$2:$K$4, L$10,1)</f>
        <v>7.968769431</v>
      </c>
      <c r="M39" s="1">
        <f t="shared" si="93"/>
        <v>7.588037275</v>
      </c>
      <c r="N39" s="1">
        <f t="shared" si="93"/>
        <v>7.716309919</v>
      </c>
      <c r="O39" s="1">
        <f t="shared" ref="O39:Q39" si="94">(L39-L$7)/(L$6-L$7)</f>
        <v>0.001797777616</v>
      </c>
      <c r="P39" s="1">
        <f t="shared" si="94"/>
        <v>0.001001860633</v>
      </c>
      <c r="Q39" s="1">
        <f t="shared" si="94"/>
        <v>0.0005016888897</v>
      </c>
      <c r="R39" s="1">
        <f t="shared" ref="R39:T39" si="95">1/(1+EXP(-O39))</f>
        <v>0.5004494443</v>
      </c>
      <c r="S39" s="1">
        <f t="shared" si="95"/>
        <v>0.5002504651</v>
      </c>
      <c r="T39" s="1">
        <f t="shared" si="95"/>
        <v>0.5001254222</v>
      </c>
      <c r="U39" s="1">
        <f t="shared" si="11"/>
        <v>2.475737126</v>
      </c>
      <c r="V39" s="1">
        <f t="shared" si="12"/>
        <v>0.2263258134</v>
      </c>
      <c r="W39" s="1">
        <f t="shared" si="13"/>
        <v>2</v>
      </c>
      <c r="X39" s="1">
        <f t="shared" si="14"/>
        <v>0</v>
      </c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ht="15.75" customHeight="1">
      <c r="A40" s="1"/>
      <c r="B40" s="1">
        <v>10.0</v>
      </c>
      <c r="C40" s="1">
        <v>4.0</v>
      </c>
      <c r="D40" s="1">
        <v>3.0</v>
      </c>
      <c r="E40" s="1">
        <v>1.0</v>
      </c>
      <c r="F40" s="1">
        <v>3.0</v>
      </c>
      <c r="G40" s="3">
        <v>3.0</v>
      </c>
      <c r="H40" s="1">
        <v>6.0</v>
      </c>
      <c r="I40" s="1">
        <v>5.0</v>
      </c>
      <c r="J40" s="1">
        <v>2.0</v>
      </c>
      <c r="K40" s="1">
        <v>4.0</v>
      </c>
      <c r="L40" s="1">
        <f t="shared" ref="L40:N40" si="96">SUMPRODUCT($B40:$J40, INDEX($B$2:$J$4, L$10, 0)) + INDEX($K$2:$K$4, L$10,1)</f>
        <v>23.79881392</v>
      </c>
      <c r="M40" s="1">
        <f t="shared" si="96"/>
        <v>22.87787136</v>
      </c>
      <c r="N40" s="1">
        <f t="shared" si="96"/>
        <v>22.89865647</v>
      </c>
      <c r="O40" s="1">
        <f t="shared" ref="O40:Q40" si="97">(L40-L$7)/(L$6-L$7)</f>
        <v>0.2606559486</v>
      </c>
      <c r="P40" s="1">
        <f t="shared" si="97"/>
        <v>0.2628243492</v>
      </c>
      <c r="Q40" s="1">
        <f t="shared" si="97"/>
        <v>0.2572452001</v>
      </c>
      <c r="R40" s="1">
        <f t="shared" ref="R40:T40" si="98">1/(1+EXP(-O40))</f>
        <v>0.5647975316</v>
      </c>
      <c r="S40" s="1">
        <f t="shared" si="98"/>
        <v>0.5653304522</v>
      </c>
      <c r="T40" s="1">
        <f t="shared" si="98"/>
        <v>0.5639589808</v>
      </c>
      <c r="U40" s="1">
        <f t="shared" si="11"/>
        <v>2.794506956</v>
      </c>
      <c r="V40" s="1">
        <f t="shared" si="12"/>
        <v>1.453213479</v>
      </c>
      <c r="W40" s="1">
        <f t="shared" si="13"/>
        <v>2</v>
      </c>
      <c r="X40" s="1">
        <f t="shared" si="14"/>
        <v>1</v>
      </c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ht="15.75" customHeight="1">
      <c r="A41" s="1"/>
      <c r="B41" s="1">
        <v>10.0</v>
      </c>
      <c r="C41" s="1">
        <v>3.0</v>
      </c>
      <c r="D41" s="1">
        <v>5.0</v>
      </c>
      <c r="E41" s="1">
        <v>1.0</v>
      </c>
      <c r="F41" s="1">
        <v>10.0</v>
      </c>
      <c r="G41" s="3">
        <v>5.0</v>
      </c>
      <c r="H41" s="1">
        <v>3.0</v>
      </c>
      <c r="I41" s="1">
        <v>10.0</v>
      </c>
      <c r="J41" s="1">
        <v>2.0</v>
      </c>
      <c r="K41" s="1">
        <v>4.0</v>
      </c>
      <c r="L41" s="1">
        <f t="shared" ref="L41:N41" si="99">SUMPRODUCT($B41:$J41, INDEX($B$2:$J$4, L$10, 0)) + INDEX($K$2:$K$4, L$10,1)</f>
        <v>33.55204443</v>
      </c>
      <c r="M41" s="1">
        <f t="shared" si="99"/>
        <v>31.74759493</v>
      </c>
      <c r="N41" s="1">
        <f t="shared" si="99"/>
        <v>32.69559621</v>
      </c>
      <c r="O41" s="1">
        <f t="shared" ref="O41:Q41" si="100">(L41-L$7)/(L$6-L$7)</f>
        <v>0.4201440291</v>
      </c>
      <c r="P41" s="1">
        <f t="shared" si="100"/>
        <v>0.4147091299</v>
      </c>
      <c r="Q41" s="1">
        <f t="shared" si="100"/>
        <v>0.4229179238</v>
      </c>
      <c r="R41" s="1">
        <f t="shared" ref="R41:T41" si="101">1/(1+EXP(-O41))</f>
        <v>0.6035177142</v>
      </c>
      <c r="S41" s="1">
        <f t="shared" si="101"/>
        <v>0.6022165005</v>
      </c>
      <c r="T41" s="1">
        <f t="shared" si="101"/>
        <v>0.6041812721</v>
      </c>
      <c r="U41" s="1">
        <f t="shared" si="11"/>
        <v>2.98567738</v>
      </c>
      <c r="V41" s="1">
        <f t="shared" si="12"/>
        <v>1.028850378</v>
      </c>
      <c r="W41" s="1">
        <f t="shared" si="13"/>
        <v>4</v>
      </c>
      <c r="X41" s="1">
        <f t="shared" si="14"/>
        <v>0</v>
      </c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ht="15.75" customHeight="1">
      <c r="A42" s="1"/>
      <c r="B42" s="1">
        <v>1.0</v>
      </c>
      <c r="C42" s="1">
        <v>3.0</v>
      </c>
      <c r="D42" s="1">
        <v>1.0</v>
      </c>
      <c r="E42" s="1">
        <v>2.0</v>
      </c>
      <c r="F42" s="1">
        <v>2.0</v>
      </c>
      <c r="G42" s="3">
        <v>2.0</v>
      </c>
      <c r="H42" s="1">
        <v>5.0</v>
      </c>
      <c r="I42" s="1">
        <v>3.0</v>
      </c>
      <c r="J42" s="1">
        <v>2.0</v>
      </c>
      <c r="K42" s="1">
        <v>2.0</v>
      </c>
      <c r="L42" s="1">
        <f t="shared" ref="L42:N42" si="102">SUMPRODUCT($B42:$J42, INDEX($B$2:$J$4, L$10, 0)) + INDEX($K$2:$K$4, L$10,1)</f>
        <v>15.0883029</v>
      </c>
      <c r="M42" s="1">
        <f t="shared" si="102"/>
        <v>14.66911532</v>
      </c>
      <c r="N42" s="1">
        <f t="shared" si="102"/>
        <v>14.43867248</v>
      </c>
      <c r="O42" s="1">
        <f t="shared" ref="O42:Q42" si="103">(L42-L$7)/(L$6-L$7)</f>
        <v>0.1182187651</v>
      </c>
      <c r="P42" s="1">
        <f t="shared" si="103"/>
        <v>0.1222579491</v>
      </c>
      <c r="Q42" s="1">
        <f t="shared" si="103"/>
        <v>0.1141812812</v>
      </c>
      <c r="R42" s="1">
        <f t="shared" ref="R42:T42" si="104">1/(1+EXP(-O42))</f>
        <v>0.5295203187</v>
      </c>
      <c r="S42" s="1">
        <f t="shared" si="104"/>
        <v>0.5305264735</v>
      </c>
      <c r="T42" s="1">
        <f t="shared" si="104"/>
        <v>0.5285143477</v>
      </c>
      <c r="U42" s="1">
        <f t="shared" si="11"/>
        <v>2.620420642</v>
      </c>
      <c r="V42" s="1">
        <f t="shared" si="12"/>
        <v>0.3849217725</v>
      </c>
      <c r="W42" s="1">
        <f t="shared" si="13"/>
        <v>2</v>
      </c>
      <c r="X42" s="1">
        <f t="shared" si="14"/>
        <v>0</v>
      </c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ht="15.75" customHeight="1">
      <c r="A43" s="1"/>
      <c r="B43" s="1">
        <v>1.0</v>
      </c>
      <c r="C43" s="1">
        <v>1.0</v>
      </c>
      <c r="D43" s="1">
        <v>1.0</v>
      </c>
      <c r="E43" s="1">
        <v>1.0</v>
      </c>
      <c r="F43" s="1">
        <v>2.0</v>
      </c>
      <c r="G43" s="3">
        <v>5.0</v>
      </c>
      <c r="H43" s="1">
        <v>1.0</v>
      </c>
      <c r="I43" s="1">
        <v>1.0</v>
      </c>
      <c r="J43" s="1">
        <v>1.0</v>
      </c>
      <c r="K43" s="1">
        <v>2.0</v>
      </c>
      <c r="L43" s="1">
        <f t="shared" ref="L43:N43" si="105">SUMPRODUCT($B43:$J43, INDEX($B$2:$J$4, L$10, 0)) + INDEX($K$2:$K$4, L$10,1)</f>
        <v>20.90450315</v>
      </c>
      <c r="M43" s="1">
        <f t="shared" si="105"/>
        <v>20.55374561</v>
      </c>
      <c r="N43" s="1">
        <f t="shared" si="105"/>
        <v>21.02737652</v>
      </c>
      <c r="O43" s="1">
        <f t="shared" ref="O43:Q43" si="106">(L43-L$7)/(L$6-L$7)</f>
        <v>0.2133272128</v>
      </c>
      <c r="P43" s="1">
        <f t="shared" si="106"/>
        <v>0.2230261155</v>
      </c>
      <c r="Q43" s="1">
        <f t="shared" si="106"/>
        <v>0.2256006198</v>
      </c>
      <c r="R43" s="1">
        <f t="shared" ref="R43:T43" si="107">1/(1+EXP(-O43))</f>
        <v>0.5531304652</v>
      </c>
      <c r="S43" s="1">
        <f t="shared" si="107"/>
        <v>0.5555265589</v>
      </c>
      <c r="T43" s="1">
        <f t="shared" si="107"/>
        <v>0.556162156</v>
      </c>
      <c r="U43" s="1">
        <f t="shared" si="11"/>
        <v>2.746485001</v>
      </c>
      <c r="V43" s="1">
        <f t="shared" si="12"/>
        <v>0.5572398566</v>
      </c>
      <c r="W43" s="1">
        <f t="shared" si="13"/>
        <v>2</v>
      </c>
      <c r="X43" s="1">
        <f t="shared" si="14"/>
        <v>0</v>
      </c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ht="15.75" customHeight="1">
      <c r="A44" s="1"/>
      <c r="B44" s="1">
        <v>3.0</v>
      </c>
      <c r="C44" s="1">
        <v>1.0</v>
      </c>
      <c r="D44" s="1">
        <v>1.0</v>
      </c>
      <c r="E44" s="1">
        <v>1.0</v>
      </c>
      <c r="F44" s="1">
        <v>2.0</v>
      </c>
      <c r="G44" s="3">
        <v>1.0</v>
      </c>
      <c r="H44" s="1">
        <v>2.0</v>
      </c>
      <c r="I44" s="1">
        <v>1.0</v>
      </c>
      <c r="J44" s="1">
        <v>1.0</v>
      </c>
      <c r="K44" s="1">
        <v>2.0</v>
      </c>
      <c r="L44" s="1">
        <f t="shared" ref="L44:N44" si="108">SUMPRODUCT($B44:$J44, INDEX($B$2:$J$4, L$10, 0)) + INDEX($K$2:$K$4, L$10,1)</f>
        <v>7.985185587</v>
      </c>
      <c r="M44" s="1">
        <f t="shared" si="108"/>
        <v>7.568535274</v>
      </c>
      <c r="N44" s="1">
        <f t="shared" si="108"/>
        <v>7.706424942</v>
      </c>
      <c r="O44" s="1">
        <f t="shared" ref="O44:Q44" si="109">(L44-L$7)/(L$6-L$7)</f>
        <v>0.00206622008</v>
      </c>
      <c r="P44" s="1">
        <f t="shared" si="109"/>
        <v>0.0006679091667</v>
      </c>
      <c r="Q44" s="1">
        <f t="shared" si="109"/>
        <v>0.0003345273907</v>
      </c>
      <c r="R44" s="1">
        <f t="shared" ref="R44:T44" si="110">1/(1+EXP(-O44))</f>
        <v>0.5005165548</v>
      </c>
      <c r="S44" s="1">
        <f t="shared" si="110"/>
        <v>0.5001669773</v>
      </c>
      <c r="T44" s="1">
        <f t="shared" si="110"/>
        <v>0.5000836318</v>
      </c>
      <c r="U44" s="1">
        <f t="shared" si="11"/>
        <v>2.475633899</v>
      </c>
      <c r="V44" s="1">
        <f t="shared" si="12"/>
        <v>0.226227606</v>
      </c>
      <c r="W44" s="1">
        <f t="shared" si="13"/>
        <v>2</v>
      </c>
      <c r="X44" s="1">
        <f t="shared" si="14"/>
        <v>0</v>
      </c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ht="15.75" customHeight="1">
      <c r="A45" s="1"/>
      <c r="B45" s="1">
        <v>7.0</v>
      </c>
      <c r="C45" s="1">
        <v>5.0</v>
      </c>
      <c r="D45" s="1">
        <v>6.0</v>
      </c>
      <c r="E45" s="1">
        <v>3.0</v>
      </c>
      <c r="F45" s="1">
        <v>3.0</v>
      </c>
      <c r="G45" s="3">
        <v>8.0</v>
      </c>
      <c r="H45" s="1">
        <v>7.0</v>
      </c>
      <c r="I45" s="1">
        <v>4.0</v>
      </c>
      <c r="J45" s="1">
        <v>1.0</v>
      </c>
      <c r="K45" s="1">
        <v>4.0</v>
      </c>
      <c r="L45" s="1">
        <f t="shared" ref="L45:N45" si="111">SUMPRODUCT($B45:$J45, INDEX($B$2:$J$4, L$10, 0)) + INDEX($K$2:$K$4, L$10,1)</f>
        <v>46.02948881</v>
      </c>
      <c r="M45" s="1">
        <f t="shared" si="111"/>
        <v>44.26975463</v>
      </c>
      <c r="N45" s="1">
        <f t="shared" si="111"/>
        <v>45.20347361</v>
      </c>
      <c r="O45" s="1">
        <f t="shared" ref="O45:Q45" si="112">(L45-L$7)/(L$6-L$7)</f>
        <v>0.6241793642</v>
      </c>
      <c r="P45" s="1">
        <f t="shared" si="112"/>
        <v>0.6291380763</v>
      </c>
      <c r="Q45" s="1">
        <f t="shared" si="112"/>
        <v>0.6344343947</v>
      </c>
      <c r="R45" s="1">
        <f t="shared" ref="R45:T45" si="113">1/(1+EXP(-O45))</f>
        <v>0.6511684819</v>
      </c>
      <c r="S45" s="1">
        <f t="shared" si="113"/>
        <v>0.6522939979</v>
      </c>
      <c r="T45" s="1">
        <f t="shared" si="113"/>
        <v>0.6534942666</v>
      </c>
      <c r="U45" s="1">
        <f t="shared" si="11"/>
        <v>3.228347417</v>
      </c>
      <c r="V45" s="1">
        <f t="shared" si="12"/>
        <v>0.5954477092</v>
      </c>
      <c r="W45" s="1">
        <f t="shared" si="13"/>
        <v>4</v>
      </c>
      <c r="X45" s="1">
        <f t="shared" si="14"/>
        <v>0</v>
      </c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ht="15.75" customHeight="1">
      <c r="A46" s="1"/>
      <c r="B46" s="1">
        <v>6.0</v>
      </c>
      <c r="C46" s="1">
        <v>8.0</v>
      </c>
      <c r="D46" s="1">
        <v>7.0</v>
      </c>
      <c r="E46" s="1">
        <v>5.0</v>
      </c>
      <c r="F46" s="1">
        <v>6.0</v>
      </c>
      <c r="G46" s="3">
        <v>8.0</v>
      </c>
      <c r="H46" s="1">
        <v>8.0</v>
      </c>
      <c r="I46" s="1">
        <v>9.0</v>
      </c>
      <c r="J46" s="1">
        <v>2.0</v>
      </c>
      <c r="K46" s="1">
        <v>4.0</v>
      </c>
      <c r="L46" s="1">
        <f t="shared" ref="L46:N46" si="114">SUMPRODUCT($B46:$J46, INDEX($B$2:$J$4, L$10, 0)) + INDEX($K$2:$K$4, L$10,1)</f>
        <v>54.05362536</v>
      </c>
      <c r="M46" s="1">
        <f t="shared" si="114"/>
        <v>51.93244691</v>
      </c>
      <c r="N46" s="1">
        <f t="shared" si="114"/>
        <v>52.43662869</v>
      </c>
      <c r="O46" s="1">
        <f t="shared" ref="O46:Q46" si="115">(L46-L$7)/(L$6-L$7)</f>
        <v>0.7553927232</v>
      </c>
      <c r="P46" s="1">
        <f t="shared" si="115"/>
        <v>0.760353703</v>
      </c>
      <c r="Q46" s="1">
        <f t="shared" si="115"/>
        <v>0.7567518262</v>
      </c>
      <c r="R46" s="1">
        <f t="shared" ref="R46:T46" si="116">1/(1+EXP(-O46))</f>
        <v>0.6803526094</v>
      </c>
      <c r="S46" s="1">
        <f t="shared" si="116"/>
        <v>0.6814305216</v>
      </c>
      <c r="T46" s="1">
        <f t="shared" si="116"/>
        <v>0.6806481051</v>
      </c>
      <c r="U46" s="1">
        <f t="shared" si="11"/>
        <v>3.36921067</v>
      </c>
      <c r="V46" s="1">
        <f t="shared" si="12"/>
        <v>0.3978951792</v>
      </c>
      <c r="W46" s="1">
        <f t="shared" si="13"/>
        <v>4</v>
      </c>
      <c r="X46" s="1">
        <f t="shared" si="14"/>
        <v>0</v>
      </c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ht="15.75" customHeight="1">
      <c r="A47" s="1"/>
      <c r="B47" s="1">
        <v>8.0</v>
      </c>
      <c r="C47" s="1">
        <v>10.0</v>
      </c>
      <c r="D47" s="1">
        <v>10.0</v>
      </c>
      <c r="E47" s="1">
        <v>8.0</v>
      </c>
      <c r="F47" s="1">
        <v>6.0</v>
      </c>
      <c r="G47" s="3">
        <v>9.0</v>
      </c>
      <c r="H47" s="1">
        <v>3.0</v>
      </c>
      <c r="I47" s="1">
        <v>10.0</v>
      </c>
      <c r="J47" s="1">
        <v>10.0</v>
      </c>
      <c r="K47" s="1">
        <v>4.0</v>
      </c>
      <c r="L47" s="1">
        <f t="shared" ref="L47:N47" si="117">SUMPRODUCT($B47:$J47, INDEX($B$2:$J$4, L$10, 0)) + INDEX($K$2:$K$4, L$10,1)</f>
        <v>65.3832911</v>
      </c>
      <c r="M47" s="1">
        <f t="shared" si="117"/>
        <v>62.63218312</v>
      </c>
      <c r="N47" s="1">
        <f t="shared" si="117"/>
        <v>63.46035184</v>
      </c>
      <c r="O47" s="1">
        <f t="shared" ref="O47:Q47" si="118">(L47-L$7)/(L$6-L$7)</f>
        <v>0.9406591988</v>
      </c>
      <c r="P47" s="1">
        <f t="shared" si="118"/>
        <v>0.9435755448</v>
      </c>
      <c r="Q47" s="1">
        <f t="shared" si="118"/>
        <v>0.9431702679</v>
      </c>
      <c r="R47" s="1">
        <f t="shared" ref="R47:T47" si="119">1/(1+EXP(-O47))</f>
        <v>0.7192327933</v>
      </c>
      <c r="S47" s="1">
        <f t="shared" si="119"/>
        <v>0.7198213347</v>
      </c>
      <c r="T47" s="1">
        <f t="shared" si="119"/>
        <v>0.7197395917</v>
      </c>
      <c r="U47" s="1">
        <f t="shared" si="11"/>
        <v>3.561176039</v>
      </c>
      <c r="V47" s="1">
        <f t="shared" si="12"/>
        <v>0.1925664683</v>
      </c>
      <c r="W47" s="1">
        <f t="shared" si="13"/>
        <v>4</v>
      </c>
      <c r="X47" s="1">
        <f t="shared" si="14"/>
        <v>0</v>
      </c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ht="15.75" customHeight="1">
      <c r="A48" s="1"/>
      <c r="B48" s="1">
        <v>7.0</v>
      </c>
      <c r="C48" s="1">
        <v>4.0</v>
      </c>
      <c r="D48" s="1">
        <v>5.0</v>
      </c>
      <c r="E48" s="1">
        <v>10.0</v>
      </c>
      <c r="F48" s="1">
        <v>2.0</v>
      </c>
      <c r="G48" s="3">
        <v>10.0</v>
      </c>
      <c r="H48" s="1">
        <v>3.0</v>
      </c>
      <c r="I48" s="1">
        <v>8.0</v>
      </c>
      <c r="J48" s="1">
        <v>2.0</v>
      </c>
      <c r="K48" s="1">
        <v>4.0</v>
      </c>
      <c r="L48" s="1">
        <f t="shared" ref="L48:N48" si="120">SUMPRODUCT($B48:$J48, INDEX($B$2:$J$4, L$10, 0)) + INDEX($K$2:$K$4, L$10,1)</f>
        <v>50.5499111</v>
      </c>
      <c r="M48" s="1">
        <f t="shared" si="120"/>
        <v>49.03274302</v>
      </c>
      <c r="N48" s="1">
        <f t="shared" si="120"/>
        <v>50.17283266</v>
      </c>
      <c r="O48" s="1">
        <f t="shared" ref="O48:Q48" si="121">(L48-L$7)/(L$6-L$7)</f>
        <v>0.6980988182</v>
      </c>
      <c r="P48" s="1">
        <f t="shared" si="121"/>
        <v>0.7106992933</v>
      </c>
      <c r="Q48" s="1">
        <f t="shared" si="121"/>
        <v>0.7184695395</v>
      </c>
      <c r="R48" s="1">
        <f t="shared" ref="R48:T48" si="122">1/(1+EXP(-O48))</f>
        <v>0.667766121</v>
      </c>
      <c r="S48" s="1">
        <f t="shared" si="122"/>
        <v>0.6705556596</v>
      </c>
      <c r="T48" s="1">
        <f t="shared" si="122"/>
        <v>0.6722699102</v>
      </c>
      <c r="U48" s="1">
        <f t="shared" si="11"/>
        <v>3.316968855</v>
      </c>
      <c r="V48" s="1">
        <f t="shared" si="12"/>
        <v>0.4665315449</v>
      </c>
      <c r="W48" s="1">
        <f t="shared" si="13"/>
        <v>4</v>
      </c>
      <c r="X48" s="1">
        <f t="shared" si="14"/>
        <v>0</v>
      </c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ht="15.75" customHeight="1">
      <c r="A49" s="1"/>
      <c r="B49" s="1">
        <v>5.0</v>
      </c>
      <c r="C49" s="1">
        <v>6.0</v>
      </c>
      <c r="D49" s="1">
        <v>6.0</v>
      </c>
      <c r="E49" s="1">
        <v>8.0</v>
      </c>
      <c r="F49" s="1">
        <v>6.0</v>
      </c>
      <c r="G49" s="3">
        <v>10.0</v>
      </c>
      <c r="H49" s="1">
        <v>4.0</v>
      </c>
      <c r="I49" s="1">
        <v>10.0</v>
      </c>
      <c r="J49" s="1">
        <v>4.0</v>
      </c>
      <c r="K49" s="1">
        <v>4.0</v>
      </c>
      <c r="L49" s="1">
        <f t="shared" ref="L49:N49" si="123">SUMPRODUCT($B49:$J49, INDEX($B$2:$J$4, L$10, 0)) + INDEX($K$2:$K$4, L$10,1)</f>
        <v>56.04293769</v>
      </c>
      <c r="M49" s="1">
        <f t="shared" si="123"/>
        <v>54.14858434</v>
      </c>
      <c r="N49" s="1">
        <f t="shared" si="123"/>
        <v>55.07708057</v>
      </c>
      <c r="O49" s="1">
        <f t="shared" ref="O49:Q49" si="124">(L49-L$7)/(L$6-L$7)</f>
        <v>0.7879226223</v>
      </c>
      <c r="P49" s="1">
        <f t="shared" si="124"/>
        <v>0.7983027491</v>
      </c>
      <c r="Q49" s="1">
        <f t="shared" si="124"/>
        <v>0.8014036119</v>
      </c>
      <c r="R49" s="1">
        <f t="shared" ref="R49:T49" si="125">1/(1+EXP(-O49))</f>
        <v>0.6873851034</v>
      </c>
      <c r="S49" s="1">
        <f t="shared" si="125"/>
        <v>0.6896113057</v>
      </c>
      <c r="T49" s="1">
        <f t="shared" si="125"/>
        <v>0.6902746472</v>
      </c>
      <c r="U49" s="1">
        <f t="shared" si="11"/>
        <v>3.410359393</v>
      </c>
      <c r="V49" s="1">
        <f t="shared" si="12"/>
        <v>0.347676045</v>
      </c>
      <c r="W49" s="1">
        <f t="shared" si="13"/>
        <v>4</v>
      </c>
      <c r="X49" s="1">
        <f t="shared" si="14"/>
        <v>0</v>
      </c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ht="15.75" customHeight="1">
      <c r="A50" s="1"/>
      <c r="B50" s="1">
        <v>10.0</v>
      </c>
      <c r="C50" s="1">
        <v>4.0</v>
      </c>
      <c r="D50" s="1">
        <v>7.0</v>
      </c>
      <c r="E50" s="1">
        <v>2.0</v>
      </c>
      <c r="F50" s="1">
        <v>2.0</v>
      </c>
      <c r="G50" s="3">
        <v>8.0</v>
      </c>
      <c r="H50" s="1">
        <v>6.0</v>
      </c>
      <c r="I50" s="1">
        <v>1.0</v>
      </c>
      <c r="J50" s="1">
        <v>1.0</v>
      </c>
      <c r="K50" s="1">
        <v>4.0</v>
      </c>
      <c r="L50" s="1">
        <f t="shared" ref="L50:N50" si="126">SUMPRODUCT($B50:$J50, INDEX($B$2:$J$4, L$10, 0)) + INDEX($K$2:$K$4, L$10,1)</f>
        <v>45.04845901</v>
      </c>
      <c r="M50" s="1">
        <f t="shared" si="126"/>
        <v>43.07222435</v>
      </c>
      <c r="N50" s="1">
        <f t="shared" si="126"/>
        <v>44.43809986</v>
      </c>
      <c r="O50" s="1">
        <f t="shared" ref="O50:Q50" si="127">(L50-L$7)/(L$6-L$7)</f>
        <v>0.6081372374</v>
      </c>
      <c r="P50" s="1">
        <f t="shared" si="127"/>
        <v>0.6086316171</v>
      </c>
      <c r="Q50" s="1">
        <f t="shared" si="127"/>
        <v>0.6214914189</v>
      </c>
      <c r="R50" s="1">
        <f t="shared" ref="R50:T50" si="128">1/(1+EXP(-O50))</f>
        <v>0.6475157637</v>
      </c>
      <c r="S50" s="1">
        <f t="shared" si="128"/>
        <v>0.6476285923</v>
      </c>
      <c r="T50" s="1">
        <f t="shared" si="128"/>
        <v>0.6505576725</v>
      </c>
      <c r="U50" s="1">
        <f t="shared" si="11"/>
        <v>3.209829268</v>
      </c>
      <c r="V50" s="1">
        <f t="shared" si="12"/>
        <v>0.6243697859</v>
      </c>
      <c r="W50" s="1">
        <f t="shared" si="13"/>
        <v>4</v>
      </c>
      <c r="X50" s="1">
        <f t="shared" si="14"/>
        <v>0</v>
      </c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ht="15.75" customHeight="1">
      <c r="A51" s="1"/>
      <c r="B51" s="1">
        <v>4.0</v>
      </c>
      <c r="C51" s="1">
        <v>1.0</v>
      </c>
      <c r="D51" s="1">
        <v>1.0</v>
      </c>
      <c r="E51" s="1">
        <v>1.0</v>
      </c>
      <c r="F51" s="1">
        <v>3.0</v>
      </c>
      <c r="G51" s="3">
        <v>1.0</v>
      </c>
      <c r="H51" s="1">
        <v>2.0</v>
      </c>
      <c r="I51" s="1">
        <v>2.0</v>
      </c>
      <c r="J51" s="1">
        <v>1.0</v>
      </c>
      <c r="K51" s="1">
        <v>2.0</v>
      </c>
      <c r="L51" s="1">
        <f t="shared" ref="L51:N51" si="129">SUMPRODUCT($B51:$J51, INDEX($B$2:$J$4, L$10, 0)) + INDEX($K$2:$K$4, L$10,1)</f>
        <v>8.347991839</v>
      </c>
      <c r="M51" s="1">
        <f t="shared" si="129"/>
        <v>7.880829686</v>
      </c>
      <c r="N51" s="1">
        <f t="shared" si="129"/>
        <v>8.016718555</v>
      </c>
      <c r="O51" s="1">
        <f t="shared" ref="O51:Q51" si="130">(L51-L$7)/(L$6-L$7)</f>
        <v>0.007998949002</v>
      </c>
      <c r="P51" s="1">
        <f t="shared" si="130"/>
        <v>0.006015625798</v>
      </c>
      <c r="Q51" s="1">
        <f t="shared" si="130"/>
        <v>0.005581797406</v>
      </c>
      <c r="R51" s="1">
        <f t="shared" ref="R51:T51" si="131">1/(1+EXP(-O51))</f>
        <v>0.5019997266</v>
      </c>
      <c r="S51" s="1">
        <f t="shared" si="131"/>
        <v>0.5015039019</v>
      </c>
      <c r="T51" s="1">
        <f t="shared" si="131"/>
        <v>0.5013954457</v>
      </c>
      <c r="U51" s="1">
        <f t="shared" si="11"/>
        <v>2.482438455</v>
      </c>
      <c r="V51" s="1">
        <f t="shared" si="12"/>
        <v>0.2327468628</v>
      </c>
      <c r="W51" s="1">
        <f t="shared" si="13"/>
        <v>2</v>
      </c>
      <c r="X51" s="1">
        <f t="shared" si="14"/>
        <v>0</v>
      </c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ht="15.75" customHeight="1">
      <c r="A52" s="1"/>
      <c r="B52" s="1">
        <v>4.0</v>
      </c>
      <c r="C52" s="1">
        <v>1.0</v>
      </c>
      <c r="D52" s="1">
        <v>1.0</v>
      </c>
      <c r="E52" s="1">
        <v>1.0</v>
      </c>
      <c r="F52" s="1">
        <v>2.0</v>
      </c>
      <c r="G52" s="3">
        <v>1.0</v>
      </c>
      <c r="H52" s="1">
        <v>1.0</v>
      </c>
      <c r="I52" s="1">
        <v>1.0</v>
      </c>
      <c r="J52" s="1">
        <v>1.0</v>
      </c>
      <c r="K52" s="1">
        <v>2.0</v>
      </c>
      <c r="L52" s="1">
        <f t="shared" ref="L52:N52" si="132">SUMPRODUCT($B52:$J52, INDEX($B$2:$J$4, L$10, 0)) + INDEX($K$2:$K$4, L$10,1)</f>
        <v>7.968769431</v>
      </c>
      <c r="M52" s="1">
        <f t="shared" si="132"/>
        <v>7.588037275</v>
      </c>
      <c r="N52" s="1">
        <f t="shared" si="132"/>
        <v>7.716309919</v>
      </c>
      <c r="O52" s="1">
        <f t="shared" ref="O52:Q52" si="133">(L52-L$7)/(L$6-L$7)</f>
        <v>0.001797777616</v>
      </c>
      <c r="P52" s="1">
        <f t="shared" si="133"/>
        <v>0.001001860633</v>
      </c>
      <c r="Q52" s="1">
        <f t="shared" si="133"/>
        <v>0.0005016888897</v>
      </c>
      <c r="R52" s="1">
        <f t="shared" ref="R52:T52" si="134">1/(1+EXP(-O52))</f>
        <v>0.5004494443</v>
      </c>
      <c r="S52" s="1">
        <f t="shared" si="134"/>
        <v>0.5002504651</v>
      </c>
      <c r="T52" s="1">
        <f t="shared" si="134"/>
        <v>0.5001254222</v>
      </c>
      <c r="U52" s="1">
        <f t="shared" si="11"/>
        <v>2.475737126</v>
      </c>
      <c r="V52" s="1">
        <f t="shared" si="12"/>
        <v>0.2263258134</v>
      </c>
      <c r="W52" s="1">
        <f t="shared" si="13"/>
        <v>2</v>
      </c>
      <c r="X52" s="1">
        <f t="shared" si="14"/>
        <v>0</v>
      </c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ht="15.75" customHeight="1">
      <c r="A53" s="1"/>
      <c r="B53" s="1">
        <v>5.0</v>
      </c>
      <c r="C53" s="1">
        <v>7.0</v>
      </c>
      <c r="D53" s="1">
        <v>9.0</v>
      </c>
      <c r="E53" s="1">
        <v>8.0</v>
      </c>
      <c r="F53" s="1">
        <v>6.0</v>
      </c>
      <c r="G53" s="3">
        <v>10.0</v>
      </c>
      <c r="H53" s="1">
        <v>8.0</v>
      </c>
      <c r="I53" s="1">
        <v>10.0</v>
      </c>
      <c r="J53" s="1">
        <v>1.0</v>
      </c>
      <c r="K53" s="1">
        <v>4.0</v>
      </c>
      <c r="L53" s="1">
        <f t="shared" ref="L53:N53" si="135">SUMPRODUCT($B53:$J53, INDEX($B$2:$J$4, L$10, 0)) + INDEX($K$2:$K$4, L$10,1)</f>
        <v>62.40940425</v>
      </c>
      <c r="M53" s="1">
        <f t="shared" si="135"/>
        <v>59.61149774</v>
      </c>
      <c r="N53" s="1">
        <f t="shared" si="135"/>
        <v>61.03046787</v>
      </c>
      <c r="O53" s="1">
        <f t="shared" ref="O53:Q53" si="136">(L53-L$7)/(L$6-L$7)</f>
        <v>0.8920292084</v>
      </c>
      <c r="P53" s="1">
        <f t="shared" si="136"/>
        <v>0.8918494529</v>
      </c>
      <c r="Q53" s="1">
        <f t="shared" si="136"/>
        <v>0.9020793246</v>
      </c>
      <c r="R53" s="1">
        <f t="shared" ref="R53:T53" si="137">1/(1+EXP(-O53))</f>
        <v>0.7093087524</v>
      </c>
      <c r="S53" s="1">
        <f t="shared" si="137"/>
        <v>0.7092716872</v>
      </c>
      <c r="T53" s="1">
        <f t="shared" si="137"/>
        <v>0.711376617</v>
      </c>
      <c r="U53" s="1">
        <f t="shared" si="11"/>
        <v>3.513711098</v>
      </c>
      <c r="V53" s="1">
        <f t="shared" si="12"/>
        <v>0.2364768963</v>
      </c>
      <c r="W53" s="1">
        <f t="shared" si="13"/>
        <v>4</v>
      </c>
      <c r="X53" s="1">
        <f t="shared" si="14"/>
        <v>0</v>
      </c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ht="15.75" customHeight="1">
      <c r="A54" s="1"/>
      <c r="B54" s="1">
        <v>1.0</v>
      </c>
      <c r="C54" s="1">
        <v>1.0</v>
      </c>
      <c r="D54" s="1">
        <v>1.0</v>
      </c>
      <c r="E54" s="1">
        <v>1.0</v>
      </c>
      <c r="F54" s="1">
        <v>1.0</v>
      </c>
      <c r="G54" s="3">
        <v>1.0</v>
      </c>
      <c r="H54" s="1">
        <v>2.0</v>
      </c>
      <c r="I54" s="1">
        <v>1.0</v>
      </c>
      <c r="J54" s="1">
        <v>1.0</v>
      </c>
      <c r="K54" s="1">
        <v>2.0</v>
      </c>
      <c r="L54" s="1">
        <f t="shared" ref="L54:N54" si="138">SUMPRODUCT($B54:$J54, INDEX($B$2:$J$4, L$10, 0)) + INDEX($K$2:$K$4, L$10,1)</f>
        <v>7.891122029</v>
      </c>
      <c r="M54" s="1">
        <f t="shared" si="138"/>
        <v>7.529530907</v>
      </c>
      <c r="N54" s="1">
        <f t="shared" si="138"/>
        <v>7.686646929</v>
      </c>
      <c r="O54" s="1">
        <f t="shared" ref="O54:Q54" si="139">(L54-L$7)/(L$6-L$7)</f>
        <v>0.0005280613841</v>
      </c>
      <c r="P54" s="1">
        <f t="shared" si="139"/>
        <v>0</v>
      </c>
      <c r="Q54" s="1">
        <f t="shared" si="139"/>
        <v>0.00000006813089816</v>
      </c>
      <c r="R54" s="1">
        <f t="shared" ref="R54:T54" si="140">1/(1+EXP(-O54))</f>
        <v>0.5001320153</v>
      </c>
      <c r="S54" s="1">
        <f t="shared" si="140"/>
        <v>0.5</v>
      </c>
      <c r="T54" s="1">
        <f t="shared" si="140"/>
        <v>0.500000017</v>
      </c>
      <c r="U54" s="1">
        <f t="shared" si="11"/>
        <v>2.474606266</v>
      </c>
      <c r="V54" s="1">
        <f t="shared" si="12"/>
        <v>0.2252511073</v>
      </c>
      <c r="W54" s="1">
        <f t="shared" si="13"/>
        <v>2</v>
      </c>
      <c r="X54" s="1">
        <f t="shared" si="14"/>
        <v>0</v>
      </c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ht="15.75" customHeight="1">
      <c r="A55" s="1"/>
      <c r="B55" s="1">
        <v>1.0</v>
      </c>
      <c r="C55" s="1">
        <v>1.0</v>
      </c>
      <c r="D55" s="1">
        <v>2.0</v>
      </c>
      <c r="E55" s="1">
        <v>1.0</v>
      </c>
      <c r="F55" s="1">
        <v>2.0</v>
      </c>
      <c r="G55" s="3">
        <v>1.0</v>
      </c>
      <c r="H55" s="1">
        <v>2.0</v>
      </c>
      <c r="I55" s="1">
        <v>1.0</v>
      </c>
      <c r="J55" s="1">
        <v>1.0</v>
      </c>
      <c r="K55" s="1">
        <v>2.0</v>
      </c>
      <c r="L55" s="1">
        <f t="shared" ref="L55:N55" si="141">SUMPRODUCT($B55:$J55, INDEX($B$2:$J$4, L$10, 0)) + INDEX($K$2:$K$4, L$10,1)</f>
        <v>9.500723126</v>
      </c>
      <c r="M55" s="1">
        <f t="shared" si="141"/>
        <v>8.800844676</v>
      </c>
      <c r="N55" s="1">
        <f t="shared" si="141"/>
        <v>9.202233561</v>
      </c>
      <c r="O55" s="1">
        <f t="shared" ref="O55:Q55" si="142">(L55-L$7)/(L$6-L$7)</f>
        <v>0.02684879574</v>
      </c>
      <c r="P55" s="1">
        <f t="shared" si="142"/>
        <v>0.02176992456</v>
      </c>
      <c r="Q55" s="1">
        <f t="shared" si="142"/>
        <v>0.02562963942</v>
      </c>
      <c r="R55" s="1">
        <f t="shared" ref="R55:T55" si="143">1/(1+EXP(-O55))</f>
        <v>0.5067117958</v>
      </c>
      <c r="S55" s="1">
        <f t="shared" si="143"/>
        <v>0.5054422662</v>
      </c>
      <c r="T55" s="1">
        <f t="shared" si="143"/>
        <v>0.5064070591</v>
      </c>
      <c r="U55" s="1">
        <f t="shared" si="11"/>
        <v>2.50499522</v>
      </c>
      <c r="V55" s="1">
        <f t="shared" si="12"/>
        <v>0.2550201724</v>
      </c>
      <c r="W55" s="1">
        <f t="shared" si="13"/>
        <v>2</v>
      </c>
      <c r="X55" s="1">
        <f t="shared" si="14"/>
        <v>0</v>
      </c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ht="15.75" customHeight="1">
      <c r="A56" s="1"/>
      <c r="B56" s="1">
        <v>5.0</v>
      </c>
      <c r="C56" s="1">
        <v>1.0</v>
      </c>
      <c r="D56" s="1">
        <v>1.0</v>
      </c>
      <c r="E56" s="1">
        <v>1.0</v>
      </c>
      <c r="F56" s="1">
        <v>2.0</v>
      </c>
      <c r="G56" s="3">
        <v>1.0</v>
      </c>
      <c r="H56" s="1">
        <v>3.0</v>
      </c>
      <c r="I56" s="1">
        <v>2.0</v>
      </c>
      <c r="J56" s="1">
        <v>1.0</v>
      </c>
      <c r="K56" s="1">
        <v>2.0</v>
      </c>
      <c r="L56" s="1">
        <f t="shared" ref="L56:N56" si="144">SUMPRODUCT($B56:$J56, INDEX($B$2:$J$4, L$10, 0)) + INDEX($K$2:$K$4, L$10,1)</f>
        <v>8.333850705</v>
      </c>
      <c r="M56" s="1">
        <f t="shared" si="144"/>
        <v>7.900331323</v>
      </c>
      <c r="N56" s="1">
        <f t="shared" si="144"/>
        <v>8.02661159</v>
      </c>
      <c r="O56" s="1">
        <f t="shared" ref="O56:Q56" si="145">(L56-L$7)/(L$6-L$7)</f>
        <v>0.007767708453</v>
      </c>
      <c r="P56" s="1">
        <f t="shared" si="145"/>
        <v>0.006349571029</v>
      </c>
      <c r="Q56" s="1">
        <f t="shared" si="145"/>
        <v>0.005749095167</v>
      </c>
      <c r="R56" s="1">
        <f t="shared" ref="R56:T56" si="146">1/(1+EXP(-O56))</f>
        <v>0.5019419173</v>
      </c>
      <c r="S56" s="1">
        <f t="shared" si="146"/>
        <v>0.5015873874</v>
      </c>
      <c r="T56" s="1">
        <f t="shared" si="146"/>
        <v>0.5014372698</v>
      </c>
      <c r="U56" s="1">
        <f t="shared" si="11"/>
        <v>2.482556459</v>
      </c>
      <c r="V56" s="1">
        <f t="shared" si="12"/>
        <v>0.2328607359</v>
      </c>
      <c r="W56" s="1">
        <f t="shared" si="13"/>
        <v>2</v>
      </c>
      <c r="X56" s="1">
        <f t="shared" si="14"/>
        <v>0</v>
      </c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ht="15.75" customHeight="1">
      <c r="A57" s="1"/>
      <c r="B57" s="1">
        <v>1.0</v>
      </c>
      <c r="C57" s="1">
        <v>1.0</v>
      </c>
      <c r="D57" s="1">
        <v>1.0</v>
      </c>
      <c r="E57" s="1">
        <v>1.0</v>
      </c>
      <c r="F57" s="1">
        <v>2.0</v>
      </c>
      <c r="G57" s="3">
        <v>1.0</v>
      </c>
      <c r="H57" s="1">
        <v>3.0</v>
      </c>
      <c r="I57" s="1">
        <v>2.0</v>
      </c>
      <c r="J57" s="1">
        <v>1.0</v>
      </c>
      <c r="K57" s="1">
        <v>2.0</v>
      </c>
      <c r="L57" s="1">
        <f t="shared" ref="L57:N57" si="147">SUMPRODUCT($B57:$J57, INDEX($B$2:$J$4, L$10, 0)) + INDEX($K$2:$K$4, L$10,1)</f>
        <v>8.270344437</v>
      </c>
      <c r="M57" s="1">
        <f t="shared" si="147"/>
        <v>7.822323318</v>
      </c>
      <c r="N57" s="1">
        <f t="shared" si="147"/>
        <v>7.987055565</v>
      </c>
      <c r="O57" s="1">
        <f t="shared" ref="O57:Q57" si="148">(L57-L$7)/(L$6-L$7)</f>
        <v>0.006729232769</v>
      </c>
      <c r="P57" s="1">
        <f t="shared" si="148"/>
        <v>0.005013765165</v>
      </c>
      <c r="Q57" s="1">
        <f t="shared" si="148"/>
        <v>0.005080176648</v>
      </c>
      <c r="R57" s="1">
        <f t="shared" ref="R57:T57" si="149">1/(1+EXP(-O57))</f>
        <v>0.5016823018</v>
      </c>
      <c r="S57" s="1">
        <f t="shared" si="149"/>
        <v>0.5012534387</v>
      </c>
      <c r="T57" s="1">
        <f t="shared" si="149"/>
        <v>0.5012700414</v>
      </c>
      <c r="U57" s="1">
        <f t="shared" si="11"/>
        <v>2.481307605</v>
      </c>
      <c r="V57" s="1">
        <f t="shared" si="12"/>
        <v>0.231657011</v>
      </c>
      <c r="W57" s="1">
        <f t="shared" si="13"/>
        <v>2</v>
      </c>
      <c r="X57" s="1">
        <f t="shared" si="14"/>
        <v>0</v>
      </c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ht="15.75" customHeight="1">
      <c r="A58" s="1"/>
      <c r="B58" s="1">
        <v>1.0</v>
      </c>
      <c r="C58" s="1">
        <v>1.0</v>
      </c>
      <c r="D58" s="1">
        <v>2.0</v>
      </c>
      <c r="E58" s="1">
        <v>1.0</v>
      </c>
      <c r="F58" s="1">
        <v>2.0</v>
      </c>
      <c r="G58" s="3">
        <v>2.0</v>
      </c>
      <c r="H58" s="1">
        <v>4.0</v>
      </c>
      <c r="I58" s="1">
        <v>2.0</v>
      </c>
      <c r="J58" s="1">
        <v>1.0</v>
      </c>
      <c r="K58" s="1">
        <v>2.0</v>
      </c>
      <c r="L58" s="1">
        <f t="shared" ref="L58:N58" si="150">SUMPRODUCT($B58:$J58, INDEX($B$2:$J$4, L$10, 0)) + INDEX($K$2:$K$4, L$10,1)</f>
        <v>13.09576869</v>
      </c>
      <c r="M58" s="1">
        <f t="shared" si="150"/>
        <v>12.34969031</v>
      </c>
      <c r="N58" s="1">
        <f t="shared" si="150"/>
        <v>12.83782963</v>
      </c>
      <c r="O58" s="1">
        <f t="shared" ref="O58:Q58" si="151">(L58-L$7)/(L$6-L$7)</f>
        <v>0.08563618065</v>
      </c>
      <c r="P58" s="1">
        <f t="shared" si="151"/>
        <v>0.08254021081</v>
      </c>
      <c r="Q58" s="1">
        <f t="shared" si="151"/>
        <v>0.08710997101</v>
      </c>
      <c r="R58" s="1">
        <f t="shared" ref="R58:T58" si="152">1/(1+EXP(-O58))</f>
        <v>0.521395971</v>
      </c>
      <c r="S58" s="1">
        <f t="shared" si="152"/>
        <v>0.5206233453</v>
      </c>
      <c r="T58" s="1">
        <f t="shared" si="152"/>
        <v>0.5217637323</v>
      </c>
      <c r="U58" s="1">
        <f t="shared" si="11"/>
        <v>2.579638102</v>
      </c>
      <c r="V58" s="1">
        <f t="shared" si="12"/>
        <v>0.3359803289</v>
      </c>
      <c r="W58" s="1">
        <f t="shared" si="13"/>
        <v>2</v>
      </c>
      <c r="X58" s="1">
        <f t="shared" si="14"/>
        <v>0</v>
      </c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ht="15.75" customHeight="1">
      <c r="A59" s="1"/>
      <c r="B59" s="1">
        <v>4.0</v>
      </c>
      <c r="C59" s="1">
        <v>5.0</v>
      </c>
      <c r="D59" s="1">
        <v>5.0</v>
      </c>
      <c r="E59" s="1">
        <v>10.0</v>
      </c>
      <c r="F59" s="1">
        <v>4.0</v>
      </c>
      <c r="G59" s="3">
        <v>10.0</v>
      </c>
      <c r="H59" s="1">
        <v>7.0</v>
      </c>
      <c r="I59" s="1">
        <v>5.0</v>
      </c>
      <c r="J59" s="1">
        <v>8.0</v>
      </c>
      <c r="K59" s="1">
        <v>4.0</v>
      </c>
      <c r="L59" s="1">
        <f t="shared" ref="L59:N59" si="153">SUMPRODUCT($B59:$J59, INDEX($B$2:$J$4, L$10, 0)) + INDEX($K$2:$K$4, L$10,1)</f>
        <v>51.49763901</v>
      </c>
      <c r="M59" s="1">
        <f t="shared" si="153"/>
        <v>49.74483479</v>
      </c>
      <c r="N59" s="1">
        <f t="shared" si="153"/>
        <v>50.64857922</v>
      </c>
      <c r="O59" s="1">
        <f t="shared" ref="O59:Q59" si="154">(L59-L$7)/(L$6-L$7)</f>
        <v>0.7135963812</v>
      </c>
      <c r="P59" s="1">
        <f t="shared" si="154"/>
        <v>0.7228931234</v>
      </c>
      <c r="Q59" s="1">
        <f t="shared" si="154"/>
        <v>0.7265147282</v>
      </c>
      <c r="R59" s="1">
        <f t="shared" ref="R59:T59" si="155">1/(1+EXP(-O59))</f>
        <v>0.671195341</v>
      </c>
      <c r="S59" s="1">
        <f t="shared" si="155"/>
        <v>0.6732437841</v>
      </c>
      <c r="T59" s="1">
        <f t="shared" si="155"/>
        <v>0.6740399882</v>
      </c>
      <c r="U59" s="1">
        <f t="shared" si="11"/>
        <v>3.329869281</v>
      </c>
      <c r="V59" s="1">
        <f t="shared" si="12"/>
        <v>0.4490751801</v>
      </c>
      <c r="W59" s="1">
        <f t="shared" si="13"/>
        <v>4</v>
      </c>
      <c r="X59" s="1">
        <f t="shared" si="14"/>
        <v>0</v>
      </c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ht="15.75" customHeight="1">
      <c r="A60" s="1"/>
      <c r="B60" s="1">
        <v>1.0</v>
      </c>
      <c r="C60" s="1">
        <v>1.0</v>
      </c>
      <c r="D60" s="1">
        <v>1.0</v>
      </c>
      <c r="E60" s="1">
        <v>1.0</v>
      </c>
      <c r="F60" s="1">
        <v>3.0</v>
      </c>
      <c r="G60" s="3">
        <v>2.0</v>
      </c>
      <c r="H60" s="1">
        <v>2.0</v>
      </c>
      <c r="I60" s="1">
        <v>1.0</v>
      </c>
      <c r="J60" s="1">
        <v>1.0</v>
      </c>
      <c r="K60" s="1">
        <v>2.0</v>
      </c>
      <c r="L60" s="1">
        <f t="shared" ref="L60:N60" si="156">SUMPRODUCT($B60:$J60, INDEX($B$2:$J$4, L$10, 0)) + INDEX($K$2:$K$4, L$10,1)</f>
        <v>11.26158373</v>
      </c>
      <c r="M60" s="1">
        <f t="shared" si="156"/>
        <v>10.78558522</v>
      </c>
      <c r="N60" s="1">
        <f t="shared" si="156"/>
        <v>11.02183033</v>
      </c>
      <c r="O60" s="1">
        <f t="shared" ref="O60:Q60" si="157">(L60-L$7)/(L$6-L$7)</f>
        <v>0.05564297609</v>
      </c>
      <c r="P60" s="1">
        <f t="shared" si="157"/>
        <v>0.0557565398</v>
      </c>
      <c r="Q60" s="1">
        <f t="shared" si="157"/>
        <v>0.05640022307</v>
      </c>
      <c r="R60" s="1">
        <f t="shared" ref="R60:T60" si="158">1/(1+EXP(-O60))</f>
        <v>0.513907156</v>
      </c>
      <c r="S60" s="1">
        <f t="shared" si="158"/>
        <v>0.5139355249</v>
      </c>
      <c r="T60" s="1">
        <f t="shared" si="158"/>
        <v>0.5140963193</v>
      </c>
      <c r="U60" s="1">
        <f t="shared" si="11"/>
        <v>2.543592385</v>
      </c>
      <c r="V60" s="1">
        <f t="shared" si="12"/>
        <v>0.2954926806</v>
      </c>
      <c r="W60" s="1">
        <f t="shared" si="13"/>
        <v>2</v>
      </c>
      <c r="X60" s="1">
        <f t="shared" si="14"/>
        <v>0</v>
      </c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ht="15.75" customHeight="1">
      <c r="A61" s="1"/>
      <c r="B61" s="1">
        <v>1.0</v>
      </c>
      <c r="C61" s="1">
        <v>1.0</v>
      </c>
      <c r="D61" s="1">
        <v>1.0</v>
      </c>
      <c r="E61" s="1">
        <v>2.0</v>
      </c>
      <c r="F61" s="1">
        <v>2.0</v>
      </c>
      <c r="G61" s="3">
        <v>1.0</v>
      </c>
      <c r="H61" s="1">
        <v>3.0</v>
      </c>
      <c r="I61" s="1">
        <v>1.0</v>
      </c>
      <c r="J61" s="1">
        <v>1.0</v>
      </c>
      <c r="K61" s="1">
        <v>2.0</v>
      </c>
      <c r="L61" s="1">
        <f t="shared" ref="L61:N61" si="159">SUMPRODUCT($B61:$J61, INDEX($B$2:$J$4, L$10, 0)) + INDEX($K$2:$K$4, L$10,1)</f>
        <v>8.017790773</v>
      </c>
      <c r="M61" s="1">
        <f t="shared" si="159"/>
        <v>7.529531272</v>
      </c>
      <c r="N61" s="1">
        <f t="shared" si="159"/>
        <v>7.689449221</v>
      </c>
      <c r="O61" s="1">
        <f t="shared" ref="O61:Q61" si="160">(L61-L$7)/(L$6-L$7)</f>
        <v>0.002599390956</v>
      </c>
      <c r="P61" s="1">
        <f t="shared" si="160"/>
        <v>0.000000006234892308</v>
      </c>
      <c r="Q61" s="1">
        <f t="shared" si="160"/>
        <v>0.00004745674148</v>
      </c>
      <c r="R61" s="1">
        <f t="shared" ref="R61:T61" si="161">1/(1+EXP(-O61))</f>
        <v>0.5006498474</v>
      </c>
      <c r="S61" s="1">
        <f t="shared" si="161"/>
        <v>0.5000000016</v>
      </c>
      <c r="T61" s="1">
        <f t="shared" si="161"/>
        <v>0.5000118642</v>
      </c>
      <c r="U61" s="1">
        <f t="shared" si="11"/>
        <v>2.475446249</v>
      </c>
      <c r="V61" s="1">
        <f t="shared" si="12"/>
        <v>0.2260491354</v>
      </c>
      <c r="W61" s="1">
        <f t="shared" si="13"/>
        <v>2</v>
      </c>
      <c r="X61" s="1">
        <f t="shared" si="14"/>
        <v>0</v>
      </c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ht="15.75" customHeight="1">
      <c r="A62" s="1"/>
      <c r="B62" s="1">
        <v>1.0</v>
      </c>
      <c r="C62" s="1">
        <v>1.0</v>
      </c>
      <c r="D62" s="1">
        <v>1.0</v>
      </c>
      <c r="E62" s="1">
        <v>1.0</v>
      </c>
      <c r="F62" s="1">
        <v>2.0</v>
      </c>
      <c r="G62" s="3">
        <v>5.0</v>
      </c>
      <c r="H62" s="1">
        <v>5.0</v>
      </c>
      <c r="I62" s="1">
        <v>1.0</v>
      </c>
      <c r="J62" s="1">
        <v>1.0</v>
      </c>
      <c r="K62" s="1">
        <v>2.0</v>
      </c>
      <c r="L62" s="1">
        <f t="shared" ref="L62:N62" si="162">SUMPRODUCT($B62:$J62, INDEX($B$2:$J$4, L$10, 0)) + INDEX($K$2:$K$4, L$10,1)</f>
        <v>21.03367404</v>
      </c>
      <c r="M62" s="1">
        <f t="shared" si="162"/>
        <v>20.55374561</v>
      </c>
      <c r="N62" s="1">
        <f t="shared" si="162"/>
        <v>21.02739264</v>
      </c>
      <c r="O62" s="1">
        <f t="shared" ref="O62:Q62" si="163">(L62-L$7)/(L$6-L$7)</f>
        <v>0.2154394584</v>
      </c>
      <c r="P62" s="1">
        <f t="shared" si="163"/>
        <v>0.2230261155</v>
      </c>
      <c r="Q62" s="1">
        <f t="shared" si="163"/>
        <v>0.2256008923</v>
      </c>
      <c r="R62" s="1">
        <f t="shared" ref="R62:T62" si="164">1/(1+EXP(-O62))</f>
        <v>0.5536525053</v>
      </c>
      <c r="S62" s="1">
        <f t="shared" si="164"/>
        <v>0.5555265589</v>
      </c>
      <c r="T62" s="1">
        <f t="shared" si="164"/>
        <v>0.5561622233</v>
      </c>
      <c r="U62" s="1">
        <f t="shared" si="11"/>
        <v>2.747311425</v>
      </c>
      <c r="V62" s="1">
        <f t="shared" si="12"/>
        <v>0.558474366</v>
      </c>
      <c r="W62" s="1">
        <f t="shared" si="13"/>
        <v>2</v>
      </c>
      <c r="X62" s="1">
        <f t="shared" si="14"/>
        <v>0</v>
      </c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ht="15.75" customHeight="1">
      <c r="A63" s="1"/>
      <c r="B63" s="1">
        <v>1.0</v>
      </c>
      <c r="C63" s="1">
        <v>1.0</v>
      </c>
      <c r="D63" s="1">
        <v>1.0</v>
      </c>
      <c r="E63" s="1">
        <v>1.0</v>
      </c>
      <c r="F63" s="1">
        <v>1.0</v>
      </c>
      <c r="G63" s="3">
        <v>1.0</v>
      </c>
      <c r="H63" s="1">
        <v>2.0</v>
      </c>
      <c r="I63" s="1">
        <v>1.0</v>
      </c>
      <c r="J63" s="1">
        <v>1.0</v>
      </c>
      <c r="K63" s="1">
        <v>2.0</v>
      </c>
      <c r="L63" s="1">
        <f t="shared" ref="L63:N63" si="165">SUMPRODUCT($B63:$J63, INDEX($B$2:$J$4, L$10, 0)) + INDEX($K$2:$K$4, L$10,1)</f>
        <v>7.891122029</v>
      </c>
      <c r="M63" s="1">
        <f t="shared" si="165"/>
        <v>7.529530907</v>
      </c>
      <c r="N63" s="1">
        <f t="shared" si="165"/>
        <v>7.686646929</v>
      </c>
      <c r="O63" s="1">
        <f t="shared" ref="O63:Q63" si="166">(L63-L$7)/(L$6-L$7)</f>
        <v>0.0005280613841</v>
      </c>
      <c r="P63" s="1">
        <f t="shared" si="166"/>
        <v>0</v>
      </c>
      <c r="Q63" s="1">
        <f t="shared" si="166"/>
        <v>0.00000006813089816</v>
      </c>
      <c r="R63" s="1">
        <f t="shared" ref="R63:T63" si="167">1/(1+EXP(-O63))</f>
        <v>0.5001320153</v>
      </c>
      <c r="S63" s="1">
        <f t="shared" si="167"/>
        <v>0.5</v>
      </c>
      <c r="T63" s="1">
        <f t="shared" si="167"/>
        <v>0.500000017</v>
      </c>
      <c r="U63" s="1">
        <f t="shared" si="11"/>
        <v>2.474606266</v>
      </c>
      <c r="V63" s="1">
        <f t="shared" si="12"/>
        <v>0.2252511073</v>
      </c>
      <c r="W63" s="1">
        <f t="shared" si="13"/>
        <v>2</v>
      </c>
      <c r="X63" s="1">
        <f t="shared" si="14"/>
        <v>0</v>
      </c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ht="15.75" customHeight="1">
      <c r="A64" s="1"/>
      <c r="B64" s="1">
        <v>7.0</v>
      </c>
      <c r="C64" s="1">
        <v>6.0</v>
      </c>
      <c r="D64" s="1">
        <v>4.0</v>
      </c>
      <c r="E64" s="1">
        <v>8.0</v>
      </c>
      <c r="F64" s="1">
        <v>10.0</v>
      </c>
      <c r="G64" s="3">
        <v>10.0</v>
      </c>
      <c r="H64" s="1">
        <v>9.0</v>
      </c>
      <c r="I64" s="1">
        <v>5.0</v>
      </c>
      <c r="J64" s="1">
        <v>3.0</v>
      </c>
      <c r="K64" s="1">
        <v>4.0</v>
      </c>
      <c r="L64" s="1">
        <f t="shared" ref="L64:N64" si="168">SUMPRODUCT($B64:$J64, INDEX($B$2:$J$4, L$10, 0)) + INDEX($K$2:$K$4, L$10,1)</f>
        <v>51.96771849</v>
      </c>
      <c r="M64" s="1">
        <f t="shared" si="168"/>
        <v>50.18100276</v>
      </c>
      <c r="N64" s="1">
        <f t="shared" si="168"/>
        <v>50.56368243</v>
      </c>
      <c r="O64" s="1">
        <f t="shared" ref="O64:Q64" si="169">(L64-L$7)/(L$6-L$7)</f>
        <v>0.7212832778</v>
      </c>
      <c r="P64" s="1">
        <f t="shared" si="169"/>
        <v>0.7303620457</v>
      </c>
      <c r="Q64" s="1">
        <f t="shared" si="169"/>
        <v>0.7250790673</v>
      </c>
      <c r="R64" s="1">
        <f t="shared" ref="R64:T64" si="170">1/(1+EXP(-O64))</f>
        <v>0.672889541</v>
      </c>
      <c r="S64" s="1">
        <f t="shared" si="170"/>
        <v>0.674884716</v>
      </c>
      <c r="T64" s="1">
        <f t="shared" si="170"/>
        <v>0.6737244803</v>
      </c>
      <c r="U64" s="1">
        <f t="shared" si="11"/>
        <v>3.334716508</v>
      </c>
      <c r="V64" s="1">
        <f t="shared" si="12"/>
        <v>0.4426021241</v>
      </c>
      <c r="W64" s="1">
        <f t="shared" si="13"/>
        <v>4</v>
      </c>
      <c r="X64" s="1">
        <f t="shared" si="14"/>
        <v>0</v>
      </c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ht="15.75" customHeight="1">
      <c r="A65" s="1"/>
      <c r="B65" s="1">
        <v>3.0</v>
      </c>
      <c r="C65" s="1">
        <v>1.0</v>
      </c>
      <c r="D65" s="1">
        <v>2.0</v>
      </c>
      <c r="E65" s="1">
        <v>1.0</v>
      </c>
      <c r="F65" s="1">
        <v>2.0</v>
      </c>
      <c r="G65" s="3">
        <v>1.0</v>
      </c>
      <c r="H65" s="1">
        <v>2.0</v>
      </c>
      <c r="I65" s="1">
        <v>1.0</v>
      </c>
      <c r="J65" s="1">
        <v>1.0</v>
      </c>
      <c r="K65" s="1">
        <v>2.0</v>
      </c>
      <c r="L65" s="1">
        <f t="shared" ref="L65:N65" si="171">SUMPRODUCT($B65:$J65, INDEX($B$2:$J$4, L$10, 0)) + INDEX($K$2:$K$4, L$10,1)</f>
        <v>9.53247626</v>
      </c>
      <c r="M65" s="1">
        <f t="shared" si="171"/>
        <v>8.839848678</v>
      </c>
      <c r="N65" s="1">
        <f t="shared" si="171"/>
        <v>9.222011573</v>
      </c>
      <c r="O65" s="1">
        <f t="shared" ref="O65:Q65" si="172">(L65-L$7)/(L$6-L$7)</f>
        <v>0.02736803358</v>
      </c>
      <c r="P65" s="1">
        <f t="shared" si="172"/>
        <v>0.02243782749</v>
      </c>
      <c r="Q65" s="1">
        <f t="shared" si="172"/>
        <v>0.02596409868</v>
      </c>
      <c r="R65" s="1">
        <f t="shared" ref="R65:T65" si="173">1/(1+EXP(-O65))</f>
        <v>0.5068415814</v>
      </c>
      <c r="S65" s="1">
        <f t="shared" si="173"/>
        <v>0.5056092215</v>
      </c>
      <c r="T65" s="1">
        <f t="shared" si="173"/>
        <v>0.50649066</v>
      </c>
      <c r="U65" s="1">
        <f t="shared" si="11"/>
        <v>2.505619558</v>
      </c>
      <c r="V65" s="1">
        <f t="shared" si="12"/>
        <v>0.255651137</v>
      </c>
      <c r="W65" s="1">
        <f t="shared" si="13"/>
        <v>2</v>
      </c>
      <c r="X65" s="1">
        <f t="shared" si="14"/>
        <v>0</v>
      </c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ht="15.75" customHeight="1">
      <c r="A66" s="1"/>
      <c r="B66" s="1">
        <v>3.0</v>
      </c>
      <c r="C66" s="1">
        <v>3.0</v>
      </c>
      <c r="D66" s="1">
        <v>2.0</v>
      </c>
      <c r="E66" s="1">
        <v>6.0</v>
      </c>
      <c r="F66" s="1">
        <v>3.0</v>
      </c>
      <c r="G66" s="3">
        <v>3.0</v>
      </c>
      <c r="H66" s="1">
        <v>3.0</v>
      </c>
      <c r="I66" s="1">
        <v>5.0</v>
      </c>
      <c r="J66" s="1">
        <v>1.0</v>
      </c>
      <c r="K66" s="1">
        <v>2.0</v>
      </c>
      <c r="L66" s="1">
        <f t="shared" ref="L66:N66" si="174">SUMPRODUCT($B66:$J66, INDEX($B$2:$J$4, L$10, 0)) + INDEX($K$2:$K$4, L$10,1)</f>
        <v>20.60841344</v>
      </c>
      <c r="M66" s="1">
        <f t="shared" si="174"/>
        <v>19.82107076</v>
      </c>
      <c r="N66" s="1">
        <f t="shared" si="174"/>
        <v>19.92121474</v>
      </c>
      <c r="O66" s="1">
        <f t="shared" ref="O66:Q66" si="175">(L66-L$7)/(L$6-L$7)</f>
        <v>0.2084854551</v>
      </c>
      <c r="P66" s="1">
        <f t="shared" si="175"/>
        <v>0.2104798218</v>
      </c>
      <c r="Q66" s="1">
        <f t="shared" si="175"/>
        <v>0.2068946931</v>
      </c>
      <c r="R66" s="1">
        <f t="shared" ref="R66:T66" si="176">1/(1+EXP(-O66))</f>
        <v>0.5519333877</v>
      </c>
      <c r="S66" s="1">
        <f t="shared" si="176"/>
        <v>0.5524265492</v>
      </c>
      <c r="T66" s="1">
        <f t="shared" si="176"/>
        <v>0.5515399552</v>
      </c>
      <c r="U66" s="1">
        <f t="shared" si="11"/>
        <v>2.73154329</v>
      </c>
      <c r="V66" s="1">
        <f t="shared" si="12"/>
        <v>0.5351555853</v>
      </c>
      <c r="W66" s="1">
        <f t="shared" si="13"/>
        <v>2</v>
      </c>
      <c r="X66" s="1">
        <f t="shared" si="14"/>
        <v>0</v>
      </c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ht="15.75" customHeight="1">
      <c r="A67" s="1"/>
      <c r="B67" s="1">
        <v>5.0</v>
      </c>
      <c r="C67" s="1">
        <v>1.0</v>
      </c>
      <c r="D67" s="1">
        <v>1.0</v>
      </c>
      <c r="E67" s="1">
        <v>1.0</v>
      </c>
      <c r="F67" s="1">
        <v>2.0</v>
      </c>
      <c r="G67" s="3">
        <v>1.0</v>
      </c>
      <c r="H67" s="1">
        <v>1.0</v>
      </c>
      <c r="I67" s="1">
        <v>1.0</v>
      </c>
      <c r="J67" s="1">
        <v>1.0</v>
      </c>
      <c r="K67" s="1">
        <v>2.0</v>
      </c>
      <c r="L67" s="1">
        <f t="shared" ref="L67:N67" si="177">SUMPRODUCT($B67:$J67, INDEX($B$2:$J$4, L$10, 0)) + INDEX($K$2:$K$4, L$10,1)</f>
        <v>7.984645998</v>
      </c>
      <c r="M67" s="1">
        <f t="shared" si="177"/>
        <v>7.607539277</v>
      </c>
      <c r="N67" s="1">
        <f t="shared" si="177"/>
        <v>7.726198925</v>
      </c>
      <c r="O67" s="1">
        <f t="shared" ref="O67:Q67" si="178">(L67-L$7)/(L$6-L$7)</f>
        <v>0.002057396537</v>
      </c>
      <c r="P67" s="1">
        <f t="shared" si="178"/>
        <v>0.001335812098</v>
      </c>
      <c r="Q67" s="1">
        <f t="shared" si="178"/>
        <v>0.0006689185196</v>
      </c>
      <c r="R67" s="1">
        <f t="shared" ref="R67:T67" si="179">1/(1+EXP(-O67))</f>
        <v>0.500514349</v>
      </c>
      <c r="S67" s="1">
        <f t="shared" si="179"/>
        <v>0.500333953</v>
      </c>
      <c r="T67" s="1">
        <f t="shared" si="179"/>
        <v>0.5001672296</v>
      </c>
      <c r="U67" s="1">
        <f t="shared" si="11"/>
        <v>2.476049343</v>
      </c>
      <c r="V67" s="1">
        <f t="shared" si="12"/>
        <v>0.2266229766</v>
      </c>
      <c r="W67" s="1">
        <f t="shared" si="13"/>
        <v>2</v>
      </c>
      <c r="X67" s="1">
        <f t="shared" si="14"/>
        <v>0</v>
      </c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ht="15.75" customHeight="1">
      <c r="A68" s="1"/>
      <c r="B68" s="1">
        <v>6.0</v>
      </c>
      <c r="C68" s="1">
        <v>1.0</v>
      </c>
      <c r="D68" s="1">
        <v>1.0</v>
      </c>
      <c r="E68" s="1">
        <v>1.0</v>
      </c>
      <c r="F68" s="1">
        <v>2.0</v>
      </c>
      <c r="G68" s="3">
        <v>1.0</v>
      </c>
      <c r="H68" s="1">
        <v>3.0</v>
      </c>
      <c r="I68" s="1">
        <v>1.0</v>
      </c>
      <c r="J68" s="1">
        <v>1.0</v>
      </c>
      <c r="K68" s="1">
        <v>2.0</v>
      </c>
      <c r="L68" s="1">
        <f t="shared" ref="L68:N68" si="180">SUMPRODUCT($B68:$J68, INDEX($B$2:$J$4, L$10, 0)) + INDEX($K$2:$K$4, L$10,1)</f>
        <v>8.065108011</v>
      </c>
      <c r="M68" s="1">
        <f t="shared" si="180"/>
        <v>7.627041278</v>
      </c>
      <c r="N68" s="1">
        <f t="shared" si="180"/>
        <v>7.736095989</v>
      </c>
      <c r="O68" s="1">
        <f t="shared" ref="O68:Q68" si="181">(L68-L$7)/(L$6-L$7)</f>
        <v>0.003373138227</v>
      </c>
      <c r="P68" s="1">
        <f t="shared" si="181"/>
        <v>0.001669763564</v>
      </c>
      <c r="Q68" s="1">
        <f t="shared" si="181"/>
        <v>0.0008362844113</v>
      </c>
      <c r="R68" s="1">
        <f t="shared" ref="R68:T68" si="182">1/(1+EXP(-O68))</f>
        <v>0.5008432838</v>
      </c>
      <c r="S68" s="1">
        <f t="shared" si="182"/>
        <v>0.5004174408</v>
      </c>
      <c r="T68" s="1">
        <f t="shared" si="182"/>
        <v>0.5002090711</v>
      </c>
      <c r="U68" s="1">
        <f t="shared" si="11"/>
        <v>2.476779536</v>
      </c>
      <c r="V68" s="1">
        <f t="shared" si="12"/>
        <v>0.227318726</v>
      </c>
      <c r="W68" s="1">
        <f t="shared" si="13"/>
        <v>2</v>
      </c>
      <c r="X68" s="1">
        <f t="shared" si="14"/>
        <v>0</v>
      </c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ht="15.75" customHeight="1">
      <c r="A69" s="1"/>
      <c r="B69" s="1">
        <v>1.0</v>
      </c>
      <c r="C69" s="1">
        <v>1.0</v>
      </c>
      <c r="D69" s="1">
        <v>3.0</v>
      </c>
      <c r="E69" s="1">
        <v>2.0</v>
      </c>
      <c r="F69" s="1">
        <v>2.0</v>
      </c>
      <c r="G69" s="3">
        <v>1.0</v>
      </c>
      <c r="H69" s="1">
        <v>3.0</v>
      </c>
      <c r="I69" s="1">
        <v>1.0</v>
      </c>
      <c r="J69" s="1">
        <v>1.0</v>
      </c>
      <c r="K69" s="1">
        <v>2.0</v>
      </c>
      <c r="L69" s="1">
        <f t="shared" ref="L69:N69" si="183">SUMPRODUCT($B69:$J69, INDEX($B$2:$J$4, L$10, 0)) + INDEX($K$2:$K$4, L$10,1)</f>
        <v>11.11237212</v>
      </c>
      <c r="M69" s="1">
        <f t="shared" si="183"/>
        <v>10.07215808</v>
      </c>
      <c r="N69" s="1">
        <f t="shared" si="183"/>
        <v>10.72062248</v>
      </c>
      <c r="O69" s="1">
        <f t="shared" ref="O69:Q69" si="184">(L69-L$7)/(L$6-L$7)</f>
        <v>0.05320301796</v>
      </c>
      <c r="P69" s="1">
        <f t="shared" si="184"/>
        <v>0.04353984288</v>
      </c>
      <c r="Q69" s="1">
        <f t="shared" si="184"/>
        <v>0.05130659933</v>
      </c>
      <c r="R69" s="1">
        <f t="shared" ref="R69:T69" si="185">1/(1+EXP(-O69))</f>
        <v>0.513297618</v>
      </c>
      <c r="S69" s="1">
        <f t="shared" si="185"/>
        <v>0.5108832415</v>
      </c>
      <c r="T69" s="1">
        <f t="shared" si="185"/>
        <v>0.5128238369</v>
      </c>
      <c r="U69" s="1">
        <f t="shared" si="11"/>
        <v>2.535408317</v>
      </c>
      <c r="V69" s="1">
        <f t="shared" si="12"/>
        <v>0.286662066</v>
      </c>
      <c r="W69" s="1">
        <f t="shared" si="13"/>
        <v>2</v>
      </c>
      <c r="X69" s="1">
        <f t="shared" si="14"/>
        <v>0</v>
      </c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ht="15.75" customHeight="1">
      <c r="A70" s="1"/>
      <c r="B70" s="1">
        <v>5.0</v>
      </c>
      <c r="C70" s="1">
        <v>1.0</v>
      </c>
      <c r="D70" s="1">
        <v>1.0</v>
      </c>
      <c r="E70" s="1">
        <v>1.0</v>
      </c>
      <c r="F70" s="1">
        <v>2.0</v>
      </c>
      <c r="G70" s="3">
        <v>1.0</v>
      </c>
      <c r="H70" s="1">
        <v>2.0</v>
      </c>
      <c r="I70" s="1">
        <v>2.0</v>
      </c>
      <c r="J70" s="1">
        <v>1.0</v>
      </c>
      <c r="K70" s="1">
        <v>2.0</v>
      </c>
      <c r="L70" s="1">
        <f t="shared" ref="L70:N70" si="186">SUMPRODUCT($B70:$J70, INDEX($B$2:$J$4, L$10, 0)) + INDEX($K$2:$K$4, L$10,1)</f>
        <v>8.301557982</v>
      </c>
      <c r="M70" s="1">
        <f t="shared" si="186"/>
        <v>7.900331323</v>
      </c>
      <c r="N70" s="1">
        <f t="shared" si="186"/>
        <v>8.026607561</v>
      </c>
      <c r="O70" s="1">
        <f t="shared" ref="O70:Q70" si="187">(L70-L$7)/(L$6-L$7)</f>
        <v>0.007239647069</v>
      </c>
      <c r="P70" s="1">
        <f t="shared" si="187"/>
        <v>0.006349571029</v>
      </c>
      <c r="Q70" s="1">
        <f t="shared" si="187"/>
        <v>0.005749027036</v>
      </c>
      <c r="R70" s="1">
        <f t="shared" ref="R70:T70" si="188">1/(1+EXP(-O70))</f>
        <v>0.5018099039</v>
      </c>
      <c r="S70" s="1">
        <f t="shared" si="188"/>
        <v>0.5015873874</v>
      </c>
      <c r="T70" s="1">
        <f t="shared" si="188"/>
        <v>0.5014372528</v>
      </c>
      <c r="U70" s="1">
        <f t="shared" si="11"/>
        <v>2.482347473</v>
      </c>
      <c r="V70" s="1">
        <f t="shared" si="12"/>
        <v>0.2326590843</v>
      </c>
      <c r="W70" s="1">
        <f t="shared" si="13"/>
        <v>2</v>
      </c>
      <c r="X70" s="1">
        <f t="shared" si="14"/>
        <v>0</v>
      </c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ht="15.75" customHeight="1">
      <c r="A71" s="1"/>
      <c r="B71" s="1">
        <v>5.0</v>
      </c>
      <c r="C71" s="1">
        <v>1.0</v>
      </c>
      <c r="D71" s="1">
        <v>1.0</v>
      </c>
      <c r="E71" s="1">
        <v>1.0</v>
      </c>
      <c r="F71" s="1">
        <v>2.0</v>
      </c>
      <c r="G71" s="3">
        <v>1.0</v>
      </c>
      <c r="H71" s="1">
        <v>2.0</v>
      </c>
      <c r="I71" s="1">
        <v>1.0</v>
      </c>
      <c r="J71" s="1">
        <v>1.0</v>
      </c>
      <c r="K71" s="1">
        <v>2.0</v>
      </c>
      <c r="L71" s="1">
        <f t="shared" ref="L71:N71" si="189">SUMPRODUCT($B71:$J71, INDEX($B$2:$J$4, L$10, 0)) + INDEX($K$2:$K$4, L$10,1)</f>
        <v>8.016938721</v>
      </c>
      <c r="M71" s="1">
        <f t="shared" si="189"/>
        <v>7.607539277</v>
      </c>
      <c r="N71" s="1">
        <f t="shared" si="189"/>
        <v>7.726202954</v>
      </c>
      <c r="O71" s="1">
        <f t="shared" ref="O71:Q71" si="190">(L71-L$7)/(L$6-L$7)</f>
        <v>0.002585457921</v>
      </c>
      <c r="P71" s="1">
        <f t="shared" si="190"/>
        <v>0.001335812098</v>
      </c>
      <c r="Q71" s="1">
        <f t="shared" si="190"/>
        <v>0.0006689866505</v>
      </c>
      <c r="R71" s="1">
        <f t="shared" ref="R71:T71" si="191">1/(1+EXP(-O71))</f>
        <v>0.5006463641</v>
      </c>
      <c r="S71" s="1">
        <f t="shared" si="191"/>
        <v>0.500333953</v>
      </c>
      <c r="T71" s="1">
        <f t="shared" si="191"/>
        <v>0.5001672467</v>
      </c>
      <c r="U71" s="1">
        <f t="shared" si="11"/>
        <v>2.476258331</v>
      </c>
      <c r="V71" s="1">
        <f t="shared" si="12"/>
        <v>0.2268219982</v>
      </c>
      <c r="W71" s="1">
        <f t="shared" si="13"/>
        <v>2</v>
      </c>
      <c r="X71" s="1">
        <f t="shared" si="14"/>
        <v>0</v>
      </c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ht="15.75" customHeight="1">
      <c r="A72" s="1"/>
      <c r="B72" s="1">
        <v>1.0</v>
      </c>
      <c r="C72" s="1">
        <v>1.0</v>
      </c>
      <c r="D72" s="1">
        <v>1.0</v>
      </c>
      <c r="E72" s="1">
        <v>1.0</v>
      </c>
      <c r="F72" s="1">
        <v>2.0</v>
      </c>
      <c r="G72" s="3">
        <v>1.0</v>
      </c>
      <c r="H72" s="1">
        <v>1.0</v>
      </c>
      <c r="I72" s="1">
        <v>1.0</v>
      </c>
      <c r="J72" s="1">
        <v>1.0</v>
      </c>
      <c r="K72" s="1">
        <v>2.0</v>
      </c>
      <c r="L72" s="1">
        <f t="shared" ref="L72:N72" si="192">SUMPRODUCT($B72:$J72, INDEX($B$2:$J$4, L$10, 0)) + INDEX($K$2:$K$4, L$10,1)</f>
        <v>7.921139731</v>
      </c>
      <c r="M72" s="1">
        <f t="shared" si="192"/>
        <v>7.529531272</v>
      </c>
      <c r="N72" s="1">
        <f t="shared" si="192"/>
        <v>7.6866429</v>
      </c>
      <c r="O72" s="1">
        <f t="shared" ref="O72:Q72" si="193">(L72-L$7)/(L$6-L$7)</f>
        <v>0.001018920854</v>
      </c>
      <c r="P72" s="1">
        <f t="shared" si="193"/>
        <v>0.000000006234892308</v>
      </c>
      <c r="Q72" s="1">
        <f t="shared" si="193"/>
        <v>0</v>
      </c>
      <c r="R72" s="1">
        <f t="shared" ref="R72:T72" si="194">1/(1+EXP(-O72))</f>
        <v>0.5002547302</v>
      </c>
      <c r="S72" s="1">
        <f t="shared" si="194"/>
        <v>0.5000000016</v>
      </c>
      <c r="T72" s="1">
        <f t="shared" si="194"/>
        <v>0.5</v>
      </c>
      <c r="U72" s="1">
        <f t="shared" si="11"/>
        <v>2.474800478</v>
      </c>
      <c r="V72" s="1">
        <f t="shared" si="12"/>
        <v>0.2254354935</v>
      </c>
      <c r="W72" s="1">
        <f t="shared" si="13"/>
        <v>2</v>
      </c>
      <c r="X72" s="1">
        <f t="shared" si="14"/>
        <v>0</v>
      </c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ht="15.75" customHeight="1">
      <c r="A73" s="1"/>
      <c r="B73" s="1">
        <v>2.0</v>
      </c>
      <c r="C73" s="1">
        <v>1.0</v>
      </c>
      <c r="D73" s="1">
        <v>1.0</v>
      </c>
      <c r="E73" s="1">
        <v>2.0</v>
      </c>
      <c r="F73" s="1">
        <v>2.0</v>
      </c>
      <c r="G73" s="3">
        <v>1.0</v>
      </c>
      <c r="H73" s="1">
        <v>3.0</v>
      </c>
      <c r="I73" s="1">
        <v>1.0</v>
      </c>
      <c r="J73" s="1">
        <v>1.0</v>
      </c>
      <c r="K73" s="1">
        <v>2.0</v>
      </c>
      <c r="L73" s="1">
        <f t="shared" ref="L73:N73" si="195">SUMPRODUCT($B73:$J73, INDEX($B$2:$J$4, L$10, 0)) + INDEX($K$2:$K$4, L$10,1)</f>
        <v>8.03366734</v>
      </c>
      <c r="M73" s="1">
        <f t="shared" si="195"/>
        <v>7.549033273</v>
      </c>
      <c r="N73" s="1">
        <f t="shared" si="195"/>
        <v>7.699338227</v>
      </c>
      <c r="O73" s="1">
        <f t="shared" ref="O73:Q73" si="196">(L73-L$7)/(L$6-L$7)</f>
        <v>0.002859009877</v>
      </c>
      <c r="P73" s="1">
        <f t="shared" si="196"/>
        <v>0.0003339577008</v>
      </c>
      <c r="Q73" s="1">
        <f t="shared" si="196"/>
        <v>0.0002146863714</v>
      </c>
      <c r="R73" s="1">
        <f t="shared" ref="R73:T73" si="197">1/(1+EXP(-O73))</f>
        <v>0.500714752</v>
      </c>
      <c r="S73" s="1">
        <f t="shared" si="197"/>
        <v>0.5000834894</v>
      </c>
      <c r="T73" s="1">
        <f t="shared" si="197"/>
        <v>0.5000536716</v>
      </c>
      <c r="U73" s="1">
        <f t="shared" si="11"/>
        <v>2.475758465</v>
      </c>
      <c r="V73" s="1">
        <f t="shared" si="12"/>
        <v>0.2263461169</v>
      </c>
      <c r="W73" s="1">
        <f t="shared" si="13"/>
        <v>2</v>
      </c>
      <c r="X73" s="1">
        <f t="shared" si="14"/>
        <v>0</v>
      </c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ht="15.75" customHeight="1">
      <c r="A74" s="1"/>
      <c r="B74" s="1">
        <v>5.0</v>
      </c>
      <c r="C74" s="1">
        <v>2.0</v>
      </c>
      <c r="D74" s="1">
        <v>3.0</v>
      </c>
      <c r="E74" s="1">
        <v>1.0</v>
      </c>
      <c r="F74" s="1">
        <v>6.0</v>
      </c>
      <c r="G74" s="3">
        <v>10.0</v>
      </c>
      <c r="H74" s="1">
        <v>5.0</v>
      </c>
      <c r="I74" s="1">
        <v>1.0</v>
      </c>
      <c r="J74" s="1">
        <v>1.0</v>
      </c>
      <c r="K74" s="1">
        <v>4.0</v>
      </c>
      <c r="L74" s="1">
        <f t="shared" ref="L74:N74" si="198">SUMPRODUCT($B74:$J74, INDEX($B$2:$J$4, L$10, 0)) + INDEX($K$2:$K$4, L$10,1)</f>
        <v>42.26563127</v>
      </c>
      <c r="M74" s="1">
        <f t="shared" si="198"/>
        <v>41.10362298</v>
      </c>
      <c r="N74" s="1">
        <f t="shared" si="198"/>
        <v>42.18065024</v>
      </c>
      <c r="O74" s="1">
        <f t="shared" ref="O74:Q74" si="199">(L74-L$7)/(L$6-L$7)</f>
        <v>0.5626315095</v>
      </c>
      <c r="P74" s="1">
        <f t="shared" si="199"/>
        <v>0.5749213684</v>
      </c>
      <c r="Q74" s="1">
        <f t="shared" si="199"/>
        <v>0.5833164544</v>
      </c>
      <c r="R74" s="1">
        <f t="shared" ref="R74:T74" si="200">1/(1+EXP(-O74))</f>
        <v>0.6370612019</v>
      </c>
      <c r="S74" s="1">
        <f t="shared" si="200"/>
        <v>0.639897978</v>
      </c>
      <c r="T74" s="1">
        <f t="shared" si="200"/>
        <v>0.6418301649</v>
      </c>
      <c r="U74" s="1">
        <f t="shared" si="11"/>
        <v>3.165549549</v>
      </c>
      <c r="V74" s="1">
        <f t="shared" si="12"/>
        <v>0.6963075555</v>
      </c>
      <c r="W74" s="1">
        <f t="shared" si="13"/>
        <v>4</v>
      </c>
      <c r="X74" s="1">
        <f t="shared" si="14"/>
        <v>0</v>
      </c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ht="15.75" customHeight="1">
      <c r="A75" s="1"/>
      <c r="B75" s="1">
        <v>8.0</v>
      </c>
      <c r="C75" s="1">
        <v>10.0</v>
      </c>
      <c r="D75" s="1">
        <v>10.0</v>
      </c>
      <c r="E75" s="1">
        <v>10.0</v>
      </c>
      <c r="F75" s="1">
        <v>5.0</v>
      </c>
      <c r="G75" s="3">
        <v>10.0</v>
      </c>
      <c r="H75" s="1">
        <v>8.0</v>
      </c>
      <c r="I75" s="1">
        <v>10.0</v>
      </c>
      <c r="J75" s="1">
        <v>6.0</v>
      </c>
      <c r="K75" s="1">
        <v>4.0</v>
      </c>
      <c r="L75" s="1">
        <f t="shared" ref="L75:N75" si="201">SUMPRODUCT($B75:$J75, INDEX($B$2:$J$4, L$10, 0)) + INDEX($K$2:$K$4, L$10,1)</f>
        <v>68.79241634</v>
      </c>
      <c r="M75" s="1">
        <f t="shared" si="201"/>
        <v>65.88823634</v>
      </c>
      <c r="N75" s="1">
        <f t="shared" si="201"/>
        <v>66.80115191</v>
      </c>
      <c r="O75" s="1">
        <f t="shared" ref="O75:Q75" si="202">(L75-L$7)/(L$6-L$7)</f>
        <v>0.9964063525</v>
      </c>
      <c r="P75" s="1">
        <f t="shared" si="202"/>
        <v>0.9993320659</v>
      </c>
      <c r="Q75" s="1">
        <f t="shared" si="202"/>
        <v>0.9996654045</v>
      </c>
      <c r="R75" s="1">
        <f t="shared" ref="R75:T75" si="203">1/(1+EXP(-O75))</f>
        <v>0.7303514382</v>
      </c>
      <c r="S75" s="1">
        <f t="shared" si="203"/>
        <v>0.7309272345</v>
      </c>
      <c r="T75" s="1">
        <f t="shared" si="203"/>
        <v>0.7309927881</v>
      </c>
      <c r="U75" s="1">
        <f t="shared" si="11"/>
        <v>3.616409826</v>
      </c>
      <c r="V75" s="1">
        <f t="shared" si="12"/>
        <v>0.1471414215</v>
      </c>
      <c r="W75" s="1">
        <f t="shared" si="13"/>
        <v>4</v>
      </c>
      <c r="X75" s="1">
        <f t="shared" si="14"/>
        <v>0</v>
      </c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ht="15.75" customHeight="1">
      <c r="A76" s="1"/>
      <c r="B76" s="1">
        <v>2.0</v>
      </c>
      <c r="C76" s="1">
        <v>1.0</v>
      </c>
      <c r="D76" s="1">
        <v>1.0</v>
      </c>
      <c r="E76" s="1">
        <v>1.0</v>
      </c>
      <c r="F76" s="1">
        <v>2.0</v>
      </c>
      <c r="G76" s="3">
        <v>1.0</v>
      </c>
      <c r="H76" s="1">
        <v>2.0</v>
      </c>
      <c r="I76" s="1">
        <v>1.0</v>
      </c>
      <c r="J76" s="1">
        <v>1.0</v>
      </c>
      <c r="K76" s="1">
        <v>2.0</v>
      </c>
      <c r="L76" s="1">
        <f t="shared" ref="L76:N76" si="204">SUMPRODUCT($B76:$J76, INDEX($B$2:$J$4, L$10, 0)) + INDEX($K$2:$K$4, L$10,1)</f>
        <v>7.96930902</v>
      </c>
      <c r="M76" s="1">
        <f t="shared" si="204"/>
        <v>7.549033273</v>
      </c>
      <c r="N76" s="1">
        <f t="shared" si="204"/>
        <v>7.696535935</v>
      </c>
      <c r="O76" s="1">
        <f t="shared" ref="O76:Q76" si="205">(L76-L$7)/(L$6-L$7)</f>
        <v>0.001806601159</v>
      </c>
      <c r="P76" s="1">
        <f t="shared" si="205"/>
        <v>0.0003339577008</v>
      </c>
      <c r="Q76" s="1">
        <f t="shared" si="205"/>
        <v>0.0001672977608</v>
      </c>
      <c r="R76" s="1">
        <f t="shared" ref="R76:T76" si="206">1/(1+EXP(-O76))</f>
        <v>0.5004516502</v>
      </c>
      <c r="S76" s="1">
        <f t="shared" si="206"/>
        <v>0.5000834894</v>
      </c>
      <c r="T76" s="1">
        <f t="shared" si="206"/>
        <v>0.5000418244</v>
      </c>
      <c r="U76" s="1">
        <f t="shared" si="11"/>
        <v>2.475321683</v>
      </c>
      <c r="V76" s="1">
        <f t="shared" si="12"/>
        <v>0.2259307022</v>
      </c>
      <c r="W76" s="1">
        <f t="shared" si="13"/>
        <v>2</v>
      </c>
      <c r="X76" s="1">
        <f t="shared" si="14"/>
        <v>0</v>
      </c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ht="15.75" customHeight="1">
      <c r="A77" s="1"/>
      <c r="B77" s="1">
        <v>4.0</v>
      </c>
      <c r="C77" s="1">
        <v>1.0</v>
      </c>
      <c r="D77" s="1">
        <v>2.0</v>
      </c>
      <c r="E77" s="1">
        <v>1.0</v>
      </c>
      <c r="F77" s="1">
        <v>2.0</v>
      </c>
      <c r="G77" s="3">
        <v>1.0</v>
      </c>
      <c r="H77" s="1">
        <v>1.0</v>
      </c>
      <c r="I77" s="1">
        <v>1.0</v>
      </c>
      <c r="J77" s="1">
        <v>1.0</v>
      </c>
      <c r="K77" s="1">
        <v>2.0</v>
      </c>
      <c r="L77" s="1">
        <f t="shared" ref="L77:N77" si="207">SUMPRODUCT($B77:$J77, INDEX($B$2:$J$4, L$10, 0)) + INDEX($K$2:$K$4, L$10,1)</f>
        <v>9.516060104</v>
      </c>
      <c r="M77" s="1">
        <f t="shared" si="207"/>
        <v>8.85935068</v>
      </c>
      <c r="N77" s="1">
        <f t="shared" si="207"/>
        <v>9.231896551</v>
      </c>
      <c r="O77" s="1">
        <f t="shared" ref="O77:Q77" si="208">(L77-L$7)/(L$6-L$7)</f>
        <v>0.02709959112</v>
      </c>
      <c r="P77" s="1">
        <f t="shared" si="208"/>
        <v>0.02277177895</v>
      </c>
      <c r="Q77" s="1">
        <f t="shared" si="208"/>
        <v>0.02613126018</v>
      </c>
      <c r="R77" s="1">
        <f t="shared" ref="R77:T77" si="209">1/(1+EXP(-O77))</f>
        <v>0.5067744832</v>
      </c>
      <c r="S77" s="1">
        <f t="shared" si="209"/>
        <v>0.5056926987</v>
      </c>
      <c r="T77" s="1">
        <f t="shared" si="209"/>
        <v>0.5065324433</v>
      </c>
      <c r="U77" s="1">
        <f t="shared" si="11"/>
        <v>2.505722775</v>
      </c>
      <c r="V77" s="1">
        <f t="shared" si="12"/>
        <v>0.2557555249</v>
      </c>
      <c r="W77" s="1">
        <f t="shared" si="13"/>
        <v>2</v>
      </c>
      <c r="X77" s="1">
        <f t="shared" si="14"/>
        <v>0</v>
      </c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ht="15.75" customHeight="1">
      <c r="A78" s="1"/>
      <c r="B78" s="1">
        <v>4.0</v>
      </c>
      <c r="C78" s="1">
        <v>1.0</v>
      </c>
      <c r="D78" s="1">
        <v>1.0</v>
      </c>
      <c r="E78" s="1">
        <v>1.0</v>
      </c>
      <c r="F78" s="1">
        <v>2.0</v>
      </c>
      <c r="G78" s="3">
        <v>1.0</v>
      </c>
      <c r="H78" s="1">
        <v>1.0</v>
      </c>
      <c r="I78" s="1">
        <v>1.0</v>
      </c>
      <c r="J78" s="1">
        <v>1.0</v>
      </c>
      <c r="K78" s="1">
        <v>2.0</v>
      </c>
      <c r="L78" s="1">
        <f t="shared" ref="L78:N78" si="210">SUMPRODUCT($B78:$J78, INDEX($B$2:$J$4, L$10, 0)) + INDEX($K$2:$K$4, L$10,1)</f>
        <v>7.968769431</v>
      </c>
      <c r="M78" s="1">
        <f t="shared" si="210"/>
        <v>7.588037275</v>
      </c>
      <c r="N78" s="1">
        <f t="shared" si="210"/>
        <v>7.716309919</v>
      </c>
      <c r="O78" s="1">
        <f t="shared" ref="O78:Q78" si="211">(L78-L$7)/(L$6-L$7)</f>
        <v>0.001797777616</v>
      </c>
      <c r="P78" s="1">
        <f t="shared" si="211"/>
        <v>0.001001860633</v>
      </c>
      <c r="Q78" s="1">
        <f t="shared" si="211"/>
        <v>0.0005016888897</v>
      </c>
      <c r="R78" s="1">
        <f t="shared" ref="R78:T78" si="212">1/(1+EXP(-O78))</f>
        <v>0.5004494443</v>
      </c>
      <c r="S78" s="1">
        <f t="shared" si="212"/>
        <v>0.5002504651</v>
      </c>
      <c r="T78" s="1">
        <f t="shared" si="212"/>
        <v>0.5001254222</v>
      </c>
      <c r="U78" s="1">
        <f t="shared" si="11"/>
        <v>2.475737126</v>
      </c>
      <c r="V78" s="1">
        <f t="shared" si="12"/>
        <v>0.2263258134</v>
      </c>
      <c r="W78" s="1">
        <f t="shared" si="13"/>
        <v>2</v>
      </c>
      <c r="X78" s="1">
        <f t="shared" si="14"/>
        <v>0</v>
      </c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ht="15.75" customHeight="1">
      <c r="A79" s="1"/>
      <c r="B79" s="1">
        <v>3.0</v>
      </c>
      <c r="C79" s="1">
        <v>6.0</v>
      </c>
      <c r="D79" s="1">
        <v>4.0</v>
      </c>
      <c r="E79" s="1">
        <v>10.0</v>
      </c>
      <c r="F79" s="1">
        <v>3.0</v>
      </c>
      <c r="G79" s="3">
        <v>3.0</v>
      </c>
      <c r="H79" s="1">
        <v>3.0</v>
      </c>
      <c r="I79" s="1">
        <v>4.0</v>
      </c>
      <c r="J79" s="1">
        <v>1.0</v>
      </c>
      <c r="K79" s="1">
        <v>4.0</v>
      </c>
      <c r="L79" s="1">
        <f t="shared" ref="L79:N79" si="213">SUMPRODUCT($B79:$J79, INDEX($B$2:$J$4, L$10, 0)) + INDEX($K$2:$K$4, L$10,1)</f>
        <v>28.33290886</v>
      </c>
      <c r="M79" s="1">
        <f t="shared" si="213"/>
        <v>27.01782508</v>
      </c>
      <c r="N79" s="1">
        <f t="shared" si="213"/>
        <v>26.88301031</v>
      </c>
      <c r="O79" s="1">
        <f t="shared" ref="O79:Q79" si="214">(L79-L$7)/(L$6-L$7)</f>
        <v>0.3347989824</v>
      </c>
      <c r="P79" s="1">
        <f t="shared" si="214"/>
        <v>0.333716746</v>
      </c>
      <c r="Q79" s="1">
        <f t="shared" si="214"/>
        <v>0.324623256</v>
      </c>
      <c r="R79" s="1">
        <f t="shared" ref="R79:T79" si="215">1/(1+EXP(-O79))</f>
        <v>0.582926583</v>
      </c>
      <c r="S79" s="1">
        <f t="shared" si="215"/>
        <v>0.5826634426</v>
      </c>
      <c r="T79" s="1">
        <f t="shared" si="215"/>
        <v>0.58045056</v>
      </c>
      <c r="U79" s="1">
        <f t="shared" si="11"/>
        <v>2.880100341</v>
      </c>
      <c r="V79" s="1">
        <f t="shared" si="12"/>
        <v>1.254175246</v>
      </c>
      <c r="W79" s="1">
        <f t="shared" si="13"/>
        <v>4</v>
      </c>
      <c r="X79" s="1">
        <f t="shared" si="14"/>
        <v>0</v>
      </c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ht="15.75" customHeight="1">
      <c r="A80" s="1"/>
      <c r="B80" s="1">
        <v>3.0</v>
      </c>
      <c r="C80" s="1">
        <v>1.0</v>
      </c>
      <c r="D80" s="1">
        <v>2.0</v>
      </c>
      <c r="E80" s="1">
        <v>1.0</v>
      </c>
      <c r="F80" s="1">
        <v>2.0</v>
      </c>
      <c r="G80" s="3">
        <v>1.0</v>
      </c>
      <c r="H80" s="1">
        <v>3.0</v>
      </c>
      <c r="I80" s="1">
        <v>1.0</v>
      </c>
      <c r="J80" s="1">
        <v>1.0</v>
      </c>
      <c r="K80" s="1">
        <v>2.0</v>
      </c>
      <c r="L80" s="1">
        <f t="shared" ref="L80:N80" si="216">SUMPRODUCT($B80:$J80, INDEX($B$2:$J$4, L$10, 0)) + INDEX($K$2:$K$4, L$10,1)</f>
        <v>9.564768983</v>
      </c>
      <c r="M80" s="1">
        <f t="shared" si="216"/>
        <v>8.839848678</v>
      </c>
      <c r="N80" s="1">
        <f t="shared" si="216"/>
        <v>9.222015602</v>
      </c>
      <c r="O80" s="1">
        <f t="shared" ref="O80:Q80" si="217">(L80-L$7)/(L$6-L$7)</f>
        <v>0.02789609497</v>
      </c>
      <c r="P80" s="1">
        <f t="shared" si="217"/>
        <v>0.02243782749</v>
      </c>
      <c r="Q80" s="1">
        <f t="shared" si="217"/>
        <v>0.02596416681</v>
      </c>
      <c r="R80" s="1">
        <f t="shared" ref="R80:T80" si="218">1/(1+EXP(-O80))</f>
        <v>0.5069735715</v>
      </c>
      <c r="S80" s="1">
        <f t="shared" si="218"/>
        <v>0.5056092215</v>
      </c>
      <c r="T80" s="1">
        <f t="shared" si="218"/>
        <v>0.5064906771</v>
      </c>
      <c r="U80" s="1">
        <f t="shared" si="11"/>
        <v>2.505828507</v>
      </c>
      <c r="V80" s="1">
        <f t="shared" si="12"/>
        <v>0.2558624783</v>
      </c>
      <c r="W80" s="1">
        <f t="shared" si="13"/>
        <v>2</v>
      </c>
      <c r="X80" s="1">
        <f t="shared" si="14"/>
        <v>0</v>
      </c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ht="15.75" customHeight="1">
      <c r="A81" s="1"/>
      <c r="B81" s="1">
        <v>8.0</v>
      </c>
      <c r="C81" s="1">
        <v>7.0</v>
      </c>
      <c r="D81" s="1">
        <v>4.0</v>
      </c>
      <c r="E81" s="1">
        <v>4.0</v>
      </c>
      <c r="F81" s="1">
        <v>5.0</v>
      </c>
      <c r="G81" s="3">
        <v>3.0</v>
      </c>
      <c r="H81" s="1">
        <v>5.0</v>
      </c>
      <c r="I81" s="1">
        <v>10.0</v>
      </c>
      <c r="J81" s="1">
        <v>1.0</v>
      </c>
      <c r="K81" s="1">
        <v>4.0</v>
      </c>
      <c r="L81" s="1">
        <f t="shared" ref="L81:N81" si="219">SUMPRODUCT($B81:$J81, INDEX($B$2:$J$4, L$10, 0)) + INDEX($K$2:$K$4, L$10,1)</f>
        <v>31.71224363</v>
      </c>
      <c r="M81" s="1">
        <f t="shared" si="219"/>
        <v>30.52106128</v>
      </c>
      <c r="N81" s="1">
        <f t="shared" si="219"/>
        <v>30.12471275</v>
      </c>
      <c r="O81" s="1">
        <f t="shared" ref="O81:Q81" si="220">(L81-L$7)/(L$6-L$7)</f>
        <v>0.3900589923</v>
      </c>
      <c r="P81" s="1">
        <f t="shared" si="220"/>
        <v>0.3937060182</v>
      </c>
      <c r="Q81" s="1">
        <f t="shared" si="220"/>
        <v>0.3794425861</v>
      </c>
      <c r="R81" s="1">
        <f t="shared" ref="R81:T81" si="221">1/(1+EXP(-O81))</f>
        <v>0.5962969004</v>
      </c>
      <c r="S81" s="1">
        <f t="shared" si="221"/>
        <v>0.5971745285</v>
      </c>
      <c r="T81" s="1">
        <f t="shared" si="221"/>
        <v>0.5937386544</v>
      </c>
      <c r="U81" s="1">
        <f t="shared" si="11"/>
        <v>2.948008116</v>
      </c>
      <c r="V81" s="1">
        <f t="shared" si="12"/>
        <v>1.106686925</v>
      </c>
      <c r="W81" s="1">
        <f t="shared" si="13"/>
        <v>4</v>
      </c>
      <c r="X81" s="1">
        <f t="shared" si="14"/>
        <v>0</v>
      </c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ht="15.75" customHeight="1">
      <c r="A82" s="1"/>
      <c r="B82" s="1">
        <v>3.0</v>
      </c>
      <c r="C82" s="1">
        <v>1.0</v>
      </c>
      <c r="D82" s="1">
        <v>1.0</v>
      </c>
      <c r="E82" s="1">
        <v>1.0</v>
      </c>
      <c r="F82" s="1">
        <v>2.0</v>
      </c>
      <c r="G82" s="3">
        <v>1.0</v>
      </c>
      <c r="H82" s="1">
        <v>3.0</v>
      </c>
      <c r="I82" s="1">
        <v>1.0</v>
      </c>
      <c r="J82" s="1">
        <v>1.0</v>
      </c>
      <c r="K82" s="1">
        <v>2.0</v>
      </c>
      <c r="L82" s="1">
        <f t="shared" ref="L82:N82" si="222">SUMPRODUCT($B82:$J82, INDEX($B$2:$J$4, L$10, 0)) + INDEX($K$2:$K$4, L$10,1)</f>
        <v>8.01747831</v>
      </c>
      <c r="M82" s="1">
        <f t="shared" si="222"/>
        <v>7.568535274</v>
      </c>
      <c r="N82" s="1">
        <f t="shared" si="222"/>
        <v>7.70642897</v>
      </c>
      <c r="O82" s="1">
        <f t="shared" ref="O82:Q82" si="223">(L82-L$7)/(L$6-L$7)</f>
        <v>0.002594281464</v>
      </c>
      <c r="P82" s="1">
        <f t="shared" si="223"/>
        <v>0.0006679091667</v>
      </c>
      <c r="Q82" s="1">
        <f t="shared" si="223"/>
        <v>0.0003345955216</v>
      </c>
      <c r="R82" s="1">
        <f t="shared" ref="R82:T82" si="224">1/(1+EXP(-O82))</f>
        <v>0.50064857</v>
      </c>
      <c r="S82" s="1">
        <f t="shared" si="224"/>
        <v>0.5001669773</v>
      </c>
      <c r="T82" s="1">
        <f t="shared" si="224"/>
        <v>0.5000836489</v>
      </c>
      <c r="U82" s="1">
        <f t="shared" si="11"/>
        <v>2.475842888</v>
      </c>
      <c r="V82" s="1">
        <f t="shared" si="12"/>
        <v>0.226426454</v>
      </c>
      <c r="W82" s="1">
        <f t="shared" si="13"/>
        <v>2</v>
      </c>
      <c r="X82" s="1">
        <f t="shared" si="14"/>
        <v>0</v>
      </c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ht="15.75" customHeight="1">
      <c r="A83" s="1"/>
      <c r="B83" s="1">
        <v>5.0</v>
      </c>
      <c r="C83" s="1">
        <v>7.0</v>
      </c>
      <c r="D83" s="1">
        <v>4.0</v>
      </c>
      <c r="E83" s="1">
        <v>1.0</v>
      </c>
      <c r="F83" s="1">
        <v>6.0</v>
      </c>
      <c r="G83" s="3">
        <v>1.0</v>
      </c>
      <c r="H83" s="1">
        <v>7.0</v>
      </c>
      <c r="I83" s="1">
        <v>10.0</v>
      </c>
      <c r="J83" s="1">
        <v>3.0</v>
      </c>
      <c r="K83" s="1">
        <v>4.0</v>
      </c>
      <c r="L83" s="1">
        <f t="shared" ref="L83:N83" si="225">SUMPRODUCT($B83:$J83, INDEX($B$2:$J$4, L$10, 0)) + INDEX($K$2:$K$4, L$10,1)</f>
        <v>25.2036313</v>
      </c>
      <c r="M83" s="1">
        <f t="shared" si="225"/>
        <v>23.95044847</v>
      </c>
      <c r="N83" s="1">
        <f t="shared" si="225"/>
        <v>23.41629219</v>
      </c>
      <c r="O83" s="1">
        <f t="shared" ref="O83:Q83" si="226">(L83-L$7)/(L$6-L$7)</f>
        <v>0.2836279912</v>
      </c>
      <c r="P83" s="1">
        <f t="shared" si="226"/>
        <v>0.2811911154</v>
      </c>
      <c r="Q83" s="1">
        <f t="shared" si="226"/>
        <v>0.2659987622</v>
      </c>
      <c r="R83" s="1">
        <f t="shared" ref="R83:T83" si="227">1/(1+EXP(-O83))</f>
        <v>0.570435449</v>
      </c>
      <c r="S83" s="1">
        <f t="shared" si="227"/>
        <v>0.5698382175</v>
      </c>
      <c r="T83" s="1">
        <f t="shared" si="227"/>
        <v>0.5661103444</v>
      </c>
      <c r="U83" s="1">
        <f t="shared" si="11"/>
        <v>2.814559663</v>
      </c>
      <c r="V83" s="1">
        <f t="shared" si="12"/>
        <v>1.405268794</v>
      </c>
      <c r="W83" s="1">
        <f t="shared" si="13"/>
        <v>4</v>
      </c>
      <c r="X83" s="1">
        <f t="shared" si="14"/>
        <v>0</v>
      </c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ht="15.75" customHeight="1">
      <c r="A84" s="1"/>
      <c r="B84" s="1">
        <v>5.0</v>
      </c>
      <c r="C84" s="1">
        <v>3.0</v>
      </c>
      <c r="D84" s="1">
        <v>2.0</v>
      </c>
      <c r="E84" s="1">
        <v>1.0</v>
      </c>
      <c r="F84" s="1">
        <v>3.0</v>
      </c>
      <c r="G84" s="3">
        <v>1.0</v>
      </c>
      <c r="H84" s="1">
        <v>1.0</v>
      </c>
      <c r="I84" s="1">
        <v>1.0</v>
      </c>
      <c r="J84" s="1">
        <v>1.0</v>
      </c>
      <c r="K84" s="1">
        <v>2.0</v>
      </c>
      <c r="L84" s="1">
        <f t="shared" ref="L84:N84" si="228">SUMPRODUCT($B84:$J84, INDEX($B$2:$J$4, L$10, 0)) + INDEX($K$2:$K$4, L$10,1)</f>
        <v>12.7850944</v>
      </c>
      <c r="M84" s="1">
        <f t="shared" si="228"/>
        <v>12.17679941</v>
      </c>
      <c r="N84" s="1">
        <f t="shared" si="228"/>
        <v>12.05500814</v>
      </c>
      <c r="O84" s="1">
        <f t="shared" ref="O84:Q84" si="229">(L84-L$7)/(L$6-L$7)</f>
        <v>0.08055593093</v>
      </c>
      <c r="P84" s="1">
        <f t="shared" si="229"/>
        <v>0.07957963432</v>
      </c>
      <c r="Q84" s="1">
        <f t="shared" si="229"/>
        <v>0.07387194231</v>
      </c>
      <c r="R84" s="1">
        <f t="shared" ref="R84:T84" si="230">1/(1+EXP(-O84))</f>
        <v>0.5201280992</v>
      </c>
      <c r="S84" s="1">
        <f t="shared" si="230"/>
        <v>0.5198844158</v>
      </c>
      <c r="T84" s="1">
        <f t="shared" si="230"/>
        <v>0.5184595917</v>
      </c>
      <c r="U84" s="1">
        <f t="shared" si="11"/>
        <v>2.570741536</v>
      </c>
      <c r="V84" s="1">
        <f t="shared" si="12"/>
        <v>0.3257459015</v>
      </c>
      <c r="W84" s="1">
        <f t="shared" si="13"/>
        <v>2</v>
      </c>
      <c r="X84" s="1">
        <f t="shared" si="14"/>
        <v>0</v>
      </c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ht="15.75" customHeight="1">
      <c r="A85" s="1"/>
      <c r="B85" s="1">
        <v>1.0</v>
      </c>
      <c r="C85" s="1">
        <v>1.0</v>
      </c>
      <c r="D85" s="1">
        <v>1.0</v>
      </c>
      <c r="E85" s="1">
        <v>1.0</v>
      </c>
      <c r="F85" s="1">
        <v>2.0</v>
      </c>
      <c r="G85" s="3">
        <v>3.0</v>
      </c>
      <c r="H85" s="1">
        <v>3.0</v>
      </c>
      <c r="I85" s="1">
        <v>1.0</v>
      </c>
      <c r="J85" s="1">
        <v>1.0</v>
      </c>
      <c r="K85" s="1">
        <v>2.0</v>
      </c>
      <c r="L85" s="1">
        <f t="shared" ref="L85:N85" si="231">SUMPRODUCT($B85:$J85, INDEX($B$2:$J$4, L$10, 0)) + INDEX($K$2:$K$4, L$10,1)</f>
        <v>14.47740689</v>
      </c>
      <c r="M85" s="1">
        <f t="shared" si="231"/>
        <v>14.04163844</v>
      </c>
      <c r="N85" s="1">
        <f t="shared" si="231"/>
        <v>14.35701777</v>
      </c>
      <c r="O85" s="1">
        <f t="shared" ref="O85:Q85" si="232">(L85-L$7)/(L$6-L$7)</f>
        <v>0.1082291896</v>
      </c>
      <c r="P85" s="1">
        <f t="shared" si="232"/>
        <v>0.1115130609</v>
      </c>
      <c r="Q85" s="1">
        <f t="shared" si="232"/>
        <v>0.1128004461</v>
      </c>
      <c r="R85" s="1">
        <f t="shared" ref="R85:T85" si="233">1/(1+EXP(-O85))</f>
        <v>0.5270309169</v>
      </c>
      <c r="S85" s="1">
        <f t="shared" si="233"/>
        <v>0.5278494119</v>
      </c>
      <c r="T85" s="1">
        <f t="shared" si="233"/>
        <v>0.5281702482</v>
      </c>
      <c r="U85" s="1">
        <f t="shared" si="11"/>
        <v>2.611473376</v>
      </c>
      <c r="V85" s="1">
        <f t="shared" si="12"/>
        <v>0.3738996892</v>
      </c>
      <c r="W85" s="1">
        <f t="shared" si="13"/>
        <v>2</v>
      </c>
      <c r="X85" s="1">
        <f t="shared" si="14"/>
        <v>0</v>
      </c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ht="15.75" customHeight="1">
      <c r="A86" s="1"/>
      <c r="B86" s="1">
        <v>10.0</v>
      </c>
      <c r="C86" s="1">
        <v>8.0</v>
      </c>
      <c r="D86" s="1">
        <v>8.0</v>
      </c>
      <c r="E86" s="1">
        <v>2.0</v>
      </c>
      <c r="F86" s="1">
        <v>3.0</v>
      </c>
      <c r="G86" s="3">
        <v>4.0</v>
      </c>
      <c r="H86" s="1">
        <v>8.0</v>
      </c>
      <c r="I86" s="1">
        <v>7.0</v>
      </c>
      <c r="J86" s="1">
        <v>8.0</v>
      </c>
      <c r="K86" s="1">
        <v>4.0</v>
      </c>
      <c r="L86" s="1">
        <f t="shared" ref="L86:N86" si="234">SUMPRODUCT($B86:$J86, INDEX($B$2:$J$4, L$10, 0)) + INDEX($K$2:$K$4, L$10,1)</f>
        <v>41.8286923</v>
      </c>
      <c r="M86" s="1">
        <f t="shared" si="234"/>
        <v>39.6719688</v>
      </c>
      <c r="N86" s="1">
        <f t="shared" si="234"/>
        <v>40.04183373</v>
      </c>
      <c r="O86" s="1">
        <f t="shared" ref="O86:Q86" si="235">(L86-L$7)/(L$6-L$7)</f>
        <v>0.5554865375</v>
      </c>
      <c r="P86" s="1">
        <f t="shared" si="235"/>
        <v>0.5504057813</v>
      </c>
      <c r="Q86" s="1">
        <f t="shared" si="235"/>
        <v>0.547147654</v>
      </c>
      <c r="R86" s="1">
        <f t="shared" ref="R86:T86" si="236">1/(1+EXP(-O86))</f>
        <v>0.6354075704</v>
      </c>
      <c r="S86" s="1">
        <f t="shared" si="236"/>
        <v>0.6342297302</v>
      </c>
      <c r="T86" s="1">
        <f t="shared" si="236"/>
        <v>0.6334735721</v>
      </c>
      <c r="U86" s="1">
        <f t="shared" si="11"/>
        <v>3.139239223</v>
      </c>
      <c r="V86" s="1">
        <f t="shared" si="12"/>
        <v>0.7409091146</v>
      </c>
      <c r="W86" s="1">
        <f t="shared" si="13"/>
        <v>4</v>
      </c>
      <c r="X86" s="1">
        <f t="shared" si="14"/>
        <v>0</v>
      </c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ht="15.75" customHeight="1">
      <c r="A87" s="1"/>
      <c r="B87" s="1">
        <v>3.0</v>
      </c>
      <c r="C87" s="1">
        <v>1.0</v>
      </c>
      <c r="D87" s="1">
        <v>1.0</v>
      </c>
      <c r="E87" s="1">
        <v>1.0</v>
      </c>
      <c r="F87" s="1">
        <v>2.0</v>
      </c>
      <c r="G87" s="3">
        <v>1.0</v>
      </c>
      <c r="H87" s="1">
        <v>3.0</v>
      </c>
      <c r="I87" s="1">
        <v>1.0</v>
      </c>
      <c r="J87" s="1">
        <v>1.0</v>
      </c>
      <c r="K87" s="1">
        <v>2.0</v>
      </c>
      <c r="L87" s="1">
        <f t="shared" ref="L87:N87" si="237">SUMPRODUCT($B87:$J87, INDEX($B$2:$J$4, L$10, 0)) + INDEX($K$2:$K$4, L$10,1)</f>
        <v>8.01747831</v>
      </c>
      <c r="M87" s="1">
        <f t="shared" si="237"/>
        <v>7.568535274</v>
      </c>
      <c r="N87" s="1">
        <f t="shared" si="237"/>
        <v>7.70642897</v>
      </c>
      <c r="O87" s="1">
        <f t="shared" ref="O87:Q87" si="238">(L87-L$7)/(L$6-L$7)</f>
        <v>0.002594281464</v>
      </c>
      <c r="P87" s="1">
        <f t="shared" si="238"/>
        <v>0.0006679091667</v>
      </c>
      <c r="Q87" s="1">
        <f t="shared" si="238"/>
        <v>0.0003345955216</v>
      </c>
      <c r="R87" s="1">
        <f t="shared" ref="R87:T87" si="239">1/(1+EXP(-O87))</f>
        <v>0.50064857</v>
      </c>
      <c r="S87" s="1">
        <f t="shared" si="239"/>
        <v>0.5001669773</v>
      </c>
      <c r="T87" s="1">
        <f t="shared" si="239"/>
        <v>0.5000836489</v>
      </c>
      <c r="U87" s="1">
        <f t="shared" si="11"/>
        <v>2.475842888</v>
      </c>
      <c r="V87" s="1">
        <f t="shared" si="12"/>
        <v>0.226426454</v>
      </c>
      <c r="W87" s="1">
        <f t="shared" si="13"/>
        <v>2</v>
      </c>
      <c r="X87" s="1">
        <f t="shared" si="14"/>
        <v>0</v>
      </c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ht="15.75" customHeight="1">
      <c r="A88" s="1"/>
      <c r="B88" s="1">
        <v>8.0</v>
      </c>
      <c r="C88" s="1">
        <v>7.0</v>
      </c>
      <c r="D88" s="1">
        <v>8.0</v>
      </c>
      <c r="E88" s="1">
        <v>2.0</v>
      </c>
      <c r="F88" s="1">
        <v>4.0</v>
      </c>
      <c r="G88" s="3">
        <v>2.0</v>
      </c>
      <c r="H88" s="1">
        <v>5.0</v>
      </c>
      <c r="I88" s="1">
        <v>10.0</v>
      </c>
      <c r="J88" s="1">
        <v>1.0</v>
      </c>
      <c r="K88" s="1">
        <v>4.0</v>
      </c>
      <c r="L88" s="1">
        <f t="shared" ref="L88:N88" si="240">SUMPRODUCT($B88:$J88, INDEX($B$2:$J$4, L$10, 0)) + INDEX($K$2:$K$4, L$10,1)</f>
        <v>34.52912384</v>
      </c>
      <c r="M88" s="1">
        <f t="shared" si="240"/>
        <v>32.35026095</v>
      </c>
      <c r="N88" s="1">
        <f t="shared" si="240"/>
        <v>32.84627935</v>
      </c>
      <c r="O88" s="1">
        <f t="shared" ref="O88:Q88" si="241">(L88-L$7)/(L$6-L$7)</f>
        <v>0.4361215578</v>
      </c>
      <c r="P88" s="1">
        <f t="shared" si="241"/>
        <v>0.4250291579</v>
      </c>
      <c r="Q88" s="1">
        <f t="shared" si="241"/>
        <v>0.4254660754</v>
      </c>
      <c r="R88" s="1">
        <f t="shared" ref="R88:T88" si="242">1/(1+EXP(-O88))</f>
        <v>0.6073344886</v>
      </c>
      <c r="S88" s="1">
        <f t="shared" si="242"/>
        <v>0.6046860547</v>
      </c>
      <c r="T88" s="1">
        <f t="shared" si="242"/>
        <v>0.604790491</v>
      </c>
      <c r="U88" s="1">
        <f t="shared" si="11"/>
        <v>2.996838353</v>
      </c>
      <c r="V88" s="1">
        <f t="shared" si="12"/>
        <v>1.00633329</v>
      </c>
      <c r="W88" s="1">
        <f t="shared" si="13"/>
        <v>4</v>
      </c>
      <c r="X88" s="1">
        <f t="shared" si="14"/>
        <v>0</v>
      </c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ht="15.75" customHeight="1">
      <c r="A89" s="1"/>
      <c r="B89" s="1">
        <v>10.0</v>
      </c>
      <c r="C89" s="1">
        <v>10.0</v>
      </c>
      <c r="D89" s="1">
        <v>10.0</v>
      </c>
      <c r="E89" s="1">
        <v>10.0</v>
      </c>
      <c r="F89" s="1">
        <v>6.0</v>
      </c>
      <c r="G89" s="3">
        <v>10.0</v>
      </c>
      <c r="H89" s="1">
        <v>8.0</v>
      </c>
      <c r="I89" s="1">
        <v>1.0</v>
      </c>
      <c r="J89" s="1">
        <v>5.0</v>
      </c>
      <c r="K89" s="1">
        <v>4.0</v>
      </c>
      <c r="L89" s="1">
        <f t="shared" ref="L89:N89" si="243">SUMPRODUCT($B89:$J89, INDEX($B$2:$J$4, L$10, 0)) + INDEX($K$2:$K$4, L$10,1)</f>
        <v>66.32490655</v>
      </c>
      <c r="M89" s="1">
        <f t="shared" si="243"/>
        <v>63.29211229</v>
      </c>
      <c r="N89" s="1">
        <f t="shared" si="243"/>
        <v>64.11728846</v>
      </c>
      <c r="O89" s="1">
        <f t="shared" ref="O89:Q89" si="244">(L89-L$7)/(L$6-L$7)</f>
        <v>0.9560568089</v>
      </c>
      <c r="P89" s="1">
        <f t="shared" si="244"/>
        <v>0.9548761447</v>
      </c>
      <c r="Q89" s="1">
        <f t="shared" si="244"/>
        <v>0.9542795003</v>
      </c>
      <c r="R89" s="1">
        <f t="shared" ref="R89:T89" si="245">1/(1+EXP(-O89))</f>
        <v>0.7223316184</v>
      </c>
      <c r="S89" s="1">
        <f t="shared" si="245"/>
        <v>0.722094752</v>
      </c>
      <c r="T89" s="1">
        <f t="shared" si="245"/>
        <v>0.7219750052</v>
      </c>
      <c r="U89" s="1">
        <f t="shared" si="11"/>
        <v>3.573667984</v>
      </c>
      <c r="V89" s="1">
        <f t="shared" si="12"/>
        <v>0.181758988</v>
      </c>
      <c r="W89" s="1">
        <f t="shared" si="13"/>
        <v>4</v>
      </c>
      <c r="X89" s="1">
        <f t="shared" si="14"/>
        <v>0</v>
      </c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ht="15.75" customHeight="1">
      <c r="A90" s="1"/>
      <c r="B90" s="1">
        <v>8.0</v>
      </c>
      <c r="C90" s="1">
        <v>4.0</v>
      </c>
      <c r="D90" s="1">
        <v>4.0</v>
      </c>
      <c r="E90" s="1">
        <v>1.0</v>
      </c>
      <c r="F90" s="1">
        <v>6.0</v>
      </c>
      <c r="G90" s="3">
        <v>10.0</v>
      </c>
      <c r="H90" s="1">
        <v>2.0</v>
      </c>
      <c r="I90" s="1">
        <v>5.0</v>
      </c>
      <c r="J90" s="1">
        <v>2.0</v>
      </c>
      <c r="K90" s="1">
        <v>4.0</v>
      </c>
      <c r="L90" s="1">
        <f t="shared" ref="L90:N90" si="246">SUMPRODUCT($B90:$J90, INDEX($B$2:$J$4, L$10, 0)) + INDEX($K$2:$K$4, L$10,1)</f>
        <v>48.09299782</v>
      </c>
      <c r="M90" s="1">
        <f t="shared" si="246"/>
        <v>46.90255694</v>
      </c>
      <c r="N90" s="1">
        <f t="shared" si="246"/>
        <v>47.74073281</v>
      </c>
      <c r="O90" s="1">
        <f t="shared" ref="O90:Q90" si="247">(L90-L$7)/(L$6-L$7)</f>
        <v>0.6579225522</v>
      </c>
      <c r="P90" s="1">
        <f t="shared" si="247"/>
        <v>0.6742220746</v>
      </c>
      <c r="Q90" s="1">
        <f t="shared" si="247"/>
        <v>0.6773411242</v>
      </c>
      <c r="R90" s="1">
        <f t="shared" ref="R90:T90" si="248">1/(1+EXP(-O90))</f>
        <v>0.6587935643</v>
      </c>
      <c r="S90" s="1">
        <f t="shared" si="248"/>
        <v>0.6624479067</v>
      </c>
      <c r="T90" s="1">
        <f t="shared" si="248"/>
        <v>0.6631450058</v>
      </c>
      <c r="U90" s="1">
        <f t="shared" si="11"/>
        <v>3.273730724</v>
      </c>
      <c r="V90" s="1">
        <f t="shared" si="12"/>
        <v>0.5274670618</v>
      </c>
      <c r="W90" s="1">
        <f t="shared" si="13"/>
        <v>4</v>
      </c>
      <c r="X90" s="1">
        <f t="shared" si="14"/>
        <v>0</v>
      </c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ht="15.75" customHeight="1">
      <c r="A91" s="1"/>
      <c r="B91" s="1">
        <v>9.0</v>
      </c>
      <c r="C91" s="1">
        <v>8.0</v>
      </c>
      <c r="D91" s="1">
        <v>8.0</v>
      </c>
      <c r="E91" s="1">
        <v>9.0</v>
      </c>
      <c r="F91" s="1">
        <v>6.0</v>
      </c>
      <c r="G91" s="3">
        <v>3.0</v>
      </c>
      <c r="H91" s="1">
        <v>4.0</v>
      </c>
      <c r="I91" s="1">
        <v>1.0</v>
      </c>
      <c r="J91" s="1">
        <v>1.0</v>
      </c>
      <c r="K91" s="1">
        <v>4.0</v>
      </c>
      <c r="L91" s="1">
        <f t="shared" ref="L91:N91" si="249">SUMPRODUCT($B91:$J91, INDEX($B$2:$J$4, L$10, 0)) + INDEX($K$2:$K$4, L$10,1)</f>
        <v>37.14147887</v>
      </c>
      <c r="M91" s="1">
        <f t="shared" si="249"/>
        <v>34.63966203</v>
      </c>
      <c r="N91" s="1">
        <f t="shared" si="249"/>
        <v>34.9139054</v>
      </c>
      <c r="O91" s="1">
        <f t="shared" ref="O91:Q91" si="250">(L91-L$7)/(L$6-L$7)</f>
        <v>0.4788396591</v>
      </c>
      <c r="P91" s="1">
        <f t="shared" si="250"/>
        <v>0.4642327676</v>
      </c>
      <c r="Q91" s="1">
        <f t="shared" si="250"/>
        <v>0.460430998</v>
      </c>
      <c r="R91" s="1">
        <f t="shared" ref="R91:T91" si="251">1/(1+EXP(-O91))</f>
        <v>0.6174738398</v>
      </c>
      <c r="S91" s="1">
        <f t="shared" si="251"/>
        <v>0.6140178247</v>
      </c>
      <c r="T91" s="1">
        <f t="shared" si="251"/>
        <v>0.6131164159</v>
      </c>
      <c r="U91" s="1">
        <f t="shared" si="11"/>
        <v>3.042571369</v>
      </c>
      <c r="V91" s="1">
        <f t="shared" si="12"/>
        <v>0.9166695842</v>
      </c>
      <c r="W91" s="1">
        <f t="shared" si="13"/>
        <v>4</v>
      </c>
      <c r="X91" s="1">
        <f t="shared" si="14"/>
        <v>0</v>
      </c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ht="15.75" customHeight="1">
      <c r="A92" s="1"/>
      <c r="B92" s="1">
        <v>5.0</v>
      </c>
      <c r="C92" s="1">
        <v>1.0</v>
      </c>
      <c r="D92" s="1">
        <v>1.0</v>
      </c>
      <c r="E92" s="1">
        <v>1.0</v>
      </c>
      <c r="F92" s="1">
        <v>2.0</v>
      </c>
      <c r="G92" s="3">
        <v>1.0</v>
      </c>
      <c r="H92" s="1">
        <v>2.0</v>
      </c>
      <c r="I92" s="1">
        <v>1.0</v>
      </c>
      <c r="J92" s="1">
        <v>1.0</v>
      </c>
      <c r="K92" s="1">
        <v>2.0</v>
      </c>
      <c r="L92" s="1">
        <f t="shared" ref="L92:N92" si="252">SUMPRODUCT($B92:$J92, INDEX($B$2:$J$4, L$10, 0)) + INDEX($K$2:$K$4, L$10,1)</f>
        <v>8.016938721</v>
      </c>
      <c r="M92" s="1">
        <f t="shared" si="252"/>
        <v>7.607539277</v>
      </c>
      <c r="N92" s="1">
        <f t="shared" si="252"/>
        <v>7.726202954</v>
      </c>
      <c r="O92" s="1">
        <f t="shared" ref="O92:Q92" si="253">(L92-L$7)/(L$6-L$7)</f>
        <v>0.002585457921</v>
      </c>
      <c r="P92" s="1">
        <f t="shared" si="253"/>
        <v>0.001335812098</v>
      </c>
      <c r="Q92" s="1">
        <f t="shared" si="253"/>
        <v>0.0006689866505</v>
      </c>
      <c r="R92" s="1">
        <f t="shared" ref="R92:T92" si="254">1/(1+EXP(-O92))</f>
        <v>0.5006463641</v>
      </c>
      <c r="S92" s="1">
        <f t="shared" si="254"/>
        <v>0.500333953</v>
      </c>
      <c r="T92" s="1">
        <f t="shared" si="254"/>
        <v>0.5001672467</v>
      </c>
      <c r="U92" s="1">
        <f t="shared" si="11"/>
        <v>2.476258331</v>
      </c>
      <c r="V92" s="1">
        <f t="shared" si="12"/>
        <v>0.2268219982</v>
      </c>
      <c r="W92" s="1">
        <f t="shared" si="13"/>
        <v>2</v>
      </c>
      <c r="X92" s="1">
        <f t="shared" si="14"/>
        <v>0</v>
      </c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ht="15.75" customHeight="1">
      <c r="A93" s="1"/>
      <c r="B93" s="1">
        <v>8.0</v>
      </c>
      <c r="C93" s="1">
        <v>4.0</v>
      </c>
      <c r="D93" s="1">
        <v>4.0</v>
      </c>
      <c r="E93" s="1">
        <v>5.0</v>
      </c>
      <c r="F93" s="1">
        <v>4.0</v>
      </c>
      <c r="G93" s="3">
        <v>7.0</v>
      </c>
      <c r="H93" s="1">
        <v>7.0</v>
      </c>
      <c r="I93" s="1">
        <v>8.0</v>
      </c>
      <c r="J93" s="1">
        <v>2.0</v>
      </c>
      <c r="K93" s="1">
        <v>2.0</v>
      </c>
      <c r="L93" s="1">
        <f t="shared" ref="L93:N93" si="255">SUMPRODUCT($B93:$J93, INDEX($B$2:$J$4, L$10, 0)) + INDEX($K$2:$K$4, L$10,1)</f>
        <v>39.37443819</v>
      </c>
      <c r="M93" s="1">
        <f t="shared" si="255"/>
        <v>38.0127716</v>
      </c>
      <c r="N93" s="1">
        <f t="shared" si="255"/>
        <v>38.64760961</v>
      </c>
      <c r="O93" s="1">
        <f t="shared" ref="O93:Q93" si="256">(L93-L$7)/(L$6-L$7)</f>
        <v>0.5153537552</v>
      </c>
      <c r="P93" s="1">
        <f t="shared" si="256"/>
        <v>0.5219937569</v>
      </c>
      <c r="Q93" s="1">
        <f t="shared" si="256"/>
        <v>0.5235704031</v>
      </c>
      <c r="R93" s="1">
        <f t="shared" ref="R93:T93" si="257">1/(1+EXP(-O93))</f>
        <v>0.6260606786</v>
      </c>
      <c r="S93" s="1">
        <f t="shared" si="257"/>
        <v>0.627613855</v>
      </c>
      <c r="T93" s="1">
        <f t="shared" si="257"/>
        <v>0.6279822662</v>
      </c>
      <c r="U93" s="1">
        <f t="shared" si="11"/>
        <v>3.104105872</v>
      </c>
      <c r="V93" s="1">
        <f t="shared" si="12"/>
        <v>1.219049776</v>
      </c>
      <c r="W93" s="1">
        <f t="shared" si="13"/>
        <v>4</v>
      </c>
      <c r="X93" s="1">
        <f t="shared" si="14"/>
        <v>1</v>
      </c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ht="15.75" customHeight="1">
      <c r="A94" s="1"/>
      <c r="B94" s="1">
        <v>8.0</v>
      </c>
      <c r="C94" s="1">
        <v>10.0</v>
      </c>
      <c r="D94" s="1">
        <v>8.0</v>
      </c>
      <c r="E94" s="1">
        <v>8.0</v>
      </c>
      <c r="F94" s="1">
        <v>4.0</v>
      </c>
      <c r="G94" s="3">
        <v>8.0</v>
      </c>
      <c r="H94" s="1">
        <v>7.0</v>
      </c>
      <c r="I94" s="1">
        <v>7.0</v>
      </c>
      <c r="J94" s="1">
        <v>1.0</v>
      </c>
      <c r="K94" s="1">
        <v>4.0</v>
      </c>
      <c r="L94" s="1">
        <f t="shared" ref="L94:N94" si="258">SUMPRODUCT($B94:$J94, INDEX($B$2:$J$4, L$10, 0)) + INDEX($K$2:$K$4, L$10,1)</f>
        <v>58.19356116</v>
      </c>
      <c r="M94" s="1">
        <f t="shared" si="258"/>
        <v>55.95512586</v>
      </c>
      <c r="N94" s="1">
        <f t="shared" si="258"/>
        <v>56.19279746</v>
      </c>
      <c r="O94" s="1">
        <f t="shared" ref="O94:Q94" si="259">(L94-L$7)/(L$6-L$7)</f>
        <v>0.8230903352</v>
      </c>
      <c r="P94" s="1">
        <f t="shared" si="259"/>
        <v>0.8292378916</v>
      </c>
      <c r="Q94" s="1">
        <f t="shared" si="259"/>
        <v>0.8202711218</v>
      </c>
      <c r="R94" s="1">
        <f t="shared" ref="R94:T94" si="260">1/(1+EXP(-O94))</f>
        <v>0.6948919384</v>
      </c>
      <c r="S94" s="1">
        <f t="shared" si="260"/>
        <v>0.6961937619</v>
      </c>
      <c r="T94" s="1">
        <f t="shared" si="260"/>
        <v>0.6942938887</v>
      </c>
      <c r="U94" s="1">
        <f t="shared" si="11"/>
        <v>3.439998671</v>
      </c>
      <c r="V94" s="1">
        <f t="shared" si="12"/>
        <v>0.3136014887</v>
      </c>
      <c r="W94" s="1">
        <f t="shared" si="13"/>
        <v>4</v>
      </c>
      <c r="X94" s="1">
        <f t="shared" si="14"/>
        <v>0</v>
      </c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ht="15.75" customHeight="1">
      <c r="A95" s="1"/>
      <c r="B95" s="1">
        <v>10.0</v>
      </c>
      <c r="C95" s="1">
        <v>8.0</v>
      </c>
      <c r="D95" s="1">
        <v>8.0</v>
      </c>
      <c r="E95" s="1">
        <v>2.0</v>
      </c>
      <c r="F95" s="1">
        <v>8.0</v>
      </c>
      <c r="G95" s="3">
        <v>10.0</v>
      </c>
      <c r="H95" s="1">
        <v>4.0</v>
      </c>
      <c r="I95" s="1">
        <v>8.0</v>
      </c>
      <c r="J95" s="1">
        <v>10.0</v>
      </c>
      <c r="K95" s="1">
        <v>4.0</v>
      </c>
      <c r="L95" s="1">
        <f t="shared" ref="L95:N95" si="261">SUMPRODUCT($B95:$J95, INDEX($B$2:$J$4, L$10, 0)) + INDEX($K$2:$K$4, L$10,1)</f>
        <v>61.77073792</v>
      </c>
      <c r="M95" s="1">
        <f t="shared" si="261"/>
        <v>59.50108416</v>
      </c>
      <c r="N95" s="1">
        <f t="shared" si="261"/>
        <v>60.35332265</v>
      </c>
      <c r="O95" s="1">
        <f t="shared" ref="O95:Q95" si="262">(L95-L$7)/(L$6-L$7)</f>
        <v>0.8815855234</v>
      </c>
      <c r="P95" s="1">
        <f t="shared" si="262"/>
        <v>0.8899587354</v>
      </c>
      <c r="Q95" s="1">
        <f t="shared" si="262"/>
        <v>0.8906283515</v>
      </c>
      <c r="R95" s="1">
        <f t="shared" ref="R95:T95" si="263">1/(1+EXP(-O95))</f>
        <v>0.7071506727</v>
      </c>
      <c r="S95" s="1">
        <f t="shared" si="263"/>
        <v>0.7088816569</v>
      </c>
      <c r="T95" s="1">
        <f t="shared" si="263"/>
        <v>0.7090198252</v>
      </c>
      <c r="U95" s="1">
        <f t="shared" si="11"/>
        <v>3.505606932</v>
      </c>
      <c r="V95" s="1">
        <f t="shared" si="12"/>
        <v>0.2444245054</v>
      </c>
      <c r="W95" s="1">
        <f t="shared" si="13"/>
        <v>4</v>
      </c>
      <c r="X95" s="1">
        <f t="shared" si="14"/>
        <v>0</v>
      </c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ht="15.75" customHeight="1">
      <c r="A96" s="1"/>
      <c r="B96" s="1">
        <v>2.0</v>
      </c>
      <c r="C96" s="1">
        <v>1.0</v>
      </c>
      <c r="D96" s="1">
        <v>1.0</v>
      </c>
      <c r="E96" s="1">
        <v>1.0</v>
      </c>
      <c r="F96" s="1">
        <v>2.0</v>
      </c>
      <c r="G96" s="3">
        <v>1.0</v>
      </c>
      <c r="H96" s="1">
        <v>3.0</v>
      </c>
      <c r="I96" s="1">
        <v>1.0</v>
      </c>
      <c r="J96" s="1">
        <v>1.0</v>
      </c>
      <c r="K96" s="1">
        <v>2.0</v>
      </c>
      <c r="L96" s="1">
        <f t="shared" ref="L96:N96" si="264">SUMPRODUCT($B96:$J96, INDEX($B$2:$J$4, L$10, 0)) + INDEX($K$2:$K$4, L$10,1)</f>
        <v>8.001601743</v>
      </c>
      <c r="M96" s="1">
        <f t="shared" si="264"/>
        <v>7.549033273</v>
      </c>
      <c r="N96" s="1">
        <f t="shared" si="264"/>
        <v>7.696539964</v>
      </c>
      <c r="O96" s="1">
        <f t="shared" ref="O96:Q96" si="265">(L96-L$7)/(L$6-L$7)</f>
        <v>0.002334662543</v>
      </c>
      <c r="P96" s="1">
        <f t="shared" si="265"/>
        <v>0.0003339577008</v>
      </c>
      <c r="Q96" s="1">
        <f t="shared" si="265"/>
        <v>0.0001673658917</v>
      </c>
      <c r="R96" s="1">
        <f t="shared" ref="R96:T96" si="266">1/(1+EXP(-O96))</f>
        <v>0.5005836654</v>
      </c>
      <c r="S96" s="1">
        <f t="shared" si="266"/>
        <v>0.5000834894</v>
      </c>
      <c r="T96" s="1">
        <f t="shared" si="266"/>
        <v>0.5000418415</v>
      </c>
      <c r="U96" s="1">
        <f t="shared" si="11"/>
        <v>2.475530672</v>
      </c>
      <c r="V96" s="1">
        <f t="shared" si="12"/>
        <v>0.2261294198</v>
      </c>
      <c r="W96" s="1">
        <f t="shared" si="13"/>
        <v>2</v>
      </c>
      <c r="X96" s="1">
        <f t="shared" si="14"/>
        <v>0</v>
      </c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ht="15.75" customHeight="1">
      <c r="A97" s="1"/>
      <c r="B97" s="1">
        <v>3.0</v>
      </c>
      <c r="C97" s="1">
        <v>1.0</v>
      </c>
      <c r="D97" s="1">
        <v>1.0</v>
      </c>
      <c r="E97" s="1">
        <v>1.0</v>
      </c>
      <c r="F97" s="1">
        <v>2.0</v>
      </c>
      <c r="G97" s="3">
        <v>1.0</v>
      </c>
      <c r="H97" s="1">
        <v>2.0</v>
      </c>
      <c r="I97" s="1">
        <v>1.0</v>
      </c>
      <c r="J97" s="1">
        <v>1.0</v>
      </c>
      <c r="K97" s="1">
        <v>2.0</v>
      </c>
      <c r="L97" s="1">
        <f t="shared" ref="L97:N97" si="267">SUMPRODUCT($B97:$J97, INDEX($B$2:$J$4, L$10, 0)) + INDEX($K$2:$K$4, L$10,1)</f>
        <v>7.985185587</v>
      </c>
      <c r="M97" s="1">
        <f t="shared" si="267"/>
        <v>7.568535274</v>
      </c>
      <c r="N97" s="1">
        <f t="shared" si="267"/>
        <v>7.706424942</v>
      </c>
      <c r="O97" s="1">
        <f t="shared" ref="O97:Q97" si="268">(L97-L$7)/(L$6-L$7)</f>
        <v>0.00206622008</v>
      </c>
      <c r="P97" s="1">
        <f t="shared" si="268"/>
        <v>0.0006679091667</v>
      </c>
      <c r="Q97" s="1">
        <f t="shared" si="268"/>
        <v>0.0003345273907</v>
      </c>
      <c r="R97" s="1">
        <f t="shared" ref="R97:T97" si="269">1/(1+EXP(-O97))</f>
        <v>0.5005165548</v>
      </c>
      <c r="S97" s="1">
        <f t="shared" si="269"/>
        <v>0.5001669773</v>
      </c>
      <c r="T97" s="1">
        <f t="shared" si="269"/>
        <v>0.5000836318</v>
      </c>
      <c r="U97" s="1">
        <f t="shared" si="11"/>
        <v>2.475633899</v>
      </c>
      <c r="V97" s="1">
        <f t="shared" si="12"/>
        <v>0.226227606</v>
      </c>
      <c r="W97" s="1">
        <f t="shared" si="13"/>
        <v>2</v>
      </c>
      <c r="X97" s="1">
        <f t="shared" si="14"/>
        <v>0</v>
      </c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ht="15.75" customHeight="1">
      <c r="A98" s="1"/>
      <c r="B98" s="1">
        <v>7.0</v>
      </c>
      <c r="C98" s="1">
        <v>2.0</v>
      </c>
      <c r="D98" s="1">
        <v>4.0</v>
      </c>
      <c r="E98" s="1">
        <v>1.0</v>
      </c>
      <c r="F98" s="1">
        <v>3.0</v>
      </c>
      <c r="G98" s="3">
        <v>4.0</v>
      </c>
      <c r="H98" s="1">
        <v>3.0</v>
      </c>
      <c r="I98" s="1">
        <v>3.0</v>
      </c>
      <c r="J98" s="1">
        <v>1.0</v>
      </c>
      <c r="K98" s="1">
        <v>4.0</v>
      </c>
      <c r="L98" s="1">
        <f t="shared" ref="L98:N98" si="270">SUMPRODUCT($B98:$J98, INDEX($B$2:$J$4, L$10, 0)) + INDEX($K$2:$K$4, L$10,1)</f>
        <v>24.68735175</v>
      </c>
      <c r="M98" s="1">
        <f t="shared" si="270"/>
        <v>23.46320188</v>
      </c>
      <c r="N98" s="1">
        <f t="shared" si="270"/>
        <v>24.30571561</v>
      </c>
      <c r="O98" s="1">
        <f t="shared" ref="O98:Q98" si="271">(L98-L$7)/(L$6-L$7)</f>
        <v>0.2751856158</v>
      </c>
      <c r="P98" s="1">
        <f t="shared" si="271"/>
        <v>0.2728475249</v>
      </c>
      <c r="Q98" s="1">
        <f t="shared" si="271"/>
        <v>0.2810394998</v>
      </c>
      <c r="R98" s="1">
        <f t="shared" ref="R98:T98" si="272">1/(1+EXP(-O98))</f>
        <v>0.5683655205</v>
      </c>
      <c r="S98" s="1">
        <f t="shared" si="272"/>
        <v>0.5677918342</v>
      </c>
      <c r="T98" s="1">
        <f t="shared" si="272"/>
        <v>0.5698010527</v>
      </c>
      <c r="U98" s="1">
        <f t="shared" si="11"/>
        <v>2.814241497</v>
      </c>
      <c r="V98" s="1">
        <f t="shared" si="12"/>
        <v>1.406023229</v>
      </c>
      <c r="W98" s="1">
        <f t="shared" si="13"/>
        <v>4</v>
      </c>
      <c r="X98" s="1">
        <f t="shared" si="14"/>
        <v>0</v>
      </c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ht="15.75" customHeight="1">
      <c r="A99" s="1"/>
      <c r="B99" s="1">
        <v>10.0</v>
      </c>
      <c r="C99" s="1">
        <v>5.0</v>
      </c>
      <c r="D99" s="1">
        <v>7.0</v>
      </c>
      <c r="E99" s="1">
        <v>3.0</v>
      </c>
      <c r="F99" s="1">
        <v>3.0</v>
      </c>
      <c r="G99" s="3">
        <v>7.0</v>
      </c>
      <c r="H99" s="1">
        <v>3.0</v>
      </c>
      <c r="I99" s="1">
        <v>3.0</v>
      </c>
      <c r="J99" s="1">
        <v>8.0</v>
      </c>
      <c r="K99" s="1">
        <v>4.0</v>
      </c>
      <c r="L99" s="1">
        <f t="shared" ref="L99:N99" si="273">SUMPRODUCT($B99:$J99, INDEX($B$2:$J$4, L$10, 0)) + INDEX($K$2:$K$4, L$10,1)</f>
        <v>43.96477818</v>
      </c>
      <c r="M99" s="1">
        <f t="shared" si="273"/>
        <v>42.0507284</v>
      </c>
      <c r="N99" s="1">
        <f t="shared" si="273"/>
        <v>43.11312313</v>
      </c>
      <c r="O99" s="1">
        <f t="shared" ref="O99:Q99" si="274">(L99-L$7)/(L$6-L$7)</f>
        <v>0.5904165268</v>
      </c>
      <c r="P99" s="1">
        <f t="shared" si="274"/>
        <v>0.5911395627</v>
      </c>
      <c r="Q99" s="1">
        <f t="shared" si="274"/>
        <v>0.5990851871</v>
      </c>
      <c r="R99" s="1">
        <f t="shared" ref="R99:T99" si="275">1/(1+EXP(-O99))</f>
        <v>0.6434607106</v>
      </c>
      <c r="S99" s="1">
        <f t="shared" si="275"/>
        <v>0.6436265716</v>
      </c>
      <c r="T99" s="1">
        <f t="shared" si="275"/>
        <v>0.6454469836</v>
      </c>
      <c r="U99" s="1">
        <f t="shared" si="11"/>
        <v>3.188037405</v>
      </c>
      <c r="V99" s="1">
        <f t="shared" si="12"/>
        <v>0.6592832552</v>
      </c>
      <c r="W99" s="1">
        <f t="shared" si="13"/>
        <v>4</v>
      </c>
      <c r="X99" s="1">
        <f t="shared" si="14"/>
        <v>0</v>
      </c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ht="15.75" customHeight="1">
      <c r="A100" s="1"/>
      <c r="B100" s="1">
        <v>10.0</v>
      </c>
      <c r="C100" s="1">
        <v>10.0</v>
      </c>
      <c r="D100" s="1">
        <v>10.0</v>
      </c>
      <c r="E100" s="1">
        <v>7.0</v>
      </c>
      <c r="F100" s="1">
        <v>9.0</v>
      </c>
      <c r="G100" s="3">
        <v>10.0</v>
      </c>
      <c r="H100" s="1">
        <v>7.0</v>
      </c>
      <c r="I100" s="1">
        <v>10.0</v>
      </c>
      <c r="J100" s="1">
        <v>10.0</v>
      </c>
      <c r="K100" s="1">
        <v>4.0</v>
      </c>
      <c r="L100" s="1">
        <f t="shared" ref="L100:N100" si="276">SUMPRODUCT($B100:$J100, INDEX($B$2:$J$4, L$10, 0)) + INDEX($K$2:$K$4, L$10,1)</f>
        <v>68.94492166</v>
      </c>
      <c r="M100" s="1">
        <f t="shared" si="276"/>
        <v>65.9272418</v>
      </c>
      <c r="N100" s="1">
        <f t="shared" si="276"/>
        <v>66.81253111</v>
      </c>
      <c r="O100" s="1">
        <f t="shared" ref="O100:Q100" si="277">(L100-L$7)/(L$6-L$7)</f>
        <v>0.9989001704</v>
      </c>
      <c r="P100" s="1">
        <f t="shared" si="277"/>
        <v>0.9999999938</v>
      </c>
      <c r="Q100" s="1">
        <f t="shared" si="277"/>
        <v>0.9998578342</v>
      </c>
      <c r="R100" s="1">
        <f t="shared" ref="R100:T100" si="278">1/(1+EXP(-O100))</f>
        <v>0.7308422841</v>
      </c>
      <c r="S100" s="1">
        <f t="shared" si="278"/>
        <v>0.7310585774</v>
      </c>
      <c r="T100" s="1">
        <f t="shared" si="278"/>
        <v>0.7310306262</v>
      </c>
      <c r="U100" s="1">
        <f t="shared" si="11"/>
        <v>3.617468376</v>
      </c>
      <c r="V100" s="1">
        <f t="shared" si="12"/>
        <v>0.1463304435</v>
      </c>
      <c r="W100" s="1">
        <f t="shared" si="13"/>
        <v>4</v>
      </c>
      <c r="X100" s="1">
        <f t="shared" si="14"/>
        <v>0</v>
      </c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ht="15.75" customHeight="1">
      <c r="A101" s="1"/>
      <c r="B101" s="1">
        <v>10.0</v>
      </c>
      <c r="C101" s="1">
        <v>3.0</v>
      </c>
      <c r="D101" s="1">
        <v>3.0</v>
      </c>
      <c r="E101" s="1">
        <v>1.0</v>
      </c>
      <c r="F101" s="1">
        <v>2.0</v>
      </c>
      <c r="G101" s="3">
        <v>10.0</v>
      </c>
      <c r="H101" s="1">
        <v>7.0</v>
      </c>
      <c r="I101" s="1">
        <v>6.0</v>
      </c>
      <c r="J101" s="1">
        <v>1.0</v>
      </c>
      <c r="K101" s="1">
        <v>4.0</v>
      </c>
      <c r="L101" s="1">
        <f t="shared" ref="L101:N101" si="279">SUMPRODUCT($B101:$J101, INDEX($B$2:$J$4, L$10, 0)) + INDEX($K$2:$K$4, L$10,1)</f>
        <v>45.17887781</v>
      </c>
      <c r="M101" s="1">
        <f t="shared" si="279"/>
        <v>44.31406494</v>
      </c>
      <c r="N101" s="1">
        <f t="shared" si="279"/>
        <v>45.13873765</v>
      </c>
      <c r="O101" s="1">
        <f t="shared" ref="O101:Q101" si="280">(L101-L$7)/(L$6-L$7)</f>
        <v>0.6102698892</v>
      </c>
      <c r="P101" s="1">
        <f t="shared" si="280"/>
        <v>0.6298968443</v>
      </c>
      <c r="Q101" s="1">
        <f t="shared" si="280"/>
        <v>0.6333396669</v>
      </c>
      <c r="R101" s="1">
        <f t="shared" ref="R101:T101" si="281">1/(1+EXP(-O101))</f>
        <v>0.648002365</v>
      </c>
      <c r="S101" s="1">
        <f t="shared" si="281"/>
        <v>0.6524660716</v>
      </c>
      <c r="T101" s="1">
        <f t="shared" si="281"/>
        <v>0.6532463354</v>
      </c>
      <c r="U101" s="1">
        <f t="shared" si="11"/>
        <v>3.223194305</v>
      </c>
      <c r="V101" s="1">
        <f t="shared" si="12"/>
        <v>0.6034270883</v>
      </c>
      <c r="W101" s="1">
        <f t="shared" si="13"/>
        <v>4</v>
      </c>
      <c r="X101" s="1">
        <f t="shared" si="14"/>
        <v>0</v>
      </c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ht="15.75" customHeight="1">
      <c r="A102" s="1"/>
      <c r="B102" s="1">
        <v>5.0</v>
      </c>
      <c r="C102" s="1">
        <v>1.0</v>
      </c>
      <c r="D102" s="1">
        <v>1.0</v>
      </c>
      <c r="E102" s="1">
        <v>3.0</v>
      </c>
      <c r="F102" s="1">
        <v>2.0</v>
      </c>
      <c r="G102" s="3">
        <v>1.0</v>
      </c>
      <c r="H102" s="1">
        <v>1.0</v>
      </c>
      <c r="I102" s="1">
        <v>1.0</v>
      </c>
      <c r="J102" s="1">
        <v>1.0</v>
      </c>
      <c r="K102" s="1">
        <v>2.0</v>
      </c>
      <c r="L102" s="1">
        <f t="shared" ref="L102:N102" si="282">SUMPRODUCT($B102:$J102, INDEX($B$2:$J$4, L$10, 0)) + INDEX($K$2:$K$4, L$10,1)</f>
        <v>8.048777191</v>
      </c>
      <c r="M102" s="1">
        <f t="shared" si="282"/>
        <v>7.607539277</v>
      </c>
      <c r="N102" s="1">
        <f t="shared" si="282"/>
        <v>7.731795452</v>
      </c>
      <c r="O102" s="1">
        <f t="shared" ref="O102:Q102" si="283">(L102-L$7)/(L$6-L$7)</f>
        <v>0.003106091205</v>
      </c>
      <c r="P102" s="1">
        <f t="shared" si="283"/>
        <v>0.001335812098</v>
      </c>
      <c r="Q102" s="1">
        <f t="shared" si="283"/>
        <v>0.000763559479</v>
      </c>
      <c r="R102" s="1">
        <f t="shared" ref="R102:T102" si="284">1/(1+EXP(-O102))</f>
        <v>0.5007765222</v>
      </c>
      <c r="S102" s="1">
        <f t="shared" si="284"/>
        <v>0.500333953</v>
      </c>
      <c r="T102" s="1">
        <f t="shared" si="284"/>
        <v>0.5001908899</v>
      </c>
      <c r="U102" s="1">
        <f t="shared" si="11"/>
        <v>2.476504929</v>
      </c>
      <c r="V102" s="1">
        <f t="shared" si="12"/>
        <v>0.2270569473</v>
      </c>
      <c r="W102" s="1">
        <f t="shared" si="13"/>
        <v>2</v>
      </c>
      <c r="X102" s="1">
        <f t="shared" si="14"/>
        <v>0</v>
      </c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ht="15.75" customHeight="1">
      <c r="A103" s="1"/>
      <c r="B103" s="1">
        <v>10.0</v>
      </c>
      <c r="C103" s="1">
        <v>10.0</v>
      </c>
      <c r="D103" s="1">
        <v>10.0</v>
      </c>
      <c r="E103" s="1">
        <v>6.0</v>
      </c>
      <c r="F103" s="1">
        <v>8.0</v>
      </c>
      <c r="G103" s="3">
        <v>4.0</v>
      </c>
      <c r="H103" s="1">
        <v>8.0</v>
      </c>
      <c r="I103" s="1">
        <v>5.0</v>
      </c>
      <c r="J103" s="1">
        <v>1.0</v>
      </c>
      <c r="K103" s="1">
        <v>4.0</v>
      </c>
      <c r="L103" s="1">
        <f t="shared" ref="L103:N103" si="285">SUMPRODUCT($B103:$J103, INDEX($B$2:$J$4, L$10, 0)) + INDEX($K$2:$K$4, L$10,1)</f>
        <v>47.98469693</v>
      </c>
      <c r="M103" s="1">
        <f t="shared" si="285"/>
        <v>44.9269597</v>
      </c>
      <c r="N103" s="1">
        <f t="shared" si="285"/>
        <v>45.29661341</v>
      </c>
      <c r="O103" s="1">
        <f t="shared" ref="O103:Q103" si="286">(L103-L$7)/(L$6-L$7)</f>
        <v>0.6561515799</v>
      </c>
      <c r="P103" s="1">
        <f t="shared" si="286"/>
        <v>0.6403920289</v>
      </c>
      <c r="Q103" s="1">
        <f t="shared" si="286"/>
        <v>0.6360094502</v>
      </c>
      <c r="R103" s="1">
        <f t="shared" ref="R103:T103" si="287">1/(1+EXP(-O103))</f>
        <v>0.6583953651</v>
      </c>
      <c r="S103" s="1">
        <f t="shared" si="287"/>
        <v>0.6548420739</v>
      </c>
      <c r="T103" s="1">
        <f t="shared" si="287"/>
        <v>0.6538508352</v>
      </c>
      <c r="U103" s="1">
        <f t="shared" si="11"/>
        <v>3.244601994</v>
      </c>
      <c r="V103" s="1">
        <f t="shared" si="12"/>
        <v>0.5706261473</v>
      </c>
      <c r="W103" s="1">
        <f t="shared" si="13"/>
        <v>4</v>
      </c>
      <c r="X103" s="1">
        <f t="shared" si="14"/>
        <v>0</v>
      </c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ht="15.75" customHeight="1">
      <c r="A104" s="1"/>
      <c r="B104" s="1">
        <v>5.0</v>
      </c>
      <c r="C104" s="1">
        <v>1.0</v>
      </c>
      <c r="D104" s="1">
        <v>1.0</v>
      </c>
      <c r="E104" s="1">
        <v>1.0</v>
      </c>
      <c r="F104" s="1">
        <v>2.0</v>
      </c>
      <c r="G104" s="3">
        <v>1.0</v>
      </c>
      <c r="H104" s="1">
        <v>1.0</v>
      </c>
      <c r="I104" s="1">
        <v>1.0</v>
      </c>
      <c r="J104" s="1">
        <v>1.0</v>
      </c>
      <c r="K104" s="1">
        <v>2.0</v>
      </c>
      <c r="L104" s="1">
        <f t="shared" ref="L104:N104" si="288">SUMPRODUCT($B104:$J104, INDEX($B$2:$J$4, L$10, 0)) + INDEX($K$2:$K$4, L$10,1)</f>
        <v>7.984645998</v>
      </c>
      <c r="M104" s="1">
        <f t="shared" si="288"/>
        <v>7.607539277</v>
      </c>
      <c r="N104" s="1">
        <f t="shared" si="288"/>
        <v>7.726198925</v>
      </c>
      <c r="O104" s="1">
        <f t="shared" ref="O104:Q104" si="289">(L104-L$7)/(L$6-L$7)</f>
        <v>0.002057396537</v>
      </c>
      <c r="P104" s="1">
        <f t="shared" si="289"/>
        <v>0.001335812098</v>
      </c>
      <c r="Q104" s="1">
        <f t="shared" si="289"/>
        <v>0.0006689185196</v>
      </c>
      <c r="R104" s="1">
        <f t="shared" ref="R104:T104" si="290">1/(1+EXP(-O104))</f>
        <v>0.500514349</v>
      </c>
      <c r="S104" s="1">
        <f t="shared" si="290"/>
        <v>0.500333953</v>
      </c>
      <c r="T104" s="1">
        <f t="shared" si="290"/>
        <v>0.5001672296</v>
      </c>
      <c r="U104" s="1">
        <f t="shared" si="11"/>
        <v>2.476049343</v>
      </c>
      <c r="V104" s="1">
        <f t="shared" si="12"/>
        <v>0.2266229766</v>
      </c>
      <c r="W104" s="1">
        <f t="shared" si="13"/>
        <v>2</v>
      </c>
      <c r="X104" s="1">
        <f t="shared" si="14"/>
        <v>0</v>
      </c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ht="15.75" customHeight="1">
      <c r="A105" s="1"/>
      <c r="B105" s="1">
        <v>1.0</v>
      </c>
      <c r="C105" s="1">
        <v>1.0</v>
      </c>
      <c r="D105" s="1">
        <v>1.0</v>
      </c>
      <c r="E105" s="1">
        <v>1.0</v>
      </c>
      <c r="F105" s="1">
        <v>1.0</v>
      </c>
      <c r="G105" s="3">
        <v>1.0</v>
      </c>
      <c r="H105" s="1">
        <v>1.0</v>
      </c>
      <c r="I105" s="1">
        <v>1.0</v>
      </c>
      <c r="J105" s="1">
        <v>1.0</v>
      </c>
      <c r="K105" s="1">
        <v>2.0</v>
      </c>
      <c r="L105" s="1">
        <f t="shared" ref="L105:N105" si="291">SUMPRODUCT($B105:$J105, INDEX($B$2:$J$4, L$10, 0)) + INDEX($K$2:$K$4, L$10,1)</f>
        <v>7.858829306</v>
      </c>
      <c r="M105" s="1">
        <f t="shared" si="291"/>
        <v>7.529530907</v>
      </c>
      <c r="N105" s="1">
        <f t="shared" si="291"/>
        <v>7.6866429</v>
      </c>
      <c r="O105" s="1">
        <f t="shared" ref="O105:Q105" si="292">(L105-L$7)/(L$6-L$7)</f>
        <v>0</v>
      </c>
      <c r="P105" s="1">
        <f t="shared" si="292"/>
        <v>0</v>
      </c>
      <c r="Q105" s="1">
        <f t="shared" si="292"/>
        <v>0</v>
      </c>
      <c r="R105" s="1">
        <f t="shared" ref="R105:T105" si="293">1/(1+EXP(-O105))</f>
        <v>0.5</v>
      </c>
      <c r="S105" s="1">
        <f t="shared" si="293"/>
        <v>0.5</v>
      </c>
      <c r="T105" s="1">
        <f t="shared" si="293"/>
        <v>0.5</v>
      </c>
      <c r="U105" s="1">
        <f t="shared" si="11"/>
        <v>2.474397276</v>
      </c>
      <c r="V105" s="1">
        <f t="shared" si="12"/>
        <v>0.2250527759</v>
      </c>
      <c r="W105" s="1">
        <f t="shared" si="13"/>
        <v>2</v>
      </c>
      <c r="X105" s="1">
        <f t="shared" si="14"/>
        <v>0</v>
      </c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ht="15.75" customHeight="1">
      <c r="A106" s="1"/>
      <c r="B106" s="1">
        <v>4.0</v>
      </c>
      <c r="C106" s="1">
        <v>1.0</v>
      </c>
      <c r="D106" s="1">
        <v>1.0</v>
      </c>
      <c r="E106" s="1">
        <v>3.0</v>
      </c>
      <c r="F106" s="1">
        <v>2.0</v>
      </c>
      <c r="G106" s="3">
        <v>1.0</v>
      </c>
      <c r="H106" s="1">
        <v>3.0</v>
      </c>
      <c r="I106" s="1">
        <v>1.0</v>
      </c>
      <c r="J106" s="1">
        <v>1.0</v>
      </c>
      <c r="K106" s="1">
        <v>2.0</v>
      </c>
      <c r="L106" s="1">
        <f t="shared" ref="L106:N106" si="294">SUMPRODUCT($B106:$J106, INDEX($B$2:$J$4, L$10, 0)) + INDEX($K$2:$K$4, L$10,1)</f>
        <v>8.09748607</v>
      </c>
      <c r="M106" s="1">
        <f t="shared" si="294"/>
        <v>7.588037275</v>
      </c>
      <c r="N106" s="1">
        <f t="shared" si="294"/>
        <v>7.721914503</v>
      </c>
      <c r="O106" s="1">
        <f t="shared" ref="O106:Q106" si="295">(L106-L$7)/(L$6-L$7)</f>
        <v>0.003902595052</v>
      </c>
      <c r="P106" s="1">
        <f t="shared" si="295"/>
        <v>0.001001860633</v>
      </c>
      <c r="Q106" s="1">
        <f t="shared" si="295"/>
        <v>0.0005964661109</v>
      </c>
      <c r="R106" s="1">
        <f t="shared" ref="R106:T106" si="296">1/(1+EXP(-O106))</f>
        <v>0.5009756475</v>
      </c>
      <c r="S106" s="1">
        <f t="shared" si="296"/>
        <v>0.5002504651</v>
      </c>
      <c r="T106" s="1">
        <f t="shared" si="296"/>
        <v>0.5001491165</v>
      </c>
      <c r="U106" s="1">
        <f t="shared" si="11"/>
        <v>2.47661069</v>
      </c>
      <c r="V106" s="1">
        <f t="shared" si="12"/>
        <v>0.2271577497</v>
      </c>
      <c r="W106" s="1">
        <f t="shared" si="13"/>
        <v>2</v>
      </c>
      <c r="X106" s="1">
        <f t="shared" si="14"/>
        <v>0</v>
      </c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ht="15.75" customHeight="1">
      <c r="A107" s="1"/>
      <c r="B107" s="1">
        <v>3.0</v>
      </c>
      <c r="C107" s="1">
        <v>1.0</v>
      </c>
      <c r="D107" s="1">
        <v>1.0</v>
      </c>
      <c r="E107" s="1">
        <v>1.0</v>
      </c>
      <c r="F107" s="1">
        <v>2.0</v>
      </c>
      <c r="G107" s="3">
        <v>3.0</v>
      </c>
      <c r="H107" s="1">
        <v>3.0</v>
      </c>
      <c r="I107" s="1">
        <v>1.0</v>
      </c>
      <c r="J107" s="1">
        <v>1.0</v>
      </c>
      <c r="K107" s="1">
        <v>2.0</v>
      </c>
      <c r="L107" s="1">
        <f t="shared" ref="L107:N107" si="297">SUMPRODUCT($B107:$J107, INDEX($B$2:$J$4, L$10, 0)) + INDEX($K$2:$K$4, L$10,1)</f>
        <v>14.50916002</v>
      </c>
      <c r="M107" s="1">
        <f t="shared" si="297"/>
        <v>14.08064244</v>
      </c>
      <c r="N107" s="1">
        <f t="shared" si="297"/>
        <v>14.37679578</v>
      </c>
      <c r="O107" s="1">
        <f t="shared" ref="O107:Q107" si="298">(L107-L$7)/(L$6-L$7)</f>
        <v>0.1087484275</v>
      </c>
      <c r="P107" s="1">
        <f t="shared" si="298"/>
        <v>0.1121809638</v>
      </c>
      <c r="Q107" s="1">
        <f t="shared" si="298"/>
        <v>0.1131349054</v>
      </c>
      <c r="R107" s="1">
        <f t="shared" ref="R107:T107" si="299">1/(1+EXP(-O107))</f>
        <v>0.5271603451</v>
      </c>
      <c r="S107" s="1">
        <f t="shared" si="299"/>
        <v>0.5280158665</v>
      </c>
      <c r="T107" s="1">
        <f t="shared" si="299"/>
        <v>0.5282535968</v>
      </c>
      <c r="U107" s="1">
        <f t="shared" si="11"/>
        <v>2.612095888</v>
      </c>
      <c r="V107" s="1">
        <f t="shared" si="12"/>
        <v>0.3746613766</v>
      </c>
      <c r="W107" s="1">
        <f t="shared" si="13"/>
        <v>2</v>
      </c>
      <c r="X107" s="1">
        <f t="shared" si="14"/>
        <v>0</v>
      </c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ht="15.75" customHeight="1">
      <c r="A108" s="1"/>
      <c r="B108" s="1">
        <v>3.0</v>
      </c>
      <c r="C108" s="1">
        <v>1.0</v>
      </c>
      <c r="D108" s="1">
        <v>1.0</v>
      </c>
      <c r="E108" s="1">
        <v>2.0</v>
      </c>
      <c r="F108" s="1">
        <v>2.0</v>
      </c>
      <c r="G108" s="3">
        <v>1.0</v>
      </c>
      <c r="H108" s="1">
        <v>1.0</v>
      </c>
      <c r="I108" s="1">
        <v>1.0</v>
      </c>
      <c r="J108" s="1">
        <v>1.0</v>
      </c>
      <c r="K108" s="1">
        <v>2.0</v>
      </c>
      <c r="L108" s="1">
        <f t="shared" ref="L108:N108" si="300">SUMPRODUCT($B108:$J108, INDEX($B$2:$J$4, L$10, 0)) + INDEX($K$2:$K$4, L$10,1)</f>
        <v>7.984958461</v>
      </c>
      <c r="M108" s="1">
        <f t="shared" si="300"/>
        <v>7.568535274</v>
      </c>
      <c r="N108" s="1">
        <f t="shared" si="300"/>
        <v>7.709219176</v>
      </c>
      <c r="O108" s="1">
        <f t="shared" ref="O108:Q108" si="301">(L108-L$7)/(L$6-L$7)</f>
        <v>0.002062506029</v>
      </c>
      <c r="P108" s="1">
        <f t="shared" si="301"/>
        <v>0.0006679091667</v>
      </c>
      <c r="Q108" s="1">
        <f t="shared" si="301"/>
        <v>0.0003817797395</v>
      </c>
      <c r="R108" s="1">
        <f t="shared" ref="R108:T108" si="302">1/(1+EXP(-O108))</f>
        <v>0.5005156263</v>
      </c>
      <c r="S108" s="1">
        <f t="shared" si="302"/>
        <v>0.5001669773</v>
      </c>
      <c r="T108" s="1">
        <f t="shared" si="302"/>
        <v>0.5000954449</v>
      </c>
      <c r="U108" s="1">
        <f t="shared" si="11"/>
        <v>2.475652703</v>
      </c>
      <c r="V108" s="1">
        <f t="shared" si="12"/>
        <v>0.2262454943</v>
      </c>
      <c r="W108" s="1">
        <f t="shared" si="13"/>
        <v>2</v>
      </c>
      <c r="X108" s="1">
        <f t="shared" si="14"/>
        <v>0</v>
      </c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ht="15.75" customHeight="1">
      <c r="A109" s="1"/>
      <c r="B109" s="1">
        <v>2.0</v>
      </c>
      <c r="C109" s="1">
        <v>3.0</v>
      </c>
      <c r="D109" s="1">
        <v>4.0</v>
      </c>
      <c r="E109" s="1">
        <v>4.0</v>
      </c>
      <c r="F109" s="1">
        <v>2.0</v>
      </c>
      <c r="G109" s="3">
        <v>5.0</v>
      </c>
      <c r="H109" s="1">
        <v>2.0</v>
      </c>
      <c r="I109" s="1">
        <v>5.0</v>
      </c>
      <c r="J109" s="1">
        <v>1.0</v>
      </c>
      <c r="K109" s="1">
        <v>4.0</v>
      </c>
      <c r="L109" s="1">
        <f t="shared" ref="L109:N109" si="303">SUMPRODUCT($B109:$J109, INDEX($B$2:$J$4, L$10, 0)) + INDEX($K$2:$K$4, L$10,1)</f>
        <v>30.02006559</v>
      </c>
      <c r="M109" s="1">
        <f t="shared" si="303"/>
        <v>28.85630237</v>
      </c>
      <c r="N109" s="1">
        <f t="shared" si="303"/>
        <v>29.60726525</v>
      </c>
      <c r="O109" s="1">
        <f t="shared" ref="O109:Q109" si="304">(L109-L$7)/(L$6-L$7)</f>
        <v>0.3623879323</v>
      </c>
      <c r="P109" s="1">
        <f t="shared" si="304"/>
        <v>0.3651987554</v>
      </c>
      <c r="Q109" s="1">
        <f t="shared" si="304"/>
        <v>0.3706922069</v>
      </c>
      <c r="R109" s="1">
        <f t="shared" ref="R109:T109" si="305">1/(1+EXP(-O109))</f>
        <v>0.589618362</v>
      </c>
      <c r="S109" s="1">
        <f t="shared" si="305"/>
        <v>0.590298321</v>
      </c>
      <c r="T109" s="1">
        <f t="shared" si="305"/>
        <v>0.5916262294</v>
      </c>
      <c r="U109" s="1">
        <f t="shared" si="11"/>
        <v>2.922467857</v>
      </c>
      <c r="V109" s="1">
        <f t="shared" si="12"/>
        <v>1.16107552</v>
      </c>
      <c r="W109" s="1">
        <f t="shared" si="13"/>
        <v>4</v>
      </c>
      <c r="X109" s="1">
        <f t="shared" si="14"/>
        <v>0</v>
      </c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ht="15.75" customHeight="1">
      <c r="A110" s="1"/>
      <c r="B110" s="1">
        <v>7.0</v>
      </c>
      <c r="C110" s="1">
        <v>3.0</v>
      </c>
      <c r="D110" s="1">
        <v>4.0</v>
      </c>
      <c r="E110" s="1">
        <v>4.0</v>
      </c>
      <c r="F110" s="1">
        <v>3.0</v>
      </c>
      <c r="G110" s="3">
        <v>3.0</v>
      </c>
      <c r="H110" s="1">
        <v>3.0</v>
      </c>
      <c r="I110" s="1">
        <v>2.0</v>
      </c>
      <c r="J110" s="1">
        <v>7.0</v>
      </c>
      <c r="K110" s="1">
        <v>4.0</v>
      </c>
      <c r="L110" s="1">
        <f t="shared" ref="L110:N110" si="306">SUMPRODUCT($B110:$J110, INDEX($B$2:$J$4, L$10, 0)) + INDEX($K$2:$K$4, L$10,1)</f>
        <v>22.84851208</v>
      </c>
      <c r="M110" s="1">
        <f t="shared" si="306"/>
        <v>21.56332944</v>
      </c>
      <c r="N110" s="1">
        <f t="shared" si="306"/>
        <v>22.08513368</v>
      </c>
      <c r="O110" s="1">
        <f t="shared" ref="O110:Q110" si="307">(L110-L$7)/(L$6-L$7)</f>
        <v>0.2451162957</v>
      </c>
      <c r="P110" s="1">
        <f t="shared" si="307"/>
        <v>0.2403141875</v>
      </c>
      <c r="Q110" s="1">
        <f t="shared" si="307"/>
        <v>0.2434879921</v>
      </c>
      <c r="R110" s="1">
        <f t="shared" ref="R110:T110" si="308">1/(1+EXP(-O110))</f>
        <v>0.5609740921</v>
      </c>
      <c r="S110" s="1">
        <f t="shared" si="308"/>
        <v>0.5597910744</v>
      </c>
      <c r="T110" s="1">
        <f t="shared" si="308"/>
        <v>0.5605730302</v>
      </c>
      <c r="U110" s="1">
        <f t="shared" si="11"/>
        <v>2.773505579</v>
      </c>
      <c r="V110" s="1">
        <f t="shared" si="12"/>
        <v>1.504288566</v>
      </c>
      <c r="W110" s="1">
        <f t="shared" si="13"/>
        <v>2</v>
      </c>
      <c r="X110" s="1">
        <f t="shared" si="14"/>
        <v>1</v>
      </c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ht="15.75" customHeight="1">
      <c r="A111" s="1"/>
      <c r="B111" s="1">
        <v>6.0</v>
      </c>
      <c r="C111" s="1">
        <v>5.0</v>
      </c>
      <c r="D111" s="1">
        <v>4.0</v>
      </c>
      <c r="E111" s="1">
        <v>4.0</v>
      </c>
      <c r="F111" s="1">
        <v>3.0</v>
      </c>
      <c r="G111" s="3">
        <v>9.0</v>
      </c>
      <c r="H111" s="1">
        <v>7.0</v>
      </c>
      <c r="I111" s="1">
        <v>8.0</v>
      </c>
      <c r="J111" s="1">
        <v>3.0</v>
      </c>
      <c r="K111" s="1">
        <v>4.0</v>
      </c>
      <c r="L111" s="1">
        <f t="shared" ref="L111:N111" si="309">SUMPRODUCT($B111:$J111, INDEX($B$2:$J$4, L$10, 0)) + INDEX($K$2:$K$4, L$10,1)</f>
        <v>47.3354144</v>
      </c>
      <c r="M111" s="1">
        <f t="shared" si="309"/>
        <v>46.13484758</v>
      </c>
      <c r="N111" s="1">
        <f t="shared" si="309"/>
        <v>46.70201144</v>
      </c>
      <c r="O111" s="1">
        <f t="shared" ref="O111:Q111" si="310">(L111-L$7)/(L$6-L$7)</f>
        <v>0.6455342952</v>
      </c>
      <c r="P111" s="1">
        <f t="shared" si="310"/>
        <v>0.6610758512</v>
      </c>
      <c r="Q111" s="1">
        <f t="shared" si="310"/>
        <v>0.6597756595</v>
      </c>
      <c r="R111" s="1">
        <f t="shared" ref="R111:T111" si="311">1/(1+EXP(-O111))</f>
        <v>0.6560034219</v>
      </c>
      <c r="S111" s="1">
        <f t="shared" si="311"/>
        <v>0.6595020221</v>
      </c>
      <c r="T111" s="1">
        <f t="shared" si="311"/>
        <v>0.6592099917</v>
      </c>
      <c r="U111" s="1">
        <f t="shared" si="11"/>
        <v>3.257701077</v>
      </c>
      <c r="V111" s="1">
        <f t="shared" si="12"/>
        <v>0.5510076914</v>
      </c>
      <c r="W111" s="1">
        <f t="shared" si="13"/>
        <v>4</v>
      </c>
      <c r="X111" s="1">
        <f t="shared" si="14"/>
        <v>0</v>
      </c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ht="15.75" customHeight="1">
      <c r="A112" s="1"/>
      <c r="B112" s="1">
        <v>5.0</v>
      </c>
      <c r="C112" s="1">
        <v>10.0</v>
      </c>
      <c r="D112" s="1">
        <v>10.0</v>
      </c>
      <c r="E112" s="1">
        <v>3.0</v>
      </c>
      <c r="F112" s="1">
        <v>8.0</v>
      </c>
      <c r="G112" s="3">
        <v>1.0</v>
      </c>
      <c r="H112" s="1">
        <v>5.0</v>
      </c>
      <c r="I112" s="1">
        <v>10.0</v>
      </c>
      <c r="J112" s="1">
        <v>3.0</v>
      </c>
      <c r="K112" s="1">
        <v>4.0</v>
      </c>
      <c r="L112" s="1">
        <f t="shared" ref="L112:N112" si="312">SUMPRODUCT($B112:$J112, INDEX($B$2:$J$4, L$10, 0)) + INDEX($K$2:$K$4, L$10,1)</f>
        <v>39.39781288</v>
      </c>
      <c r="M112" s="1">
        <f t="shared" si="312"/>
        <v>36.52524918</v>
      </c>
      <c r="N112" s="1">
        <f t="shared" si="312"/>
        <v>36.73523432</v>
      </c>
      <c r="O112" s="1">
        <f t="shared" ref="O112:Q112" si="313">(L112-L$7)/(L$6-L$7)</f>
        <v>0.5157359859</v>
      </c>
      <c r="P112" s="1">
        <f t="shared" si="313"/>
        <v>0.4965214843</v>
      </c>
      <c r="Q112" s="1">
        <f t="shared" si="313"/>
        <v>0.4912308734</v>
      </c>
      <c r="R112" s="1">
        <f t="shared" ref="R112:T112" si="314">1/(1+EXP(-O112))</f>
        <v>0.6261501578</v>
      </c>
      <c r="S112" s="1">
        <f t="shared" si="314"/>
        <v>0.6216415195</v>
      </c>
      <c r="T112" s="1">
        <f t="shared" si="314"/>
        <v>0.6203963518</v>
      </c>
      <c r="U112" s="1">
        <f t="shared" si="11"/>
        <v>3.081375635</v>
      </c>
      <c r="V112" s="1">
        <f t="shared" si="12"/>
        <v>0.8438707245</v>
      </c>
      <c r="W112" s="1">
        <f t="shared" si="13"/>
        <v>4</v>
      </c>
      <c r="X112" s="1">
        <f t="shared" si="14"/>
        <v>0</v>
      </c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ht="15.75" customHeight="1">
      <c r="A113" s="1"/>
      <c r="B113" s="1">
        <v>1.0</v>
      </c>
      <c r="C113" s="1">
        <v>5.0</v>
      </c>
      <c r="D113" s="1">
        <v>8.0</v>
      </c>
      <c r="E113" s="1">
        <v>6.0</v>
      </c>
      <c r="F113" s="1">
        <v>5.0</v>
      </c>
      <c r="G113" s="3">
        <v>8.0</v>
      </c>
      <c r="H113" s="1">
        <v>7.0</v>
      </c>
      <c r="I113" s="1">
        <v>10.0</v>
      </c>
      <c r="J113" s="1">
        <v>1.0</v>
      </c>
      <c r="K113" s="1">
        <v>4.0</v>
      </c>
      <c r="L113" s="1">
        <f t="shared" ref="L113:N113" si="315">SUMPRODUCT($B113:$J113, INDEX($B$2:$J$4, L$10, 0)) + INDEX($K$2:$K$4, L$10,1)</f>
        <v>50.95734396</v>
      </c>
      <c r="M113" s="1">
        <f t="shared" si="315"/>
        <v>48.45212243</v>
      </c>
      <c r="N113" s="1">
        <f t="shared" si="315"/>
        <v>49.98613527</v>
      </c>
      <c r="O113" s="1">
        <f t="shared" ref="O113:Q113" si="316">(L113-L$7)/(L$6-L$7)</f>
        <v>0.7047612963</v>
      </c>
      <c r="P113" s="1">
        <f t="shared" si="316"/>
        <v>0.7007567702</v>
      </c>
      <c r="Q113" s="1">
        <f t="shared" si="316"/>
        <v>0.7153123633</v>
      </c>
      <c r="R113" s="1">
        <f t="shared" ref="R113:T113" si="317">1/(1+EXP(-O113))</f>
        <v>0.6692425662</v>
      </c>
      <c r="S113" s="1">
        <f t="shared" si="317"/>
        <v>0.6683555365</v>
      </c>
      <c r="T113" s="1">
        <f t="shared" si="317"/>
        <v>0.6715739335</v>
      </c>
      <c r="U113" s="1">
        <f t="shared" si="11"/>
        <v>3.314481815</v>
      </c>
      <c r="V113" s="1">
        <f t="shared" si="12"/>
        <v>0.4699351821</v>
      </c>
      <c r="W113" s="1">
        <f t="shared" si="13"/>
        <v>4</v>
      </c>
      <c r="X113" s="1">
        <f t="shared" si="14"/>
        <v>0</v>
      </c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ht="15.75" customHeight="1">
      <c r="A114" s="1"/>
      <c r="B114" s="1">
        <v>3.0</v>
      </c>
      <c r="C114" s="1">
        <v>1.0</v>
      </c>
      <c r="D114" s="1">
        <v>1.0</v>
      </c>
      <c r="E114" s="1">
        <v>1.0</v>
      </c>
      <c r="F114" s="1">
        <v>2.0</v>
      </c>
      <c r="G114" s="3">
        <v>1.0</v>
      </c>
      <c r="H114" s="1">
        <v>3.0</v>
      </c>
      <c r="I114" s="1">
        <v>1.0</v>
      </c>
      <c r="J114" s="1">
        <v>1.0</v>
      </c>
      <c r="K114" s="1">
        <v>2.0</v>
      </c>
      <c r="L114" s="1">
        <f t="shared" ref="L114:N114" si="318">SUMPRODUCT($B114:$J114, INDEX($B$2:$J$4, L$10, 0)) + INDEX($K$2:$K$4, L$10,1)</f>
        <v>8.01747831</v>
      </c>
      <c r="M114" s="1">
        <f t="shared" si="318"/>
        <v>7.568535274</v>
      </c>
      <c r="N114" s="1">
        <f t="shared" si="318"/>
        <v>7.70642897</v>
      </c>
      <c r="O114" s="1">
        <f t="shared" ref="O114:Q114" si="319">(L114-L$7)/(L$6-L$7)</f>
        <v>0.002594281464</v>
      </c>
      <c r="P114" s="1">
        <f t="shared" si="319"/>
        <v>0.0006679091667</v>
      </c>
      <c r="Q114" s="1">
        <f t="shared" si="319"/>
        <v>0.0003345955216</v>
      </c>
      <c r="R114" s="1">
        <f t="shared" ref="R114:T114" si="320">1/(1+EXP(-O114))</f>
        <v>0.50064857</v>
      </c>
      <c r="S114" s="1">
        <f t="shared" si="320"/>
        <v>0.5001669773</v>
      </c>
      <c r="T114" s="1">
        <f t="shared" si="320"/>
        <v>0.5000836489</v>
      </c>
      <c r="U114" s="1">
        <f t="shared" si="11"/>
        <v>2.475842888</v>
      </c>
      <c r="V114" s="1">
        <f t="shared" si="12"/>
        <v>0.226426454</v>
      </c>
      <c r="W114" s="1">
        <f t="shared" si="13"/>
        <v>2</v>
      </c>
      <c r="X114" s="1">
        <f t="shared" si="14"/>
        <v>0</v>
      </c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ht="15.75" customHeight="1">
      <c r="A115" s="1"/>
      <c r="B115" s="1">
        <v>1.0</v>
      </c>
      <c r="C115" s="1">
        <v>1.0</v>
      </c>
      <c r="D115" s="1">
        <v>1.0</v>
      </c>
      <c r="E115" s="1">
        <v>1.0</v>
      </c>
      <c r="F115" s="1">
        <v>2.0</v>
      </c>
      <c r="G115" s="3">
        <v>1.0</v>
      </c>
      <c r="H115" s="1">
        <v>3.0</v>
      </c>
      <c r="I115" s="1">
        <v>1.0</v>
      </c>
      <c r="J115" s="1">
        <v>1.0</v>
      </c>
      <c r="K115" s="1">
        <v>2.0</v>
      </c>
      <c r="L115" s="1">
        <f t="shared" ref="L115:N115" si="321">SUMPRODUCT($B115:$J115, INDEX($B$2:$J$4, L$10, 0)) + INDEX($K$2:$K$4, L$10,1)</f>
        <v>7.985725177</v>
      </c>
      <c r="M115" s="1">
        <f t="shared" si="321"/>
        <v>7.529531272</v>
      </c>
      <c r="N115" s="1">
        <f t="shared" si="321"/>
        <v>7.686650958</v>
      </c>
      <c r="O115" s="1">
        <f t="shared" ref="O115:Q115" si="322">(L115-L$7)/(L$6-L$7)</f>
        <v>0.002075043622</v>
      </c>
      <c r="P115" s="1">
        <f t="shared" si="322"/>
        <v>0.000000006234892308</v>
      </c>
      <c r="Q115" s="1">
        <f t="shared" si="322"/>
        <v>0.0000001362617963</v>
      </c>
      <c r="R115" s="1">
        <f t="shared" ref="R115:T115" si="323">1/(1+EXP(-O115))</f>
        <v>0.5005187607</v>
      </c>
      <c r="S115" s="1">
        <f t="shared" si="323"/>
        <v>0.5000000016</v>
      </c>
      <c r="T115" s="1">
        <f t="shared" si="323"/>
        <v>0.5000000341</v>
      </c>
      <c r="U115" s="1">
        <f t="shared" si="11"/>
        <v>2.475218456</v>
      </c>
      <c r="V115" s="1">
        <f t="shared" si="12"/>
        <v>0.2258325805</v>
      </c>
      <c r="W115" s="1">
        <f t="shared" si="13"/>
        <v>2</v>
      </c>
      <c r="X115" s="1">
        <f t="shared" si="14"/>
        <v>0</v>
      </c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ht="15.75" customHeight="1">
      <c r="A116" s="1"/>
      <c r="B116" s="1">
        <v>8.0</v>
      </c>
      <c r="C116" s="1">
        <v>7.0</v>
      </c>
      <c r="D116" s="1">
        <v>8.0</v>
      </c>
      <c r="E116" s="1">
        <v>7.0</v>
      </c>
      <c r="F116" s="1">
        <v>5.0</v>
      </c>
      <c r="G116" s="3">
        <v>5.0</v>
      </c>
      <c r="H116" s="1">
        <v>5.0</v>
      </c>
      <c r="I116" s="1">
        <v>10.0</v>
      </c>
      <c r="J116" s="1">
        <v>2.0</v>
      </c>
      <c r="K116" s="1">
        <v>4.0</v>
      </c>
      <c r="L116" s="1">
        <f t="shared" ref="L116:N116" si="324">SUMPRODUCT($B116:$J116, INDEX($B$2:$J$4, L$10, 0)) + INDEX($K$2:$K$4, L$10,1)</f>
        <v>44.48928481</v>
      </c>
      <c r="M116" s="1">
        <f t="shared" si="324"/>
        <v>42.11842206</v>
      </c>
      <c r="N116" s="1">
        <f t="shared" si="324"/>
        <v>42.86582088</v>
      </c>
      <c r="O116" s="1">
        <f t="shared" ref="O116:Q116" si="325">(L116-L$7)/(L$6-L$7)</f>
        <v>0.5989934343</v>
      </c>
      <c r="P116" s="1">
        <f t="shared" si="325"/>
        <v>0.5922987461</v>
      </c>
      <c r="Q116" s="1">
        <f t="shared" si="325"/>
        <v>0.5949031426</v>
      </c>
      <c r="R116" s="1">
        <f t="shared" ref="R116:T116" si="326">1/(1+EXP(-O116))</f>
        <v>0.6454259861</v>
      </c>
      <c r="S116" s="1">
        <f t="shared" si="326"/>
        <v>0.6438924108</v>
      </c>
      <c r="T116" s="1">
        <f t="shared" si="326"/>
        <v>0.6444893618</v>
      </c>
      <c r="U116" s="1">
        <f t="shared" si="11"/>
        <v>3.18994318</v>
      </c>
      <c r="V116" s="1">
        <f t="shared" si="12"/>
        <v>0.6561920521</v>
      </c>
      <c r="W116" s="1">
        <f t="shared" si="13"/>
        <v>4</v>
      </c>
      <c r="X116" s="1">
        <f t="shared" si="14"/>
        <v>0</v>
      </c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ht="15.75" customHeight="1">
      <c r="A117" s="1"/>
      <c r="B117" s="1">
        <v>1.0</v>
      </c>
      <c r="C117" s="1">
        <v>2.0</v>
      </c>
      <c r="D117" s="1">
        <v>2.0</v>
      </c>
      <c r="E117" s="1">
        <v>1.0</v>
      </c>
      <c r="F117" s="1">
        <v>2.0</v>
      </c>
      <c r="G117" s="3">
        <v>1.0</v>
      </c>
      <c r="H117" s="1">
        <v>1.0</v>
      </c>
      <c r="I117" s="1">
        <v>1.0</v>
      </c>
      <c r="J117" s="1">
        <v>1.0</v>
      </c>
      <c r="K117" s="1">
        <v>2.0</v>
      </c>
      <c r="L117" s="1">
        <f t="shared" ref="L117:N117" si="327">SUMPRODUCT($B117:$J117, INDEX($B$2:$J$4, L$10, 0)) + INDEX($K$2:$K$4, L$10,1)</f>
        <v>11.06385405</v>
      </c>
      <c r="M117" s="1">
        <f t="shared" si="327"/>
        <v>10.44981786</v>
      </c>
      <c r="N117" s="1">
        <f t="shared" si="327"/>
        <v>10.60884082</v>
      </c>
      <c r="O117" s="1">
        <f t="shared" ref="O117:Q117" si="328">(L117-L$7)/(L$6-L$7)</f>
        <v>0.05240963437</v>
      </c>
      <c r="P117" s="1">
        <f t="shared" si="328"/>
        <v>0.05000687339</v>
      </c>
      <c r="Q117" s="1">
        <f t="shared" si="328"/>
        <v>0.04941629754</v>
      </c>
      <c r="R117" s="1">
        <f t="shared" ref="R117:T117" si="329">1/(1+EXP(-O117))</f>
        <v>0.5130994103</v>
      </c>
      <c r="S117" s="1">
        <f t="shared" si="329"/>
        <v>0.5124991138</v>
      </c>
      <c r="T117" s="1">
        <f t="shared" si="329"/>
        <v>0.512351561</v>
      </c>
      <c r="U117" s="1">
        <f t="shared" si="11"/>
        <v>2.536949763</v>
      </c>
      <c r="V117" s="1">
        <f t="shared" si="12"/>
        <v>0.288315048</v>
      </c>
      <c r="W117" s="1">
        <f t="shared" si="13"/>
        <v>2</v>
      </c>
      <c r="X117" s="1">
        <f t="shared" si="14"/>
        <v>0</v>
      </c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ht="15.75" customHeight="1">
      <c r="A118" s="1"/>
      <c r="B118" s="1">
        <v>1.0</v>
      </c>
      <c r="C118" s="1">
        <v>1.0</v>
      </c>
      <c r="D118" s="1">
        <v>1.0</v>
      </c>
      <c r="E118" s="1">
        <v>1.0</v>
      </c>
      <c r="F118" s="1">
        <v>2.0</v>
      </c>
      <c r="G118" s="3">
        <v>1.0</v>
      </c>
      <c r="H118" s="1">
        <v>3.0</v>
      </c>
      <c r="I118" s="1">
        <v>1.0</v>
      </c>
      <c r="J118" s="1">
        <v>1.0</v>
      </c>
      <c r="K118" s="1">
        <v>2.0</v>
      </c>
      <c r="L118" s="1">
        <f t="shared" ref="L118:N118" si="330">SUMPRODUCT($B118:$J118, INDEX($B$2:$J$4, L$10, 0)) + INDEX($K$2:$K$4, L$10,1)</f>
        <v>7.985725177</v>
      </c>
      <c r="M118" s="1">
        <f t="shared" si="330"/>
        <v>7.529531272</v>
      </c>
      <c r="N118" s="1">
        <f t="shared" si="330"/>
        <v>7.686650958</v>
      </c>
      <c r="O118" s="1">
        <f t="shared" ref="O118:Q118" si="331">(L118-L$7)/(L$6-L$7)</f>
        <v>0.002075043622</v>
      </c>
      <c r="P118" s="1">
        <f t="shared" si="331"/>
        <v>0.000000006234892308</v>
      </c>
      <c r="Q118" s="1">
        <f t="shared" si="331"/>
        <v>0.0000001362617963</v>
      </c>
      <c r="R118" s="1">
        <f t="shared" ref="R118:T118" si="332">1/(1+EXP(-O118))</f>
        <v>0.5005187607</v>
      </c>
      <c r="S118" s="1">
        <f t="shared" si="332"/>
        <v>0.5000000016</v>
      </c>
      <c r="T118" s="1">
        <f t="shared" si="332"/>
        <v>0.5000000341</v>
      </c>
      <c r="U118" s="1">
        <f t="shared" si="11"/>
        <v>2.475218456</v>
      </c>
      <c r="V118" s="1">
        <f t="shared" si="12"/>
        <v>0.2258325805</v>
      </c>
      <c r="W118" s="1">
        <f t="shared" si="13"/>
        <v>2</v>
      </c>
      <c r="X118" s="1">
        <f t="shared" si="14"/>
        <v>0</v>
      </c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ht="15.75" customHeight="1">
      <c r="A119" s="1"/>
      <c r="B119" s="1">
        <v>1.0</v>
      </c>
      <c r="C119" s="1">
        <v>1.0</v>
      </c>
      <c r="D119" s="1">
        <v>1.0</v>
      </c>
      <c r="E119" s="1">
        <v>1.0</v>
      </c>
      <c r="F119" s="1">
        <v>2.0</v>
      </c>
      <c r="G119" s="3">
        <v>1.0</v>
      </c>
      <c r="H119" s="1">
        <v>2.0</v>
      </c>
      <c r="I119" s="1">
        <v>1.0</v>
      </c>
      <c r="J119" s="1">
        <v>1.0</v>
      </c>
      <c r="K119" s="1">
        <v>2.0</v>
      </c>
      <c r="L119" s="1">
        <f t="shared" ref="L119:N119" si="333">SUMPRODUCT($B119:$J119, INDEX($B$2:$J$4, L$10, 0)) + INDEX($K$2:$K$4, L$10,1)</f>
        <v>7.953432454</v>
      </c>
      <c r="M119" s="1">
        <f t="shared" si="333"/>
        <v>7.529531272</v>
      </c>
      <c r="N119" s="1">
        <f t="shared" si="333"/>
        <v>7.686646929</v>
      </c>
      <c r="O119" s="1">
        <f t="shared" ref="O119:Q119" si="334">(L119-L$7)/(L$6-L$7)</f>
        <v>0.001546982238</v>
      </c>
      <c r="P119" s="1">
        <f t="shared" si="334"/>
        <v>0.000000006234892308</v>
      </c>
      <c r="Q119" s="1">
        <f t="shared" si="334"/>
        <v>0.00000006813089816</v>
      </c>
      <c r="R119" s="1">
        <f t="shared" ref="R119:T119" si="335">1/(1+EXP(-O119))</f>
        <v>0.5003867455</v>
      </c>
      <c r="S119" s="1">
        <f t="shared" si="335"/>
        <v>0.5000000016</v>
      </c>
      <c r="T119" s="1">
        <f t="shared" si="335"/>
        <v>0.500000017</v>
      </c>
      <c r="U119" s="1">
        <f t="shared" si="11"/>
        <v>2.475009467</v>
      </c>
      <c r="V119" s="1">
        <f t="shared" si="12"/>
        <v>0.2256339933</v>
      </c>
      <c r="W119" s="1">
        <f t="shared" si="13"/>
        <v>2</v>
      </c>
      <c r="X119" s="1">
        <f t="shared" si="14"/>
        <v>0</v>
      </c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ht="15.75" customHeight="1">
      <c r="A120" s="1"/>
      <c r="B120" s="1">
        <v>4.0</v>
      </c>
      <c r="C120" s="1">
        <v>2.0</v>
      </c>
      <c r="D120" s="1">
        <v>3.0</v>
      </c>
      <c r="E120" s="1">
        <v>5.0</v>
      </c>
      <c r="F120" s="1">
        <v>3.0</v>
      </c>
      <c r="G120" s="3">
        <v>8.0</v>
      </c>
      <c r="H120" s="1">
        <v>7.0</v>
      </c>
      <c r="I120" s="1">
        <v>6.0</v>
      </c>
      <c r="J120" s="1">
        <v>1.0</v>
      </c>
      <c r="K120" s="1">
        <v>4.0</v>
      </c>
      <c r="L120" s="1">
        <f t="shared" ref="L120:N120" si="336">SUMPRODUCT($B120:$J120, INDEX($B$2:$J$4, L$10, 0)) + INDEX($K$2:$K$4, L$10,1)</f>
        <v>37.18708586</v>
      </c>
      <c r="M120" s="1">
        <f t="shared" si="336"/>
        <v>36.03597295</v>
      </c>
      <c r="N120" s="1">
        <f t="shared" si="336"/>
        <v>37.01361857</v>
      </c>
      <c r="O120" s="1">
        <f t="shared" ref="O120:Q120" si="337">(L120-L$7)/(L$6-L$7)</f>
        <v>0.4795854398</v>
      </c>
      <c r="P120" s="1">
        <f t="shared" si="337"/>
        <v>0.4881431383</v>
      </c>
      <c r="Q120" s="1">
        <f t="shared" si="337"/>
        <v>0.495938535</v>
      </c>
      <c r="R120" s="1">
        <f t="shared" ref="R120:T120" si="338">1/(1+EXP(-O120))</f>
        <v>0.6176499776</v>
      </c>
      <c r="S120" s="1">
        <f t="shared" si="338"/>
        <v>0.6196689057</v>
      </c>
      <c r="T120" s="1">
        <f t="shared" si="338"/>
        <v>0.6215043982</v>
      </c>
      <c r="U120" s="1">
        <f t="shared" si="11"/>
        <v>3.066568602</v>
      </c>
      <c r="V120" s="1">
        <f t="shared" si="12"/>
        <v>0.8712941744</v>
      </c>
      <c r="W120" s="1">
        <f t="shared" si="13"/>
        <v>4</v>
      </c>
      <c r="X120" s="1">
        <f t="shared" si="14"/>
        <v>0</v>
      </c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ht="15.75" customHeight="1">
      <c r="A121" s="1"/>
      <c r="B121" s="1">
        <v>5.0</v>
      </c>
      <c r="C121" s="1">
        <v>8.0</v>
      </c>
      <c r="D121" s="1">
        <v>8.0</v>
      </c>
      <c r="E121" s="1">
        <v>10.0</v>
      </c>
      <c r="F121" s="1">
        <v>5.0</v>
      </c>
      <c r="G121" s="3">
        <v>10.0</v>
      </c>
      <c r="H121" s="1">
        <v>8.0</v>
      </c>
      <c r="I121" s="1">
        <v>10.0</v>
      </c>
      <c r="J121" s="1">
        <v>3.0</v>
      </c>
      <c r="K121" s="1">
        <v>4.0</v>
      </c>
      <c r="L121" s="1">
        <f t="shared" ref="L121:N121" si="339">SUMPRODUCT($B121:$J121, INDEX($B$2:$J$4, L$10, 0)) + INDEX($K$2:$K$4, L$10,1)</f>
        <v>62.45935799</v>
      </c>
      <c r="M121" s="1">
        <f t="shared" si="339"/>
        <v>59.98915716</v>
      </c>
      <c r="N121" s="1">
        <f t="shared" si="339"/>
        <v>60.92708905</v>
      </c>
      <c r="O121" s="1">
        <f t="shared" ref="O121:Q121" si="340">(L121-L$7)/(L$6-L$7)</f>
        <v>0.8928460687</v>
      </c>
      <c r="P121" s="1">
        <f t="shared" si="340"/>
        <v>0.8983164772</v>
      </c>
      <c r="Q121" s="1">
        <f t="shared" si="340"/>
        <v>0.9003311205</v>
      </c>
      <c r="R121" s="1">
        <f t="shared" ref="R121:T121" si="341">1/(1+EXP(-O121))</f>
        <v>0.7094771519</v>
      </c>
      <c r="S121" s="1">
        <f t="shared" si="341"/>
        <v>0.7106034153</v>
      </c>
      <c r="T121" s="1">
        <f t="shared" si="341"/>
        <v>0.7110175432</v>
      </c>
      <c r="U121" s="1">
        <f t="shared" si="11"/>
        <v>3.515558354</v>
      </c>
      <c r="V121" s="1">
        <f t="shared" si="12"/>
        <v>0.2346837087</v>
      </c>
      <c r="W121" s="1">
        <f t="shared" si="13"/>
        <v>4</v>
      </c>
      <c r="X121" s="1">
        <f t="shared" si="14"/>
        <v>0</v>
      </c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ht="15.75" customHeight="1">
      <c r="A122" s="1"/>
      <c r="B122" s="1">
        <v>1.0</v>
      </c>
      <c r="C122" s="1">
        <v>1.0</v>
      </c>
      <c r="D122" s="1">
        <v>3.0</v>
      </c>
      <c r="E122" s="1">
        <v>1.0</v>
      </c>
      <c r="F122" s="1">
        <v>1.0</v>
      </c>
      <c r="G122" s="3">
        <v>1.0</v>
      </c>
      <c r="H122" s="1">
        <v>2.0</v>
      </c>
      <c r="I122" s="1">
        <v>1.0</v>
      </c>
      <c r="J122" s="1">
        <v>1.0</v>
      </c>
      <c r="K122" s="1">
        <v>2.0</v>
      </c>
      <c r="L122" s="1">
        <f t="shared" ref="L122:N122" si="342">SUMPRODUCT($B122:$J122, INDEX($B$2:$J$4, L$10, 0)) + INDEX($K$2:$K$4, L$10,1)</f>
        <v>10.98570337</v>
      </c>
      <c r="M122" s="1">
        <f t="shared" si="342"/>
        <v>10.07215772</v>
      </c>
      <c r="N122" s="1">
        <f t="shared" si="342"/>
        <v>10.71782019</v>
      </c>
      <c r="O122" s="1">
        <f t="shared" ref="O122:Q122" si="343">(L122-L$7)/(L$6-L$7)</f>
        <v>0.05113168839</v>
      </c>
      <c r="P122" s="1">
        <f t="shared" si="343"/>
        <v>0.04353983664</v>
      </c>
      <c r="Q122" s="1">
        <f t="shared" si="343"/>
        <v>0.05125921072</v>
      </c>
      <c r="R122" s="1">
        <f t="shared" ref="R122:T122" si="344">1/(1+EXP(-O122))</f>
        <v>0.5127801378</v>
      </c>
      <c r="S122" s="1">
        <f t="shared" si="344"/>
        <v>0.5108832399</v>
      </c>
      <c r="T122" s="1">
        <f t="shared" si="344"/>
        <v>0.5128119975</v>
      </c>
      <c r="U122" s="1">
        <f t="shared" si="11"/>
        <v>2.534568904</v>
      </c>
      <c r="V122" s="1">
        <f t="shared" si="12"/>
        <v>0.2857639133</v>
      </c>
      <c r="W122" s="1">
        <f t="shared" si="13"/>
        <v>2</v>
      </c>
      <c r="X122" s="1">
        <f t="shared" si="14"/>
        <v>0</v>
      </c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ht="15.75" customHeight="1">
      <c r="A123" s="1"/>
      <c r="B123" s="1">
        <v>6.0</v>
      </c>
      <c r="C123" s="1">
        <v>9.0</v>
      </c>
      <c r="D123" s="1">
        <v>7.0</v>
      </c>
      <c r="E123" s="1">
        <v>5.0</v>
      </c>
      <c r="F123" s="1">
        <v>5.0</v>
      </c>
      <c r="G123" s="3">
        <v>8.0</v>
      </c>
      <c r="H123" s="1">
        <v>4.0</v>
      </c>
      <c r="I123" s="1">
        <v>2.0</v>
      </c>
      <c r="J123" s="1">
        <v>1.0</v>
      </c>
      <c r="K123" s="1">
        <v>2.0</v>
      </c>
      <c r="L123" s="1">
        <f t="shared" ref="L123:N123" si="345">SUMPRODUCT($B123:$J123, INDEX($B$2:$J$4, L$10, 0)) + INDEX($K$2:$K$4, L$10,1)</f>
        <v>53.46523287</v>
      </c>
      <c r="M123" s="1">
        <f t="shared" si="345"/>
        <v>51.5318754</v>
      </c>
      <c r="N123" s="1">
        <f t="shared" si="345"/>
        <v>51.74039162</v>
      </c>
      <c r="O123" s="1">
        <f t="shared" ref="O123:Q123" si="346">(L123-L$7)/(L$6-L$7)</f>
        <v>0.7457711328</v>
      </c>
      <c r="P123" s="1">
        <f t="shared" si="346"/>
        <v>0.7534943331</v>
      </c>
      <c r="Q123" s="1">
        <f t="shared" si="346"/>
        <v>0.7449779972</v>
      </c>
      <c r="R123" s="1">
        <f t="shared" ref="R123:T123" si="347">1/(1+EXP(-O123))</f>
        <v>0.6782565528</v>
      </c>
      <c r="S123" s="1">
        <f t="shared" si="347"/>
        <v>0.6799396197</v>
      </c>
      <c r="T123" s="1">
        <f t="shared" si="347"/>
        <v>0.6780834467</v>
      </c>
      <c r="U123" s="1">
        <f t="shared" si="11"/>
        <v>3.359031811</v>
      </c>
      <c r="V123" s="1">
        <f t="shared" si="12"/>
        <v>1.846967463</v>
      </c>
      <c r="W123" s="1">
        <f t="shared" si="13"/>
        <v>4</v>
      </c>
      <c r="X123" s="1">
        <f t="shared" si="14"/>
        <v>1</v>
      </c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ht="15.75" customHeight="1">
      <c r="A124" s="1"/>
      <c r="B124" s="1">
        <v>6.0</v>
      </c>
      <c r="C124" s="1">
        <v>1.0</v>
      </c>
      <c r="D124" s="1">
        <v>1.0</v>
      </c>
      <c r="E124" s="1">
        <v>3.0</v>
      </c>
      <c r="F124" s="1">
        <v>2.0</v>
      </c>
      <c r="G124" s="3">
        <v>1.0</v>
      </c>
      <c r="H124" s="1">
        <v>1.0</v>
      </c>
      <c r="I124" s="1">
        <v>1.0</v>
      </c>
      <c r="J124" s="1">
        <v>1.0</v>
      </c>
      <c r="K124" s="1">
        <v>2.0</v>
      </c>
      <c r="L124" s="1">
        <f t="shared" ref="L124:N124" si="348">SUMPRODUCT($B124:$J124, INDEX($B$2:$J$4, L$10, 0)) + INDEX($K$2:$K$4, L$10,1)</f>
        <v>8.064653758</v>
      </c>
      <c r="M124" s="1">
        <f t="shared" si="348"/>
        <v>7.627041278</v>
      </c>
      <c r="N124" s="1">
        <f t="shared" si="348"/>
        <v>7.741684458</v>
      </c>
      <c r="O124" s="1">
        <f t="shared" ref="O124:Q124" si="349">(L124-L$7)/(L$6-L$7)</f>
        <v>0.003365710125</v>
      </c>
      <c r="P124" s="1">
        <f t="shared" si="349"/>
        <v>0.001669763564</v>
      </c>
      <c r="Q124" s="1">
        <f t="shared" si="349"/>
        <v>0.0009307891089</v>
      </c>
      <c r="R124" s="1">
        <f t="shared" ref="R124:T124" si="350">1/(1+EXP(-O124))</f>
        <v>0.5008414267</v>
      </c>
      <c r="S124" s="1">
        <f t="shared" si="350"/>
        <v>0.5004174408</v>
      </c>
      <c r="T124" s="1">
        <f t="shared" si="350"/>
        <v>0.5002326973</v>
      </c>
      <c r="U124" s="1">
        <f t="shared" si="11"/>
        <v>2.476817145</v>
      </c>
      <c r="V124" s="1">
        <f t="shared" si="12"/>
        <v>0.2273545897</v>
      </c>
      <c r="W124" s="1">
        <f t="shared" si="13"/>
        <v>2</v>
      </c>
      <c r="X124" s="1">
        <f t="shared" si="14"/>
        <v>0</v>
      </c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ht="15.75" customHeight="1">
      <c r="A125" s="1"/>
      <c r="B125" s="1">
        <v>8.0</v>
      </c>
      <c r="C125" s="1">
        <v>10.0</v>
      </c>
      <c r="D125" s="1">
        <v>10.0</v>
      </c>
      <c r="E125" s="1">
        <v>10.0</v>
      </c>
      <c r="F125" s="1">
        <v>6.0</v>
      </c>
      <c r="G125" s="3">
        <v>10.0</v>
      </c>
      <c r="H125" s="1">
        <v>10.0</v>
      </c>
      <c r="I125" s="1">
        <v>10.0</v>
      </c>
      <c r="J125" s="1">
        <v>1.0</v>
      </c>
      <c r="K125" s="1">
        <v>4.0</v>
      </c>
      <c r="L125" s="1">
        <f t="shared" ref="L125:N125" si="351">SUMPRODUCT($B125:$J125, INDEX($B$2:$J$4, L$10, 0)) + INDEX($K$2:$K$4, L$10,1)</f>
        <v>68.91931221</v>
      </c>
      <c r="M125" s="1">
        <f t="shared" si="351"/>
        <v>65.8882367</v>
      </c>
      <c r="N125" s="1">
        <f t="shared" si="351"/>
        <v>66.80115997</v>
      </c>
      <c r="O125" s="1">
        <f t="shared" ref="O125:Q125" si="352">(L125-L$7)/(L$6-L$7)</f>
        <v>0.9984813961</v>
      </c>
      <c r="P125" s="1">
        <f t="shared" si="352"/>
        <v>0.9993320721</v>
      </c>
      <c r="Q125" s="1">
        <f t="shared" si="352"/>
        <v>0.9996655407</v>
      </c>
      <c r="R125" s="1">
        <f t="shared" ref="R125:T125" si="353">1/(1+EXP(-O125))</f>
        <v>0.7307598982</v>
      </c>
      <c r="S125" s="1">
        <f t="shared" si="353"/>
        <v>0.7309272358</v>
      </c>
      <c r="T125" s="1">
        <f t="shared" si="353"/>
        <v>0.7309928149</v>
      </c>
      <c r="U125" s="1">
        <f t="shared" si="11"/>
        <v>3.617056403</v>
      </c>
      <c r="V125" s="1">
        <f t="shared" si="12"/>
        <v>0.1466457984</v>
      </c>
      <c r="W125" s="1">
        <f t="shared" si="13"/>
        <v>4</v>
      </c>
      <c r="X125" s="1">
        <f t="shared" si="14"/>
        <v>0</v>
      </c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ht="15.75" customHeight="1">
      <c r="A126" s="1"/>
      <c r="B126" s="1">
        <v>5.0</v>
      </c>
      <c r="C126" s="1">
        <v>10.0</v>
      </c>
      <c r="D126" s="1">
        <v>10.0</v>
      </c>
      <c r="E126" s="1">
        <v>10.0</v>
      </c>
      <c r="F126" s="1">
        <v>10.0</v>
      </c>
      <c r="G126" s="3">
        <v>10.0</v>
      </c>
      <c r="H126" s="1">
        <v>10.0</v>
      </c>
      <c r="I126" s="1">
        <v>1.0</v>
      </c>
      <c r="J126" s="1">
        <v>1.0</v>
      </c>
      <c r="K126" s="1">
        <v>4.0</v>
      </c>
      <c r="L126" s="1">
        <f t="shared" ref="L126:N126" si="354">SUMPRODUCT($B126:$J126, INDEX($B$2:$J$4, L$10, 0)) + INDEX($K$2:$K$4, L$10,1)</f>
        <v>66.55935086</v>
      </c>
      <c r="M126" s="1">
        <f t="shared" si="354"/>
        <v>63.19460374</v>
      </c>
      <c r="N126" s="1">
        <f t="shared" si="354"/>
        <v>64.06785149</v>
      </c>
      <c r="O126" s="1">
        <f t="shared" ref="O126:Q126" si="355">(L126-L$7)/(L$6-L$7)</f>
        <v>0.9598905205</v>
      </c>
      <c r="P126" s="1">
        <f t="shared" si="355"/>
        <v>0.9532064123</v>
      </c>
      <c r="Q126" s="1">
        <f t="shared" si="355"/>
        <v>0.9534434884</v>
      </c>
      <c r="R126" s="1">
        <f t="shared" ref="R126:T126" si="356">1/(1+EXP(-O126))</f>
        <v>0.723099885</v>
      </c>
      <c r="S126" s="1">
        <f t="shared" si="356"/>
        <v>0.721759556</v>
      </c>
      <c r="T126" s="1">
        <f t="shared" si="356"/>
        <v>0.7218071638</v>
      </c>
      <c r="U126" s="1">
        <f t="shared" si="11"/>
        <v>3.574042999</v>
      </c>
      <c r="V126" s="1">
        <f t="shared" si="12"/>
        <v>0.1814393665</v>
      </c>
      <c r="W126" s="1">
        <f t="shared" si="13"/>
        <v>4</v>
      </c>
      <c r="X126" s="1">
        <f t="shared" si="14"/>
        <v>0</v>
      </c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ht="15.75" customHeight="1">
      <c r="A127" s="1"/>
      <c r="B127" s="1">
        <v>5.0</v>
      </c>
      <c r="C127" s="1">
        <v>1.0</v>
      </c>
      <c r="D127" s="1">
        <v>1.0</v>
      </c>
      <c r="E127" s="1">
        <v>1.0</v>
      </c>
      <c r="F127" s="1">
        <v>2.0</v>
      </c>
      <c r="G127" s="3">
        <v>1.0</v>
      </c>
      <c r="H127" s="1">
        <v>1.0</v>
      </c>
      <c r="I127" s="1">
        <v>1.0</v>
      </c>
      <c r="J127" s="1">
        <v>1.0</v>
      </c>
      <c r="K127" s="1">
        <v>2.0</v>
      </c>
      <c r="L127" s="1">
        <f t="shared" ref="L127:N127" si="357">SUMPRODUCT($B127:$J127, INDEX($B$2:$J$4, L$10, 0)) + INDEX($K$2:$K$4, L$10,1)</f>
        <v>7.984645998</v>
      </c>
      <c r="M127" s="1">
        <f t="shared" si="357"/>
        <v>7.607539277</v>
      </c>
      <c r="N127" s="1">
        <f t="shared" si="357"/>
        <v>7.726198925</v>
      </c>
      <c r="O127" s="1">
        <f t="shared" ref="O127:Q127" si="358">(L127-L$7)/(L$6-L$7)</f>
        <v>0.002057396537</v>
      </c>
      <c r="P127" s="1">
        <f t="shared" si="358"/>
        <v>0.001335812098</v>
      </c>
      <c r="Q127" s="1">
        <f t="shared" si="358"/>
        <v>0.0006689185196</v>
      </c>
      <c r="R127" s="1">
        <f t="shared" ref="R127:T127" si="359">1/(1+EXP(-O127))</f>
        <v>0.500514349</v>
      </c>
      <c r="S127" s="1">
        <f t="shared" si="359"/>
        <v>0.500333953</v>
      </c>
      <c r="T127" s="1">
        <f t="shared" si="359"/>
        <v>0.5001672296</v>
      </c>
      <c r="U127" s="1">
        <f t="shared" si="11"/>
        <v>2.476049343</v>
      </c>
      <c r="V127" s="1">
        <f t="shared" si="12"/>
        <v>0.2266229766</v>
      </c>
      <c r="W127" s="1">
        <f t="shared" si="13"/>
        <v>2</v>
      </c>
      <c r="X127" s="1">
        <f t="shared" si="14"/>
        <v>0</v>
      </c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ht="15.75" customHeight="1">
      <c r="A128" s="1"/>
      <c r="B128" s="1">
        <v>2.0</v>
      </c>
      <c r="C128" s="1">
        <v>1.0</v>
      </c>
      <c r="D128" s="1">
        <v>1.0</v>
      </c>
      <c r="E128" s="1">
        <v>1.0</v>
      </c>
      <c r="F128" s="1">
        <v>1.0</v>
      </c>
      <c r="G128" s="3">
        <v>1.0</v>
      </c>
      <c r="H128" s="1">
        <v>2.0</v>
      </c>
      <c r="I128" s="1">
        <v>1.0</v>
      </c>
      <c r="J128" s="1">
        <v>1.0</v>
      </c>
      <c r="K128" s="1">
        <v>2.0</v>
      </c>
      <c r="L128" s="1">
        <f t="shared" ref="L128:N128" si="360">SUMPRODUCT($B128:$J128, INDEX($B$2:$J$4, L$10, 0)) + INDEX($K$2:$K$4, L$10,1)</f>
        <v>7.906998596</v>
      </c>
      <c r="M128" s="1">
        <f t="shared" si="360"/>
        <v>7.549032909</v>
      </c>
      <c r="N128" s="1">
        <f t="shared" si="360"/>
        <v>7.696535935</v>
      </c>
      <c r="O128" s="1">
        <f t="shared" ref="O128:Q128" si="361">(L128-L$7)/(L$6-L$7)</f>
        <v>0.000787680305</v>
      </c>
      <c r="P128" s="1">
        <f t="shared" si="361"/>
        <v>0.0003339514659</v>
      </c>
      <c r="Q128" s="1">
        <f t="shared" si="361"/>
        <v>0.0001672977608</v>
      </c>
      <c r="R128" s="1">
        <f t="shared" ref="R128:T128" si="362">1/(1+EXP(-O128))</f>
        <v>0.5001969201</v>
      </c>
      <c r="S128" s="1">
        <f t="shared" si="362"/>
        <v>0.5000834879</v>
      </c>
      <c r="T128" s="1">
        <f t="shared" si="362"/>
        <v>0.5000418244</v>
      </c>
      <c r="U128" s="1">
        <f t="shared" si="11"/>
        <v>2.474918482</v>
      </c>
      <c r="V128" s="1">
        <f t="shared" si="12"/>
        <v>0.2255475645</v>
      </c>
      <c r="W128" s="1">
        <f t="shared" si="13"/>
        <v>2</v>
      </c>
      <c r="X128" s="1">
        <f t="shared" si="14"/>
        <v>0</v>
      </c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ht="15.75" customHeight="1">
      <c r="A129" s="1"/>
      <c r="B129" s="1">
        <v>5.0</v>
      </c>
      <c r="C129" s="1">
        <v>4.0</v>
      </c>
      <c r="D129" s="1">
        <v>4.0</v>
      </c>
      <c r="E129" s="1">
        <v>5.0</v>
      </c>
      <c r="F129" s="1">
        <v>7.0</v>
      </c>
      <c r="G129" s="3">
        <v>10.0</v>
      </c>
      <c r="H129" s="1">
        <v>3.0</v>
      </c>
      <c r="I129" s="1">
        <v>2.0</v>
      </c>
      <c r="J129" s="1">
        <v>1.0</v>
      </c>
      <c r="K129" s="1">
        <v>2.0</v>
      </c>
      <c r="L129" s="1">
        <f t="shared" ref="L129:N129" si="363">SUMPRODUCT($B129:$J129, INDEX($B$2:$J$4, L$10, 0)) + INDEX($K$2:$K$4, L$10,1)</f>
        <v>47.41437587</v>
      </c>
      <c r="M129" s="1">
        <f t="shared" si="363"/>
        <v>45.96567516</v>
      </c>
      <c r="N129" s="1">
        <f t="shared" si="363"/>
        <v>46.82104905</v>
      </c>
      <c r="O129" s="1">
        <f t="shared" ref="O129:Q129" si="364">(L129-L$7)/(L$6-L$7)</f>
        <v>0.6468254996</v>
      </c>
      <c r="P129" s="1">
        <f t="shared" si="364"/>
        <v>0.6581789496</v>
      </c>
      <c r="Q129" s="1">
        <f t="shared" si="364"/>
        <v>0.6617886642</v>
      </c>
      <c r="R129" s="1">
        <f t="shared" ref="R129:T129" si="365">1/(1+EXP(-O129))</f>
        <v>0.6562947401</v>
      </c>
      <c r="S129" s="1">
        <f t="shared" si="365"/>
        <v>0.6588511962</v>
      </c>
      <c r="T129" s="1">
        <f t="shared" si="365"/>
        <v>0.6596620725</v>
      </c>
      <c r="U129" s="1">
        <f t="shared" si="11"/>
        <v>3.257864396</v>
      </c>
      <c r="V129" s="1">
        <f t="shared" si="12"/>
        <v>1.582222838</v>
      </c>
      <c r="W129" s="1">
        <f t="shared" si="13"/>
        <v>4</v>
      </c>
      <c r="X129" s="1">
        <f t="shared" si="14"/>
        <v>1</v>
      </c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ht="15.75" customHeight="1">
      <c r="A130" s="1"/>
      <c r="B130" s="1">
        <v>5.0</v>
      </c>
      <c r="C130" s="1">
        <v>3.0</v>
      </c>
      <c r="D130" s="1">
        <v>3.0</v>
      </c>
      <c r="E130" s="1">
        <v>3.0</v>
      </c>
      <c r="F130" s="1">
        <v>2.0</v>
      </c>
      <c r="G130" s="3">
        <v>3.0</v>
      </c>
      <c r="H130" s="1">
        <v>4.0</v>
      </c>
      <c r="I130" s="1">
        <v>4.0</v>
      </c>
      <c r="J130" s="1">
        <v>1.0</v>
      </c>
      <c r="K130" s="1">
        <v>4.0</v>
      </c>
      <c r="L130" s="1">
        <f t="shared" ref="L130:N130" si="366">SUMPRODUCT($B130:$J130, INDEX($B$2:$J$4, L$10, 0)) + INDEX($K$2:$K$4, L$10,1)</f>
        <v>21.7766235</v>
      </c>
      <c r="M130" s="1">
        <f t="shared" si="366"/>
        <v>20.83859576</v>
      </c>
      <c r="N130" s="1">
        <f t="shared" si="366"/>
        <v>21.14778401</v>
      </c>
      <c r="O130" s="1">
        <f t="shared" ref="O130:Q130" si="367">(L130-L$7)/(L$6-L$7)</f>
        <v>0.2275884158</v>
      </c>
      <c r="P130" s="1">
        <f t="shared" si="367"/>
        <v>0.2279038778</v>
      </c>
      <c r="Q130" s="1">
        <f t="shared" si="367"/>
        <v>0.22763679</v>
      </c>
      <c r="R130" s="1">
        <f t="shared" ref="R130:T130" si="368">1/(1+EXP(-O130))</f>
        <v>0.5566527802</v>
      </c>
      <c r="S130" s="1">
        <f t="shared" si="368"/>
        <v>0.5567306318</v>
      </c>
      <c r="T130" s="1">
        <f t="shared" si="368"/>
        <v>0.5566647185</v>
      </c>
      <c r="U130" s="1">
        <f t="shared" si="11"/>
        <v>2.754909168</v>
      </c>
      <c r="V130" s="1">
        <f t="shared" si="12"/>
        <v>1.55025118</v>
      </c>
      <c r="W130" s="1">
        <f t="shared" si="13"/>
        <v>2</v>
      </c>
      <c r="X130" s="1">
        <f t="shared" si="14"/>
        <v>1</v>
      </c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ht="15.75" customHeight="1">
      <c r="A131" s="1"/>
      <c r="B131" s="1">
        <v>2.0</v>
      </c>
      <c r="C131" s="1">
        <v>1.0</v>
      </c>
      <c r="D131" s="1">
        <v>1.0</v>
      </c>
      <c r="E131" s="1">
        <v>1.0</v>
      </c>
      <c r="F131" s="1">
        <v>2.0</v>
      </c>
      <c r="G131" s="3">
        <v>1.0</v>
      </c>
      <c r="H131" s="1">
        <v>2.0</v>
      </c>
      <c r="I131" s="1">
        <v>1.0</v>
      </c>
      <c r="J131" s="1">
        <v>1.0</v>
      </c>
      <c r="K131" s="1">
        <v>2.0</v>
      </c>
      <c r="L131" s="1">
        <f t="shared" ref="L131:N131" si="369">SUMPRODUCT($B131:$J131, INDEX($B$2:$J$4, L$10, 0)) + INDEX($K$2:$K$4, L$10,1)</f>
        <v>7.96930902</v>
      </c>
      <c r="M131" s="1">
        <f t="shared" si="369"/>
        <v>7.549033273</v>
      </c>
      <c r="N131" s="1">
        <f t="shared" si="369"/>
        <v>7.696535935</v>
      </c>
      <c r="O131" s="1">
        <f t="shared" ref="O131:Q131" si="370">(L131-L$7)/(L$6-L$7)</f>
        <v>0.001806601159</v>
      </c>
      <c r="P131" s="1">
        <f t="shared" si="370"/>
        <v>0.0003339577008</v>
      </c>
      <c r="Q131" s="1">
        <f t="shared" si="370"/>
        <v>0.0001672977608</v>
      </c>
      <c r="R131" s="1">
        <f t="shared" ref="R131:T131" si="371">1/(1+EXP(-O131))</f>
        <v>0.5004516502</v>
      </c>
      <c r="S131" s="1">
        <f t="shared" si="371"/>
        <v>0.5000834894</v>
      </c>
      <c r="T131" s="1">
        <f t="shared" si="371"/>
        <v>0.5000418244</v>
      </c>
      <c r="U131" s="1">
        <f t="shared" si="11"/>
        <v>2.475321683</v>
      </c>
      <c r="V131" s="1">
        <f t="shared" si="12"/>
        <v>0.2259307022</v>
      </c>
      <c r="W131" s="1">
        <f t="shared" si="13"/>
        <v>2</v>
      </c>
      <c r="X131" s="1">
        <f t="shared" si="14"/>
        <v>0</v>
      </c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ht="15.75" customHeight="1">
      <c r="A132" s="1"/>
      <c r="B132" s="1">
        <v>5.0</v>
      </c>
      <c r="C132" s="1">
        <v>6.0</v>
      </c>
      <c r="D132" s="1">
        <v>5.0</v>
      </c>
      <c r="E132" s="1">
        <v>6.0</v>
      </c>
      <c r="F132" s="1">
        <v>10.0</v>
      </c>
      <c r="G132" s="3">
        <v>1.0</v>
      </c>
      <c r="H132" s="1">
        <v>3.0</v>
      </c>
      <c r="I132" s="1">
        <v>1.0</v>
      </c>
      <c r="J132" s="1">
        <v>1.0</v>
      </c>
      <c r="K132" s="1">
        <v>4.0</v>
      </c>
      <c r="L132" s="1">
        <f t="shared" ref="L132:N132" si="372">SUMPRODUCT($B132:$J132, INDEX($B$2:$J$4, L$10, 0)) + INDEX($K$2:$K$4, L$10,1)</f>
        <v>22.87432376</v>
      </c>
      <c r="M132" s="1">
        <f t="shared" si="372"/>
        <v>20.93766173</v>
      </c>
      <c r="N132" s="1">
        <f t="shared" si="372"/>
        <v>20.83560127</v>
      </c>
      <c r="O132" s="1">
        <f t="shared" ref="O132:Q132" si="373">(L132-L$7)/(L$6-L$7)</f>
        <v>0.2455383769</v>
      </c>
      <c r="P132" s="1">
        <f t="shared" si="373"/>
        <v>0.2296002794</v>
      </c>
      <c r="Q132" s="1">
        <f t="shared" si="373"/>
        <v>0.2223575736</v>
      </c>
      <c r="R132" s="1">
        <f t="shared" ref="R132:T132" si="374">1/(1+EXP(-O132))</f>
        <v>0.5610780405</v>
      </c>
      <c r="S132" s="1">
        <f t="shared" si="374"/>
        <v>0.5571492322</v>
      </c>
      <c r="T132" s="1">
        <f t="shared" si="374"/>
        <v>0.5553614785</v>
      </c>
      <c r="U132" s="1">
        <f t="shared" si="11"/>
        <v>2.760367565</v>
      </c>
      <c r="V132" s="1">
        <f t="shared" si="12"/>
        <v>1.536688574</v>
      </c>
      <c r="W132" s="1">
        <f t="shared" si="13"/>
        <v>2</v>
      </c>
      <c r="X132" s="1">
        <f t="shared" si="14"/>
        <v>1</v>
      </c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ht="15.75" customHeight="1">
      <c r="A133" s="1"/>
      <c r="B133" s="1">
        <v>9.0</v>
      </c>
      <c r="C133" s="1">
        <v>4.0</v>
      </c>
      <c r="D133" s="1">
        <v>5.0</v>
      </c>
      <c r="E133" s="1">
        <v>10.0</v>
      </c>
      <c r="F133" s="1">
        <v>6.0</v>
      </c>
      <c r="G133" s="3">
        <v>10.0</v>
      </c>
      <c r="H133" s="1">
        <v>4.0</v>
      </c>
      <c r="I133" s="1">
        <v>8.0</v>
      </c>
      <c r="J133" s="1">
        <v>1.0</v>
      </c>
      <c r="K133" s="1">
        <v>4.0</v>
      </c>
      <c r="L133" s="1">
        <f t="shared" ref="L133:N133" si="375">SUMPRODUCT($B133:$J133, INDEX($B$2:$J$4, L$10, 0)) + INDEX($K$2:$K$4, L$10,1)</f>
        <v>50.86319866</v>
      </c>
      <c r="M133" s="1">
        <f t="shared" si="375"/>
        <v>49.07174848</v>
      </c>
      <c r="N133" s="1">
        <f t="shared" si="375"/>
        <v>50.1926147</v>
      </c>
      <c r="O133" s="1">
        <f t="shared" ref="O133:Q133" si="376">(L133-L$7)/(L$6-L$7)</f>
        <v>0.7032218008</v>
      </c>
      <c r="P133" s="1">
        <f t="shared" si="376"/>
        <v>0.7113672211</v>
      </c>
      <c r="Q133" s="1">
        <f t="shared" si="376"/>
        <v>0.7188040668</v>
      </c>
      <c r="R133" s="1">
        <f t="shared" ref="R133:T133" si="377">1/(1+EXP(-O133))</f>
        <v>0.6689016994</v>
      </c>
      <c r="S133" s="1">
        <f t="shared" si="377"/>
        <v>0.6707031953</v>
      </c>
      <c r="T133" s="1">
        <f t="shared" si="377"/>
        <v>0.6723436101</v>
      </c>
      <c r="U133" s="1">
        <f t="shared" si="11"/>
        <v>3.319136178</v>
      </c>
      <c r="V133" s="1">
        <f t="shared" si="12"/>
        <v>0.4635755446</v>
      </c>
      <c r="W133" s="1">
        <f t="shared" si="13"/>
        <v>4</v>
      </c>
      <c r="X133" s="1">
        <f t="shared" si="14"/>
        <v>0</v>
      </c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ht="15.75" customHeight="1">
      <c r="A134" s="1"/>
      <c r="B134" s="1">
        <v>4.0</v>
      </c>
      <c r="C134" s="1">
        <v>1.0</v>
      </c>
      <c r="D134" s="1">
        <v>1.0</v>
      </c>
      <c r="E134" s="1">
        <v>2.0</v>
      </c>
      <c r="F134" s="1">
        <v>2.0</v>
      </c>
      <c r="G134" s="3">
        <v>1.0</v>
      </c>
      <c r="H134" s="1">
        <v>2.0</v>
      </c>
      <c r="I134" s="1">
        <v>1.0</v>
      </c>
      <c r="J134" s="1">
        <v>1.0</v>
      </c>
      <c r="K134" s="1">
        <v>2.0</v>
      </c>
      <c r="L134" s="1">
        <f t="shared" ref="L134:N134" si="378">SUMPRODUCT($B134:$J134, INDEX($B$2:$J$4, L$10, 0)) + INDEX($K$2:$K$4, L$10,1)</f>
        <v>8.033127751</v>
      </c>
      <c r="M134" s="1">
        <f t="shared" si="378"/>
        <v>7.588037275</v>
      </c>
      <c r="N134" s="1">
        <f t="shared" si="378"/>
        <v>7.719112211</v>
      </c>
      <c r="O134" s="1">
        <f t="shared" ref="O134:Q134" si="379">(L134-L$7)/(L$6-L$7)</f>
        <v>0.002850186334</v>
      </c>
      <c r="P134" s="1">
        <f t="shared" si="379"/>
        <v>0.001001860633</v>
      </c>
      <c r="Q134" s="1">
        <f t="shared" si="379"/>
        <v>0.0005490775003</v>
      </c>
      <c r="R134" s="1">
        <f t="shared" ref="R134:T134" si="380">1/(1+EXP(-O134))</f>
        <v>0.5007125461</v>
      </c>
      <c r="S134" s="1">
        <f t="shared" si="380"/>
        <v>0.5002504651</v>
      </c>
      <c r="T134" s="1">
        <f t="shared" si="380"/>
        <v>0.5001372694</v>
      </c>
      <c r="U134" s="1">
        <f t="shared" si="11"/>
        <v>2.476173908</v>
      </c>
      <c r="V134" s="1">
        <f t="shared" si="12"/>
        <v>0.2267415911</v>
      </c>
      <c r="W134" s="1">
        <f t="shared" si="13"/>
        <v>2</v>
      </c>
      <c r="X134" s="1">
        <f t="shared" si="14"/>
        <v>0</v>
      </c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ht="15.75" customHeight="1">
      <c r="A135" s="1"/>
      <c r="B135" s="1">
        <v>1.0</v>
      </c>
      <c r="C135" s="1">
        <v>1.0</v>
      </c>
      <c r="D135" s="1">
        <v>1.0</v>
      </c>
      <c r="E135" s="1">
        <v>1.0</v>
      </c>
      <c r="F135" s="1">
        <v>1.0</v>
      </c>
      <c r="G135" s="3">
        <v>1.0</v>
      </c>
      <c r="H135" s="1">
        <v>3.0</v>
      </c>
      <c r="I135" s="1">
        <v>1.0</v>
      </c>
      <c r="J135" s="1">
        <v>1.0</v>
      </c>
      <c r="K135" s="1">
        <v>2.0</v>
      </c>
      <c r="L135" s="1">
        <f t="shared" ref="L135:N135" si="381">SUMPRODUCT($B135:$J135, INDEX($B$2:$J$4, L$10, 0)) + INDEX($K$2:$K$4, L$10,1)</f>
        <v>7.923414752</v>
      </c>
      <c r="M135" s="1">
        <f t="shared" si="381"/>
        <v>7.529530907</v>
      </c>
      <c r="N135" s="1">
        <f t="shared" si="381"/>
        <v>7.686650958</v>
      </c>
      <c r="O135" s="1">
        <f t="shared" ref="O135:Q135" si="382">(L135-L$7)/(L$6-L$7)</f>
        <v>0.001056122768</v>
      </c>
      <c r="P135" s="1">
        <f t="shared" si="382"/>
        <v>0</v>
      </c>
      <c r="Q135" s="1">
        <f t="shared" si="382"/>
        <v>0.0000001362617963</v>
      </c>
      <c r="R135" s="1">
        <f t="shared" ref="R135:T135" si="383">1/(1+EXP(-O135))</f>
        <v>0.5002640307</v>
      </c>
      <c r="S135" s="1">
        <f t="shared" si="383"/>
        <v>0.5</v>
      </c>
      <c r="T135" s="1">
        <f t="shared" si="383"/>
        <v>0.5000000341</v>
      </c>
      <c r="U135" s="1">
        <f t="shared" si="11"/>
        <v>2.474815255</v>
      </c>
      <c r="V135" s="1">
        <f t="shared" si="12"/>
        <v>0.2254495261</v>
      </c>
      <c r="W135" s="1">
        <f t="shared" si="13"/>
        <v>2</v>
      </c>
      <c r="X135" s="1">
        <f t="shared" si="14"/>
        <v>0</v>
      </c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ht="15.75" customHeight="1">
      <c r="A136" s="1"/>
      <c r="B136" s="1">
        <v>1.0</v>
      </c>
      <c r="C136" s="1">
        <v>1.0</v>
      </c>
      <c r="D136" s="1">
        <v>1.0</v>
      </c>
      <c r="E136" s="1">
        <v>2.0</v>
      </c>
      <c r="F136" s="1">
        <v>1.0</v>
      </c>
      <c r="G136" s="3">
        <v>3.0</v>
      </c>
      <c r="H136" s="1">
        <v>1.0</v>
      </c>
      <c r="I136" s="1">
        <v>1.0</v>
      </c>
      <c r="J136" s="1">
        <v>7.0</v>
      </c>
      <c r="K136" s="1">
        <v>2.0</v>
      </c>
      <c r="L136" s="1">
        <f t="shared" ref="L136:N136" si="384">SUMPRODUCT($B136:$J136, INDEX($B$2:$J$4, L$10, 0)) + INDEX($K$2:$K$4, L$10,1)</f>
        <v>14.38257661</v>
      </c>
      <c r="M136" s="1">
        <f t="shared" si="384"/>
        <v>14.04163807</v>
      </c>
      <c r="N136" s="1">
        <f t="shared" si="384"/>
        <v>14.35980797</v>
      </c>
      <c r="O136" s="1">
        <f t="shared" ref="O136:Q136" si="385">(L136-L$7)/(L$6-L$7)</f>
        <v>0.1066784933</v>
      </c>
      <c r="P136" s="1">
        <f t="shared" si="385"/>
        <v>0.1115130547</v>
      </c>
      <c r="Q136" s="1">
        <f t="shared" si="385"/>
        <v>0.1128476304</v>
      </c>
      <c r="R136" s="1">
        <f t="shared" ref="R136:T136" si="386">1/(1+EXP(-O136))</f>
        <v>0.5266443597</v>
      </c>
      <c r="S136" s="1">
        <f t="shared" si="386"/>
        <v>0.5278494103</v>
      </c>
      <c r="T136" s="1">
        <f t="shared" si="386"/>
        <v>0.5281820068</v>
      </c>
      <c r="U136" s="1">
        <f t="shared" si="11"/>
        <v>2.610881694</v>
      </c>
      <c r="V136" s="1">
        <f t="shared" si="12"/>
        <v>0.3731764435</v>
      </c>
      <c r="W136" s="1">
        <f t="shared" si="13"/>
        <v>2</v>
      </c>
      <c r="X136" s="1">
        <f t="shared" si="14"/>
        <v>0</v>
      </c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ht="15.75" customHeight="1">
      <c r="A137" s="1"/>
      <c r="B137" s="1">
        <v>6.0</v>
      </c>
      <c r="C137" s="1">
        <v>1.0</v>
      </c>
      <c r="D137" s="1">
        <v>1.0</v>
      </c>
      <c r="E137" s="1">
        <v>1.0</v>
      </c>
      <c r="F137" s="1">
        <v>2.0</v>
      </c>
      <c r="G137" s="3">
        <v>1.0</v>
      </c>
      <c r="H137" s="1">
        <v>3.0</v>
      </c>
      <c r="I137" s="1">
        <v>1.0</v>
      </c>
      <c r="J137" s="1">
        <v>1.0</v>
      </c>
      <c r="K137" s="1">
        <v>2.0</v>
      </c>
      <c r="L137" s="1">
        <f t="shared" ref="L137:N137" si="387">SUMPRODUCT($B137:$J137, INDEX($B$2:$J$4, L$10, 0)) + INDEX($K$2:$K$4, L$10,1)</f>
        <v>8.065108011</v>
      </c>
      <c r="M137" s="1">
        <f t="shared" si="387"/>
        <v>7.627041278</v>
      </c>
      <c r="N137" s="1">
        <f t="shared" si="387"/>
        <v>7.736095989</v>
      </c>
      <c r="O137" s="1">
        <f t="shared" ref="O137:Q137" si="388">(L137-L$7)/(L$6-L$7)</f>
        <v>0.003373138227</v>
      </c>
      <c r="P137" s="1">
        <f t="shared" si="388"/>
        <v>0.001669763564</v>
      </c>
      <c r="Q137" s="1">
        <f t="shared" si="388"/>
        <v>0.0008362844113</v>
      </c>
      <c r="R137" s="1">
        <f t="shared" ref="R137:T137" si="389">1/(1+EXP(-O137))</f>
        <v>0.5008432838</v>
      </c>
      <c r="S137" s="1">
        <f t="shared" si="389"/>
        <v>0.5004174408</v>
      </c>
      <c r="T137" s="1">
        <f t="shared" si="389"/>
        <v>0.5002090711</v>
      </c>
      <c r="U137" s="1">
        <f t="shared" si="11"/>
        <v>2.476779536</v>
      </c>
      <c r="V137" s="1">
        <f t="shared" si="12"/>
        <v>0.227318726</v>
      </c>
      <c r="W137" s="1">
        <f t="shared" si="13"/>
        <v>2</v>
      </c>
      <c r="X137" s="1">
        <f t="shared" si="14"/>
        <v>0</v>
      </c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ht="15.75" customHeight="1">
      <c r="A138" s="1"/>
      <c r="B138" s="1">
        <v>3.0</v>
      </c>
      <c r="C138" s="1">
        <v>1.0</v>
      </c>
      <c r="D138" s="1">
        <v>1.0</v>
      </c>
      <c r="E138" s="1">
        <v>1.0</v>
      </c>
      <c r="F138" s="1">
        <v>2.0</v>
      </c>
      <c r="G138" s="3">
        <v>1.0</v>
      </c>
      <c r="H138" s="1">
        <v>3.0</v>
      </c>
      <c r="I138" s="1">
        <v>1.0</v>
      </c>
      <c r="J138" s="1">
        <v>1.0</v>
      </c>
      <c r="K138" s="1">
        <v>2.0</v>
      </c>
      <c r="L138" s="1">
        <f t="shared" ref="L138:N138" si="390">SUMPRODUCT($B138:$J138, INDEX($B$2:$J$4, L$10, 0)) + INDEX($K$2:$K$4, L$10,1)</f>
        <v>8.01747831</v>
      </c>
      <c r="M138" s="1">
        <f t="shared" si="390"/>
        <v>7.568535274</v>
      </c>
      <c r="N138" s="1">
        <f t="shared" si="390"/>
        <v>7.70642897</v>
      </c>
      <c r="O138" s="1">
        <f t="shared" ref="O138:Q138" si="391">(L138-L$7)/(L$6-L$7)</f>
        <v>0.002594281464</v>
      </c>
      <c r="P138" s="1">
        <f t="shared" si="391"/>
        <v>0.0006679091667</v>
      </c>
      <c r="Q138" s="1">
        <f t="shared" si="391"/>
        <v>0.0003345955216</v>
      </c>
      <c r="R138" s="1">
        <f t="shared" ref="R138:T138" si="392">1/(1+EXP(-O138))</f>
        <v>0.50064857</v>
      </c>
      <c r="S138" s="1">
        <f t="shared" si="392"/>
        <v>0.5001669773</v>
      </c>
      <c r="T138" s="1">
        <f t="shared" si="392"/>
        <v>0.5000836489</v>
      </c>
      <c r="U138" s="1">
        <f t="shared" si="11"/>
        <v>2.475842888</v>
      </c>
      <c r="V138" s="1">
        <f t="shared" si="12"/>
        <v>0.226426454</v>
      </c>
      <c r="W138" s="1">
        <f t="shared" si="13"/>
        <v>2</v>
      </c>
      <c r="X138" s="1">
        <f t="shared" si="14"/>
        <v>0</v>
      </c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ht="15.75" customHeight="1">
      <c r="A139" s="1"/>
      <c r="B139" s="1">
        <v>8.0</v>
      </c>
      <c r="C139" s="1">
        <v>3.0</v>
      </c>
      <c r="D139" s="1">
        <v>4.0</v>
      </c>
      <c r="E139" s="1">
        <v>9.0</v>
      </c>
      <c r="F139" s="1">
        <v>3.0</v>
      </c>
      <c r="G139" s="3">
        <v>10.0</v>
      </c>
      <c r="H139" s="1">
        <v>3.0</v>
      </c>
      <c r="I139" s="1">
        <v>3.0</v>
      </c>
      <c r="J139" s="1">
        <v>1.0</v>
      </c>
      <c r="K139" s="1">
        <v>4.0</v>
      </c>
      <c r="L139" s="1">
        <f t="shared" ref="L139:N139" si="393">SUMPRODUCT($B139:$J139, INDEX($B$2:$J$4, L$10, 0)) + INDEX($K$2:$K$4, L$10,1)</f>
        <v>46.03022187</v>
      </c>
      <c r="M139" s="1">
        <f t="shared" si="393"/>
        <v>44.66799857</v>
      </c>
      <c r="N139" s="1">
        <f t="shared" si="393"/>
        <v>45.75570244</v>
      </c>
      <c r="O139" s="1">
        <f t="shared" ref="O139:Q139" si="394">(L139-L$7)/(L$6-L$7)</f>
        <v>0.6241913514</v>
      </c>
      <c r="P139" s="1">
        <f t="shared" si="394"/>
        <v>0.6359575892</v>
      </c>
      <c r="Q139" s="1">
        <f t="shared" si="394"/>
        <v>0.6437729491</v>
      </c>
      <c r="R139" s="1">
        <f t="shared" ref="R139:T139" si="395">1/(1+EXP(-O139))</f>
        <v>0.6511712048</v>
      </c>
      <c r="S139" s="1">
        <f t="shared" si="395"/>
        <v>0.6538390974</v>
      </c>
      <c r="T139" s="1">
        <f t="shared" si="395"/>
        <v>0.6556058422</v>
      </c>
      <c r="U139" s="1">
        <f t="shared" si="11"/>
        <v>3.234524663</v>
      </c>
      <c r="V139" s="1">
        <f t="shared" si="12"/>
        <v>0.5859524923</v>
      </c>
      <c r="W139" s="1">
        <f t="shared" si="13"/>
        <v>4</v>
      </c>
      <c r="X139" s="1">
        <f t="shared" si="14"/>
        <v>0</v>
      </c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ht="15.75" customHeight="1">
      <c r="A140" s="1"/>
      <c r="B140" s="1">
        <v>3.0</v>
      </c>
      <c r="C140" s="1">
        <v>4.0</v>
      </c>
      <c r="D140" s="1">
        <v>4.0</v>
      </c>
      <c r="E140" s="1">
        <v>10.0</v>
      </c>
      <c r="F140" s="1">
        <v>5.0</v>
      </c>
      <c r="G140" s="3">
        <v>1.0</v>
      </c>
      <c r="H140" s="1">
        <v>3.0</v>
      </c>
      <c r="I140" s="1">
        <v>3.0</v>
      </c>
      <c r="J140" s="1">
        <v>1.0</v>
      </c>
      <c r="K140" s="1">
        <v>4.0</v>
      </c>
      <c r="L140" s="1">
        <f t="shared" ref="L140:N140" si="396">SUMPRODUCT($B140:$J140, INDEX($B$2:$J$4, L$10, 0)) + INDEX($K$2:$K$4, L$10,1)</f>
        <v>18.49038144</v>
      </c>
      <c r="M140" s="1">
        <f t="shared" si="396"/>
        <v>16.91498023</v>
      </c>
      <c r="N140" s="1">
        <f t="shared" si="396"/>
        <v>17.09901632</v>
      </c>
      <c r="O140" s="1">
        <f t="shared" ref="O140:Q140" si="397">(L140-L$7)/(L$6-L$7)</f>
        <v>0.1738506889</v>
      </c>
      <c r="P140" s="1">
        <f t="shared" si="397"/>
        <v>0.1607160472</v>
      </c>
      <c r="Q140" s="1">
        <f t="shared" si="397"/>
        <v>0.1591694532</v>
      </c>
      <c r="R140" s="1">
        <f t="shared" ref="R140:T140" si="398">1/(1+EXP(-O140))</f>
        <v>0.5433535339</v>
      </c>
      <c r="S140" s="1">
        <f t="shared" si="398"/>
        <v>0.5400927505</v>
      </c>
      <c r="T140" s="1">
        <f t="shared" si="398"/>
        <v>0.5397085643</v>
      </c>
      <c r="U140" s="1">
        <f t="shared" si="11"/>
        <v>2.677310021</v>
      </c>
      <c r="V140" s="1">
        <f t="shared" si="12"/>
        <v>1.74950878</v>
      </c>
      <c r="W140" s="1">
        <f t="shared" si="13"/>
        <v>2</v>
      </c>
      <c r="X140" s="1">
        <f t="shared" si="14"/>
        <v>1</v>
      </c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ht="15.75" customHeight="1">
      <c r="A141" s="1"/>
      <c r="B141" s="1">
        <v>2.0</v>
      </c>
      <c r="C141" s="1">
        <v>1.0</v>
      </c>
      <c r="D141" s="1">
        <v>1.0</v>
      </c>
      <c r="E141" s="1">
        <v>1.0</v>
      </c>
      <c r="F141" s="1">
        <v>2.0</v>
      </c>
      <c r="G141" s="3">
        <v>1.0</v>
      </c>
      <c r="H141" s="1">
        <v>1.0</v>
      </c>
      <c r="I141" s="1">
        <v>1.0</v>
      </c>
      <c r="J141" s="1">
        <v>1.0</v>
      </c>
      <c r="K141" s="1">
        <v>2.0</v>
      </c>
      <c r="L141" s="1">
        <f t="shared" ref="L141:N141" si="399">SUMPRODUCT($B141:$J141, INDEX($B$2:$J$4, L$10, 0)) + INDEX($K$2:$K$4, L$10,1)</f>
        <v>7.937016298</v>
      </c>
      <c r="M141" s="1">
        <f t="shared" si="399"/>
        <v>7.549033273</v>
      </c>
      <c r="N141" s="1">
        <f t="shared" si="399"/>
        <v>7.696531906</v>
      </c>
      <c r="O141" s="1">
        <f t="shared" ref="O141:Q141" si="400">(L141-L$7)/(L$6-L$7)</f>
        <v>0.001278539775</v>
      </c>
      <c r="P141" s="1">
        <f t="shared" si="400"/>
        <v>0.0003339577008</v>
      </c>
      <c r="Q141" s="1">
        <f t="shared" si="400"/>
        <v>0.0001672296299</v>
      </c>
      <c r="R141" s="1">
        <f t="shared" ref="R141:T141" si="401">1/(1+EXP(-O141))</f>
        <v>0.5003196349</v>
      </c>
      <c r="S141" s="1">
        <f t="shared" si="401"/>
        <v>0.5000834894</v>
      </c>
      <c r="T141" s="1">
        <f t="shared" si="401"/>
        <v>0.5000418074</v>
      </c>
      <c r="U141" s="1">
        <f t="shared" si="11"/>
        <v>2.475112694</v>
      </c>
      <c r="V141" s="1">
        <f t="shared" si="12"/>
        <v>0.2257320719</v>
      </c>
      <c r="W141" s="1">
        <f t="shared" si="13"/>
        <v>2</v>
      </c>
      <c r="X141" s="1">
        <f t="shared" si="14"/>
        <v>0</v>
      </c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ht="15.75" customHeight="1">
      <c r="A142" s="1"/>
      <c r="B142" s="1">
        <v>2.0</v>
      </c>
      <c r="C142" s="1">
        <v>1.0</v>
      </c>
      <c r="D142" s="1">
        <v>1.0</v>
      </c>
      <c r="E142" s="1">
        <v>1.0</v>
      </c>
      <c r="F142" s="1">
        <v>2.0</v>
      </c>
      <c r="G142" s="3">
        <v>1.0</v>
      </c>
      <c r="H142" s="1">
        <v>1.0</v>
      </c>
      <c r="I142" s="1">
        <v>1.0</v>
      </c>
      <c r="J142" s="1">
        <v>1.0</v>
      </c>
      <c r="K142" s="1">
        <v>2.0</v>
      </c>
      <c r="L142" s="1">
        <f t="shared" ref="L142:N142" si="402">SUMPRODUCT($B142:$J142, INDEX($B$2:$J$4, L$10, 0)) + INDEX($K$2:$K$4, L$10,1)</f>
        <v>7.937016298</v>
      </c>
      <c r="M142" s="1">
        <f t="shared" si="402"/>
        <v>7.549033273</v>
      </c>
      <c r="N142" s="1">
        <f t="shared" si="402"/>
        <v>7.696531906</v>
      </c>
      <c r="O142" s="1">
        <f t="shared" ref="O142:Q142" si="403">(L142-L$7)/(L$6-L$7)</f>
        <v>0.001278539775</v>
      </c>
      <c r="P142" s="1">
        <f t="shared" si="403"/>
        <v>0.0003339577008</v>
      </c>
      <c r="Q142" s="1">
        <f t="shared" si="403"/>
        <v>0.0001672296299</v>
      </c>
      <c r="R142" s="1">
        <f t="shared" ref="R142:T142" si="404">1/(1+EXP(-O142))</f>
        <v>0.5003196349</v>
      </c>
      <c r="S142" s="1">
        <f t="shared" si="404"/>
        <v>0.5000834894</v>
      </c>
      <c r="T142" s="1">
        <f t="shared" si="404"/>
        <v>0.5000418074</v>
      </c>
      <c r="U142" s="1">
        <f t="shared" si="11"/>
        <v>2.475112694</v>
      </c>
      <c r="V142" s="1">
        <f t="shared" si="12"/>
        <v>0.2257320719</v>
      </c>
      <c r="W142" s="1">
        <f t="shared" si="13"/>
        <v>2</v>
      </c>
      <c r="X142" s="1">
        <f t="shared" si="14"/>
        <v>0</v>
      </c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ht="15.75" customHeight="1">
      <c r="A143" s="1"/>
      <c r="B143" s="1">
        <v>3.0</v>
      </c>
      <c r="C143" s="1">
        <v>1.0</v>
      </c>
      <c r="D143" s="1">
        <v>1.0</v>
      </c>
      <c r="E143" s="1">
        <v>1.0</v>
      </c>
      <c r="F143" s="1">
        <v>1.0</v>
      </c>
      <c r="G143" s="3">
        <v>1.0</v>
      </c>
      <c r="H143" s="1">
        <v>2.0</v>
      </c>
      <c r="I143" s="1">
        <v>1.0</v>
      </c>
      <c r="J143" s="1">
        <v>1.0</v>
      </c>
      <c r="K143" s="1">
        <v>2.0</v>
      </c>
      <c r="L143" s="1">
        <f t="shared" ref="L143:N143" si="405">SUMPRODUCT($B143:$J143, INDEX($B$2:$J$4, L$10, 0)) + INDEX($K$2:$K$4, L$10,1)</f>
        <v>7.922875163</v>
      </c>
      <c r="M143" s="1">
        <f t="shared" si="405"/>
        <v>7.56853491</v>
      </c>
      <c r="N143" s="1">
        <f t="shared" si="405"/>
        <v>7.706424942</v>
      </c>
      <c r="O143" s="1">
        <f t="shared" ref="O143:Q143" si="406">(L143-L$7)/(L$6-L$7)</f>
        <v>0.001047299226</v>
      </c>
      <c r="P143" s="1">
        <f t="shared" si="406"/>
        <v>0.0006679029318</v>
      </c>
      <c r="Q143" s="1">
        <f t="shared" si="406"/>
        <v>0.0003345273907</v>
      </c>
      <c r="R143" s="1">
        <f t="shared" ref="R143:T143" si="407">1/(1+EXP(-O143))</f>
        <v>0.5002618248</v>
      </c>
      <c r="S143" s="1">
        <f t="shared" si="407"/>
        <v>0.5001669757</v>
      </c>
      <c r="T143" s="1">
        <f t="shared" si="407"/>
        <v>0.5000836318</v>
      </c>
      <c r="U143" s="1">
        <f t="shared" si="11"/>
        <v>2.475230698</v>
      </c>
      <c r="V143" s="1">
        <f t="shared" si="12"/>
        <v>0.2258442165</v>
      </c>
      <c r="W143" s="1">
        <f t="shared" si="13"/>
        <v>2</v>
      </c>
      <c r="X143" s="1">
        <f t="shared" si="14"/>
        <v>0</v>
      </c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ht="15.75" customHeight="1">
      <c r="A144" s="1"/>
      <c r="B144" s="1">
        <v>1.0</v>
      </c>
      <c r="C144" s="1">
        <v>1.0</v>
      </c>
      <c r="D144" s="1">
        <v>1.0</v>
      </c>
      <c r="E144" s="1">
        <v>1.0</v>
      </c>
      <c r="F144" s="1">
        <v>3.0</v>
      </c>
      <c r="G144" s="3">
        <v>1.0</v>
      </c>
      <c r="H144" s="1">
        <v>1.0</v>
      </c>
      <c r="I144" s="1">
        <v>1.0</v>
      </c>
      <c r="J144" s="1">
        <v>1.0</v>
      </c>
      <c r="K144" s="1">
        <v>2.0</v>
      </c>
      <c r="L144" s="1">
        <f t="shared" ref="L144:N144" si="408">SUMPRODUCT($B144:$J144, INDEX($B$2:$J$4, L$10, 0)) + INDEX($K$2:$K$4, L$10,1)</f>
        <v>7.983450155</v>
      </c>
      <c r="M144" s="1">
        <f t="shared" si="408"/>
        <v>7.529531636</v>
      </c>
      <c r="N144" s="1">
        <f t="shared" si="408"/>
        <v>7.6866429</v>
      </c>
      <c r="O144" s="1">
        <f t="shared" ref="O144:Q144" si="409">(L144-L$7)/(L$6-L$7)</f>
        <v>0.002037841708</v>
      </c>
      <c r="P144" s="1">
        <f t="shared" si="409"/>
        <v>0.0000000124697846</v>
      </c>
      <c r="Q144" s="1">
        <f t="shared" si="409"/>
        <v>0</v>
      </c>
      <c r="R144" s="1">
        <f t="shared" ref="R144:T144" si="410">1/(1+EXP(-O144))</f>
        <v>0.5005094603</v>
      </c>
      <c r="S144" s="1">
        <f t="shared" si="410"/>
        <v>0.5000000031</v>
      </c>
      <c r="T144" s="1">
        <f t="shared" si="410"/>
        <v>0.5</v>
      </c>
      <c r="U144" s="1">
        <f t="shared" si="11"/>
        <v>2.475203678</v>
      </c>
      <c r="V144" s="1">
        <f t="shared" si="12"/>
        <v>0.225818536</v>
      </c>
      <c r="W144" s="1">
        <f t="shared" si="13"/>
        <v>2</v>
      </c>
      <c r="X144" s="1">
        <f t="shared" si="14"/>
        <v>0</v>
      </c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ht="15.75" customHeight="1">
      <c r="A145" s="1"/>
      <c r="B145" s="1">
        <v>2.0</v>
      </c>
      <c r="C145" s="1">
        <v>1.0</v>
      </c>
      <c r="D145" s="1">
        <v>1.0</v>
      </c>
      <c r="E145" s="1">
        <v>1.0</v>
      </c>
      <c r="F145" s="1">
        <v>2.0</v>
      </c>
      <c r="G145" s="3">
        <v>1.0</v>
      </c>
      <c r="H145" s="1">
        <v>2.0</v>
      </c>
      <c r="I145" s="1">
        <v>1.0</v>
      </c>
      <c r="J145" s="1">
        <v>1.0</v>
      </c>
      <c r="K145" s="1">
        <v>2.0</v>
      </c>
      <c r="L145" s="1">
        <f t="shared" ref="L145:N145" si="411">SUMPRODUCT($B145:$J145, INDEX($B$2:$J$4, L$10, 0)) + INDEX($K$2:$K$4, L$10,1)</f>
        <v>7.96930902</v>
      </c>
      <c r="M145" s="1">
        <f t="shared" si="411"/>
        <v>7.549033273</v>
      </c>
      <c r="N145" s="1">
        <f t="shared" si="411"/>
        <v>7.696535935</v>
      </c>
      <c r="O145" s="1">
        <f t="shared" ref="O145:Q145" si="412">(L145-L$7)/(L$6-L$7)</f>
        <v>0.001806601159</v>
      </c>
      <c r="P145" s="1">
        <f t="shared" si="412"/>
        <v>0.0003339577008</v>
      </c>
      <c r="Q145" s="1">
        <f t="shared" si="412"/>
        <v>0.0001672977608</v>
      </c>
      <c r="R145" s="1">
        <f t="shared" ref="R145:T145" si="413">1/(1+EXP(-O145))</f>
        <v>0.5004516502</v>
      </c>
      <c r="S145" s="1">
        <f t="shared" si="413"/>
        <v>0.5000834894</v>
      </c>
      <c r="T145" s="1">
        <f t="shared" si="413"/>
        <v>0.5000418244</v>
      </c>
      <c r="U145" s="1">
        <f t="shared" si="11"/>
        <v>2.475321683</v>
      </c>
      <c r="V145" s="1">
        <f t="shared" si="12"/>
        <v>0.2259307022</v>
      </c>
      <c r="W145" s="1">
        <f t="shared" si="13"/>
        <v>2</v>
      </c>
      <c r="X145" s="1">
        <f t="shared" si="14"/>
        <v>0</v>
      </c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ht="15.75" customHeight="1">
      <c r="A146" s="1"/>
      <c r="B146" s="1">
        <v>6.0</v>
      </c>
      <c r="C146" s="1">
        <v>1.0</v>
      </c>
      <c r="D146" s="1">
        <v>1.0</v>
      </c>
      <c r="E146" s="1">
        <v>1.0</v>
      </c>
      <c r="F146" s="1">
        <v>2.0</v>
      </c>
      <c r="G146" s="3">
        <v>1.0</v>
      </c>
      <c r="H146" s="1">
        <v>2.0</v>
      </c>
      <c r="I146" s="1">
        <v>1.0</v>
      </c>
      <c r="J146" s="1">
        <v>1.0</v>
      </c>
      <c r="K146" s="1">
        <v>2.0</v>
      </c>
      <c r="L146" s="1">
        <f t="shared" ref="L146:N146" si="414">SUMPRODUCT($B146:$J146, INDEX($B$2:$J$4, L$10, 0)) + INDEX($K$2:$K$4, L$10,1)</f>
        <v>8.032815288</v>
      </c>
      <c r="M146" s="1">
        <f t="shared" si="414"/>
        <v>7.627041278</v>
      </c>
      <c r="N146" s="1">
        <f t="shared" si="414"/>
        <v>7.73609196</v>
      </c>
      <c r="O146" s="1">
        <f t="shared" ref="O146:Q146" si="415">(L146-L$7)/(L$6-L$7)</f>
        <v>0.002845076842</v>
      </c>
      <c r="P146" s="1">
        <f t="shared" si="415"/>
        <v>0.001669763564</v>
      </c>
      <c r="Q146" s="1">
        <f t="shared" si="415"/>
        <v>0.0008362162804</v>
      </c>
      <c r="R146" s="1">
        <f t="shared" ref="R146:T146" si="416">1/(1+EXP(-O146))</f>
        <v>0.5007112687</v>
      </c>
      <c r="S146" s="1">
        <f t="shared" si="416"/>
        <v>0.5004174408</v>
      </c>
      <c r="T146" s="1">
        <f t="shared" si="416"/>
        <v>0.5002090541</v>
      </c>
      <c r="U146" s="1">
        <f t="shared" si="11"/>
        <v>2.476570547</v>
      </c>
      <c r="V146" s="1">
        <f t="shared" si="12"/>
        <v>0.2271194867</v>
      </c>
      <c r="W146" s="1">
        <f t="shared" si="13"/>
        <v>2</v>
      </c>
      <c r="X146" s="1">
        <f t="shared" si="14"/>
        <v>0</v>
      </c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ht="15.75" customHeight="1">
      <c r="A147" s="1"/>
      <c r="B147" s="1">
        <v>1.0</v>
      </c>
      <c r="C147" s="1">
        <v>1.0</v>
      </c>
      <c r="D147" s="1">
        <v>1.0</v>
      </c>
      <c r="E147" s="1">
        <v>1.0</v>
      </c>
      <c r="F147" s="1">
        <v>2.0</v>
      </c>
      <c r="G147" s="3">
        <v>1.0</v>
      </c>
      <c r="H147" s="1">
        <v>2.0</v>
      </c>
      <c r="I147" s="1">
        <v>1.0</v>
      </c>
      <c r="J147" s="1">
        <v>1.0</v>
      </c>
      <c r="K147" s="1">
        <v>2.0</v>
      </c>
      <c r="L147" s="1">
        <f t="shared" ref="L147:N147" si="417">SUMPRODUCT($B147:$J147, INDEX($B$2:$J$4, L$10, 0)) + INDEX($K$2:$K$4, L$10,1)</f>
        <v>7.953432454</v>
      </c>
      <c r="M147" s="1">
        <f t="shared" si="417"/>
        <v>7.529531272</v>
      </c>
      <c r="N147" s="1">
        <f t="shared" si="417"/>
        <v>7.686646929</v>
      </c>
      <c r="O147" s="1">
        <f t="shared" ref="O147:Q147" si="418">(L147-L$7)/(L$6-L$7)</f>
        <v>0.001546982238</v>
      </c>
      <c r="P147" s="1">
        <f t="shared" si="418"/>
        <v>0.000000006234892308</v>
      </c>
      <c r="Q147" s="1">
        <f t="shared" si="418"/>
        <v>0.00000006813089816</v>
      </c>
      <c r="R147" s="1">
        <f t="shared" ref="R147:T147" si="419">1/(1+EXP(-O147))</f>
        <v>0.5003867455</v>
      </c>
      <c r="S147" s="1">
        <f t="shared" si="419"/>
        <v>0.5000000016</v>
      </c>
      <c r="T147" s="1">
        <f t="shared" si="419"/>
        <v>0.500000017</v>
      </c>
      <c r="U147" s="1">
        <f t="shared" si="11"/>
        <v>2.475009467</v>
      </c>
      <c r="V147" s="1">
        <f t="shared" si="12"/>
        <v>0.2256339933</v>
      </c>
      <c r="W147" s="1">
        <f t="shared" si="13"/>
        <v>2</v>
      </c>
      <c r="X147" s="1">
        <f t="shared" si="14"/>
        <v>0</v>
      </c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ht="15.75" customHeight="1">
      <c r="A148" s="1"/>
      <c r="B148" s="1">
        <v>2.0</v>
      </c>
      <c r="C148" s="1">
        <v>1.0</v>
      </c>
      <c r="D148" s="1">
        <v>1.0</v>
      </c>
      <c r="E148" s="1">
        <v>1.0</v>
      </c>
      <c r="F148" s="1">
        <v>2.0</v>
      </c>
      <c r="G148" s="3">
        <v>1.0</v>
      </c>
      <c r="H148" s="1">
        <v>1.0</v>
      </c>
      <c r="I148" s="1">
        <v>1.0</v>
      </c>
      <c r="J148" s="1">
        <v>1.0</v>
      </c>
      <c r="K148" s="1">
        <v>2.0</v>
      </c>
      <c r="L148" s="1">
        <f t="shared" ref="L148:N148" si="420">SUMPRODUCT($B148:$J148, INDEX($B$2:$J$4, L$10, 0)) + INDEX($K$2:$K$4, L$10,1)</f>
        <v>7.937016298</v>
      </c>
      <c r="M148" s="1">
        <f t="shared" si="420"/>
        <v>7.549033273</v>
      </c>
      <c r="N148" s="1">
        <f t="shared" si="420"/>
        <v>7.696531906</v>
      </c>
      <c r="O148" s="1">
        <f t="shared" ref="O148:Q148" si="421">(L148-L$7)/(L$6-L$7)</f>
        <v>0.001278539775</v>
      </c>
      <c r="P148" s="1">
        <f t="shared" si="421"/>
        <v>0.0003339577008</v>
      </c>
      <c r="Q148" s="1">
        <f t="shared" si="421"/>
        <v>0.0001672296299</v>
      </c>
      <c r="R148" s="1">
        <f t="shared" ref="R148:T148" si="422">1/(1+EXP(-O148))</f>
        <v>0.5003196349</v>
      </c>
      <c r="S148" s="1">
        <f t="shared" si="422"/>
        <v>0.5000834894</v>
      </c>
      <c r="T148" s="1">
        <f t="shared" si="422"/>
        <v>0.5000418074</v>
      </c>
      <c r="U148" s="1">
        <f t="shared" si="11"/>
        <v>2.475112694</v>
      </c>
      <c r="V148" s="1">
        <f t="shared" si="12"/>
        <v>0.2257320719</v>
      </c>
      <c r="W148" s="1">
        <f t="shared" si="13"/>
        <v>2</v>
      </c>
      <c r="X148" s="1">
        <f t="shared" si="14"/>
        <v>0</v>
      </c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ht="15.75" customHeight="1">
      <c r="A149" s="1"/>
      <c r="B149" s="1">
        <v>5.0</v>
      </c>
      <c r="C149" s="1">
        <v>1.0</v>
      </c>
      <c r="D149" s="1">
        <v>1.0</v>
      </c>
      <c r="E149" s="1">
        <v>1.0</v>
      </c>
      <c r="F149" s="1">
        <v>2.0</v>
      </c>
      <c r="G149" s="3">
        <v>1.0</v>
      </c>
      <c r="H149" s="1">
        <v>2.0</v>
      </c>
      <c r="I149" s="1">
        <v>1.0</v>
      </c>
      <c r="J149" s="1">
        <v>1.0</v>
      </c>
      <c r="K149" s="1">
        <v>2.0</v>
      </c>
      <c r="L149" s="1">
        <f t="shared" ref="L149:N149" si="423">SUMPRODUCT($B149:$J149, INDEX($B$2:$J$4, L$10, 0)) + INDEX($K$2:$K$4, L$10,1)</f>
        <v>8.016938721</v>
      </c>
      <c r="M149" s="1">
        <f t="shared" si="423"/>
        <v>7.607539277</v>
      </c>
      <c r="N149" s="1">
        <f t="shared" si="423"/>
        <v>7.726202954</v>
      </c>
      <c r="O149" s="1">
        <f t="shared" ref="O149:Q149" si="424">(L149-L$7)/(L$6-L$7)</f>
        <v>0.002585457921</v>
      </c>
      <c r="P149" s="1">
        <f t="shared" si="424"/>
        <v>0.001335812098</v>
      </c>
      <c r="Q149" s="1">
        <f t="shared" si="424"/>
        <v>0.0006689866505</v>
      </c>
      <c r="R149" s="1">
        <f t="shared" ref="R149:T149" si="425">1/(1+EXP(-O149))</f>
        <v>0.5006463641</v>
      </c>
      <c r="S149" s="1">
        <f t="shared" si="425"/>
        <v>0.500333953</v>
      </c>
      <c r="T149" s="1">
        <f t="shared" si="425"/>
        <v>0.5001672467</v>
      </c>
      <c r="U149" s="1">
        <f t="shared" si="11"/>
        <v>2.476258331</v>
      </c>
      <c r="V149" s="1">
        <f t="shared" si="12"/>
        <v>0.2268219982</v>
      </c>
      <c r="W149" s="1">
        <f t="shared" si="13"/>
        <v>2</v>
      </c>
      <c r="X149" s="1">
        <f t="shared" si="14"/>
        <v>0</v>
      </c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ht="15.75" customHeight="1">
      <c r="A150" s="1"/>
      <c r="B150" s="1">
        <v>9.0</v>
      </c>
      <c r="C150" s="1">
        <v>5.0</v>
      </c>
      <c r="D150" s="1">
        <v>8.0</v>
      </c>
      <c r="E150" s="1">
        <v>1.0</v>
      </c>
      <c r="F150" s="1">
        <v>2.0</v>
      </c>
      <c r="G150" s="3">
        <v>3.0</v>
      </c>
      <c r="H150" s="1">
        <v>2.0</v>
      </c>
      <c r="I150" s="1">
        <v>1.0</v>
      </c>
      <c r="J150" s="1">
        <v>5.0</v>
      </c>
      <c r="K150" s="1">
        <v>4.0</v>
      </c>
      <c r="L150" s="1">
        <f t="shared" ref="L150:N150" si="426">SUMPRODUCT($B150:$J150, INDEX($B$2:$J$4, L$10, 0)) + INDEX($K$2:$K$4, L$10,1)</f>
        <v>31.784856</v>
      </c>
      <c r="M150" s="1">
        <f t="shared" si="426"/>
        <v>29.69274102</v>
      </c>
      <c r="N150" s="1">
        <f t="shared" si="426"/>
        <v>30.67167737</v>
      </c>
      <c r="O150" s="1">
        <f t="shared" ref="O150:Q150" si="427">(L150-L$7)/(L$6-L$7)</f>
        <v>0.3912463742</v>
      </c>
      <c r="P150" s="1">
        <f t="shared" si="427"/>
        <v>0.3795218962</v>
      </c>
      <c r="Q150" s="1">
        <f t="shared" si="427"/>
        <v>0.3886921191</v>
      </c>
      <c r="R150" s="1">
        <f t="shared" ref="R150:T150" si="428">1/(1+EXP(-O150))</f>
        <v>0.5965827025</v>
      </c>
      <c r="S150" s="1">
        <f t="shared" si="428"/>
        <v>0.5937577849</v>
      </c>
      <c r="T150" s="1">
        <f t="shared" si="428"/>
        <v>0.595967814</v>
      </c>
      <c r="U150" s="1">
        <f t="shared" si="11"/>
        <v>2.946649642</v>
      </c>
      <c r="V150" s="1">
        <f t="shared" si="12"/>
        <v>1.109546976</v>
      </c>
      <c r="W150" s="1">
        <f t="shared" si="13"/>
        <v>4</v>
      </c>
      <c r="X150" s="1">
        <f t="shared" si="14"/>
        <v>0</v>
      </c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ht="15.75" customHeight="1">
      <c r="A151" s="1"/>
      <c r="B151" s="1">
        <v>1.0</v>
      </c>
      <c r="C151" s="1">
        <v>1.0</v>
      </c>
      <c r="D151" s="1">
        <v>1.0</v>
      </c>
      <c r="E151" s="1">
        <v>1.0</v>
      </c>
      <c r="F151" s="1">
        <v>2.0</v>
      </c>
      <c r="G151" s="3">
        <v>1.0</v>
      </c>
      <c r="H151" s="1">
        <v>3.0</v>
      </c>
      <c r="I151" s="1">
        <v>1.0</v>
      </c>
      <c r="J151" s="1">
        <v>1.0</v>
      </c>
      <c r="K151" s="1">
        <v>2.0</v>
      </c>
      <c r="L151" s="1">
        <f t="shared" ref="L151:N151" si="429">SUMPRODUCT($B151:$J151, INDEX($B$2:$J$4, L$10, 0)) + INDEX($K$2:$K$4, L$10,1)</f>
        <v>7.985725177</v>
      </c>
      <c r="M151" s="1">
        <f t="shared" si="429"/>
        <v>7.529531272</v>
      </c>
      <c r="N151" s="1">
        <f t="shared" si="429"/>
        <v>7.686650958</v>
      </c>
      <c r="O151" s="1">
        <f t="shared" ref="O151:Q151" si="430">(L151-L$7)/(L$6-L$7)</f>
        <v>0.002075043622</v>
      </c>
      <c r="P151" s="1">
        <f t="shared" si="430"/>
        <v>0.000000006234892308</v>
      </c>
      <c r="Q151" s="1">
        <f t="shared" si="430"/>
        <v>0.0000001362617963</v>
      </c>
      <c r="R151" s="1">
        <f t="shared" ref="R151:T151" si="431">1/(1+EXP(-O151))</f>
        <v>0.5005187607</v>
      </c>
      <c r="S151" s="1">
        <f t="shared" si="431"/>
        <v>0.5000000016</v>
      </c>
      <c r="T151" s="1">
        <f t="shared" si="431"/>
        <v>0.5000000341</v>
      </c>
      <c r="U151" s="1">
        <f t="shared" si="11"/>
        <v>2.475218456</v>
      </c>
      <c r="V151" s="1">
        <f t="shared" si="12"/>
        <v>0.2258325805</v>
      </c>
      <c r="W151" s="1">
        <f t="shared" si="13"/>
        <v>2</v>
      </c>
      <c r="X151" s="1">
        <f t="shared" si="14"/>
        <v>0</v>
      </c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ht="15.75" customHeight="1">
      <c r="A152" s="1"/>
      <c r="B152" s="1">
        <v>8.0</v>
      </c>
      <c r="C152" s="1">
        <v>8.0</v>
      </c>
      <c r="D152" s="1">
        <v>9.0</v>
      </c>
      <c r="E152" s="1">
        <v>4.0</v>
      </c>
      <c r="F152" s="1">
        <v>5.0</v>
      </c>
      <c r="G152" s="3">
        <v>10.0</v>
      </c>
      <c r="H152" s="1">
        <v>7.0</v>
      </c>
      <c r="I152" s="1">
        <v>8.0</v>
      </c>
      <c r="J152" s="1">
        <v>1.0</v>
      </c>
      <c r="K152" s="1">
        <v>4.0</v>
      </c>
      <c r="L152" s="1">
        <f t="shared" ref="L152:N152" si="432">SUMPRODUCT($B152:$J152, INDEX($B$2:$J$4, L$10, 0)) + INDEX($K$2:$K$4, L$10,1)</f>
        <v>63.26035354</v>
      </c>
      <c r="M152" s="1">
        <f t="shared" si="432"/>
        <v>60.73339247</v>
      </c>
      <c r="N152" s="1">
        <f t="shared" si="432"/>
        <v>61.85473988</v>
      </c>
      <c r="O152" s="1">
        <f t="shared" ref="O152:Q152" si="433">(L152-L$7)/(L$6-L$7)</f>
        <v>0.9059442153</v>
      </c>
      <c r="P152" s="1">
        <f t="shared" si="433"/>
        <v>0.911060732</v>
      </c>
      <c r="Q152" s="1">
        <f t="shared" si="433"/>
        <v>0.9160183089</v>
      </c>
      <c r="R152" s="1">
        <f t="shared" ref="R152:T152" si="434">1/(1+EXP(-O152))</f>
        <v>0.7121695073</v>
      </c>
      <c r="S152" s="1">
        <f t="shared" si="434"/>
        <v>0.7132171723</v>
      </c>
      <c r="T152" s="1">
        <f t="shared" si="434"/>
        <v>0.7142301145</v>
      </c>
      <c r="U152" s="1">
        <f t="shared" si="11"/>
        <v>3.529645419</v>
      </c>
      <c r="V152" s="1">
        <f t="shared" si="12"/>
        <v>0.221233432</v>
      </c>
      <c r="W152" s="1">
        <f t="shared" si="13"/>
        <v>4</v>
      </c>
      <c r="X152" s="1">
        <f t="shared" si="14"/>
        <v>0</v>
      </c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ht="15.75" customHeight="1">
      <c r="A153" s="1"/>
      <c r="B153" s="1">
        <v>5.0</v>
      </c>
      <c r="C153" s="1">
        <v>3.0</v>
      </c>
      <c r="D153" s="1">
        <v>4.0</v>
      </c>
      <c r="E153" s="1">
        <v>1.0</v>
      </c>
      <c r="F153" s="1">
        <v>4.0</v>
      </c>
      <c r="G153" s="3">
        <v>1.0</v>
      </c>
      <c r="H153" s="1">
        <v>3.0</v>
      </c>
      <c r="I153" s="1">
        <v>1.0</v>
      </c>
      <c r="J153" s="1">
        <v>1.0</v>
      </c>
      <c r="K153" s="1">
        <v>2.0</v>
      </c>
      <c r="L153" s="1">
        <f t="shared" ref="L153:N153" si="435">SUMPRODUCT($B153:$J153, INDEX($B$2:$J$4, L$10, 0)) + INDEX($K$2:$K$4, L$10,1)</f>
        <v>16.00657161</v>
      </c>
      <c r="M153" s="1">
        <f t="shared" si="435"/>
        <v>14.71942659</v>
      </c>
      <c r="N153" s="1">
        <f t="shared" si="435"/>
        <v>15.08618946</v>
      </c>
      <c r="O153" s="1">
        <f t="shared" ref="O153:Q153" si="436">(L153-L$7)/(L$6-L$7)</f>
        <v>0.1332346016</v>
      </c>
      <c r="P153" s="1">
        <f t="shared" si="436"/>
        <v>0.1231194772</v>
      </c>
      <c r="Q153" s="1">
        <f t="shared" si="436"/>
        <v>0.1251312212</v>
      </c>
      <c r="R153" s="1">
        <f t="shared" ref="R153:T153" si="437">1/(1+EXP(-O153))</f>
        <v>0.5332594646</v>
      </c>
      <c r="S153" s="1">
        <f t="shared" si="437"/>
        <v>0.530741047</v>
      </c>
      <c r="T153" s="1">
        <f t="shared" si="437"/>
        <v>0.5312420507</v>
      </c>
      <c r="U153" s="1">
        <f t="shared" si="11"/>
        <v>2.631374511</v>
      </c>
      <c r="V153" s="1">
        <f t="shared" si="12"/>
        <v>0.3986337735</v>
      </c>
      <c r="W153" s="1">
        <f t="shared" si="13"/>
        <v>2</v>
      </c>
      <c r="X153" s="1">
        <f t="shared" si="14"/>
        <v>0</v>
      </c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ht="15.75" customHeight="1">
      <c r="A154" s="1"/>
      <c r="B154" s="1">
        <v>1.0</v>
      </c>
      <c r="C154" s="1">
        <v>1.0</v>
      </c>
      <c r="D154" s="1">
        <v>1.0</v>
      </c>
      <c r="E154" s="1">
        <v>1.0</v>
      </c>
      <c r="F154" s="1">
        <v>2.0</v>
      </c>
      <c r="G154" s="3">
        <v>1.0</v>
      </c>
      <c r="H154" s="1">
        <v>2.0</v>
      </c>
      <c r="I154" s="1">
        <v>1.0</v>
      </c>
      <c r="J154" s="1">
        <v>1.0</v>
      </c>
      <c r="K154" s="1">
        <v>2.0</v>
      </c>
      <c r="L154" s="1">
        <f t="shared" ref="L154:N154" si="438">SUMPRODUCT($B154:$J154, INDEX($B$2:$J$4, L$10, 0)) + INDEX($K$2:$K$4, L$10,1)</f>
        <v>7.953432454</v>
      </c>
      <c r="M154" s="1">
        <f t="shared" si="438"/>
        <v>7.529531272</v>
      </c>
      <c r="N154" s="1">
        <f t="shared" si="438"/>
        <v>7.686646929</v>
      </c>
      <c r="O154" s="1">
        <f t="shared" ref="O154:Q154" si="439">(L154-L$7)/(L$6-L$7)</f>
        <v>0.001546982238</v>
      </c>
      <c r="P154" s="1">
        <f t="shared" si="439"/>
        <v>0.000000006234892308</v>
      </c>
      <c r="Q154" s="1">
        <f t="shared" si="439"/>
        <v>0.00000006813089816</v>
      </c>
      <c r="R154" s="1">
        <f t="shared" ref="R154:T154" si="440">1/(1+EXP(-O154))</f>
        <v>0.5003867455</v>
      </c>
      <c r="S154" s="1">
        <f t="shared" si="440"/>
        <v>0.5000000016</v>
      </c>
      <c r="T154" s="1">
        <f t="shared" si="440"/>
        <v>0.500000017</v>
      </c>
      <c r="U154" s="1">
        <f t="shared" si="11"/>
        <v>2.475009467</v>
      </c>
      <c r="V154" s="1">
        <f t="shared" si="12"/>
        <v>0.2256339933</v>
      </c>
      <c r="W154" s="1">
        <f t="shared" si="13"/>
        <v>2</v>
      </c>
      <c r="X154" s="1">
        <f t="shared" si="14"/>
        <v>0</v>
      </c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ht="15.75" customHeight="1">
      <c r="A155" s="1"/>
      <c r="B155" s="1">
        <v>8.0</v>
      </c>
      <c r="C155" s="1">
        <v>7.0</v>
      </c>
      <c r="D155" s="1">
        <v>8.0</v>
      </c>
      <c r="E155" s="1">
        <v>5.0</v>
      </c>
      <c r="F155" s="1">
        <v>10.0</v>
      </c>
      <c r="G155" s="3">
        <v>10.0</v>
      </c>
      <c r="H155" s="1">
        <v>7.0</v>
      </c>
      <c r="I155" s="1">
        <v>2.0</v>
      </c>
      <c r="J155" s="1">
        <v>1.0</v>
      </c>
      <c r="K155" s="1">
        <v>4.0</v>
      </c>
      <c r="L155" s="1">
        <f t="shared" ref="L155:N155" si="441">SUMPRODUCT($B155:$J155, INDEX($B$2:$J$4, L$10, 0)) + INDEX($K$2:$K$4, L$10,1)</f>
        <v>58.75354138</v>
      </c>
      <c r="M155" s="1">
        <f t="shared" si="441"/>
        <v>56.05635543</v>
      </c>
      <c r="N155" s="1">
        <f t="shared" si="441"/>
        <v>57.13291258</v>
      </c>
      <c r="O155" s="1">
        <f t="shared" ref="O155:Q155" si="442">(L155-L$7)/(L$6-L$7)</f>
        <v>0.8322473185</v>
      </c>
      <c r="P155" s="1">
        <f t="shared" si="442"/>
        <v>0.8309713425</v>
      </c>
      <c r="Q155" s="1">
        <f t="shared" si="442"/>
        <v>0.8361690895</v>
      </c>
      <c r="R155" s="1">
        <f t="shared" ref="R155:T155" si="443">1/(1+EXP(-O155))</f>
        <v>0.6968299037</v>
      </c>
      <c r="S155" s="1">
        <f t="shared" si="443"/>
        <v>0.6965602759</v>
      </c>
      <c r="T155" s="1">
        <f t="shared" si="443"/>
        <v>0.6976577691</v>
      </c>
      <c r="U155" s="1">
        <f t="shared" si="11"/>
        <v>3.449444041</v>
      </c>
      <c r="V155" s="1">
        <f t="shared" si="12"/>
        <v>0.3031118636</v>
      </c>
      <c r="W155" s="1">
        <f t="shared" si="13"/>
        <v>4</v>
      </c>
      <c r="X155" s="1">
        <f t="shared" si="14"/>
        <v>0</v>
      </c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ht="15.75" customHeight="1">
      <c r="A156" s="1"/>
      <c r="B156" s="1">
        <v>5.0</v>
      </c>
      <c r="C156" s="1">
        <v>1.0</v>
      </c>
      <c r="D156" s="1">
        <v>1.0</v>
      </c>
      <c r="E156" s="1">
        <v>1.0</v>
      </c>
      <c r="F156" s="1">
        <v>1.0</v>
      </c>
      <c r="G156" s="3">
        <v>1.0</v>
      </c>
      <c r="H156" s="1">
        <v>1.0</v>
      </c>
      <c r="I156" s="1">
        <v>1.0</v>
      </c>
      <c r="J156" s="1">
        <v>1.0</v>
      </c>
      <c r="K156" s="1">
        <v>2.0</v>
      </c>
      <c r="L156" s="1">
        <f t="shared" ref="L156:N156" si="444">SUMPRODUCT($B156:$J156, INDEX($B$2:$J$4, L$10, 0)) + INDEX($K$2:$K$4, L$10,1)</f>
        <v>7.922335574</v>
      </c>
      <c r="M156" s="1">
        <f t="shared" si="444"/>
        <v>7.607538913</v>
      </c>
      <c r="N156" s="1">
        <f t="shared" si="444"/>
        <v>7.726198925</v>
      </c>
      <c r="O156" s="1">
        <f t="shared" ref="O156:Q156" si="445">(L156-L$7)/(L$6-L$7)</f>
        <v>0.001038475684</v>
      </c>
      <c r="P156" s="1">
        <f t="shared" si="445"/>
        <v>0.001335805864</v>
      </c>
      <c r="Q156" s="1">
        <f t="shared" si="445"/>
        <v>0.0006689185196</v>
      </c>
      <c r="R156" s="1">
        <f t="shared" ref="R156:T156" si="446">1/(1+EXP(-O156))</f>
        <v>0.5002596189</v>
      </c>
      <c r="S156" s="1">
        <f t="shared" si="446"/>
        <v>0.5003339514</v>
      </c>
      <c r="T156" s="1">
        <f t="shared" si="446"/>
        <v>0.5001672296</v>
      </c>
      <c r="U156" s="1">
        <f t="shared" si="11"/>
        <v>2.475646142</v>
      </c>
      <c r="V156" s="1">
        <f t="shared" si="12"/>
        <v>0.2262392521</v>
      </c>
      <c r="W156" s="1">
        <f t="shared" si="13"/>
        <v>2</v>
      </c>
      <c r="X156" s="1">
        <f t="shared" si="14"/>
        <v>0</v>
      </c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ht="15.75" customHeight="1">
      <c r="A157" s="1"/>
      <c r="B157" s="1">
        <v>1.0</v>
      </c>
      <c r="C157" s="1">
        <v>1.0</v>
      </c>
      <c r="D157" s="1">
        <v>1.0</v>
      </c>
      <c r="E157" s="1">
        <v>1.0</v>
      </c>
      <c r="F157" s="1">
        <v>2.0</v>
      </c>
      <c r="G157" s="3">
        <v>1.0</v>
      </c>
      <c r="H157" s="1">
        <v>1.0</v>
      </c>
      <c r="I157" s="1">
        <v>1.0</v>
      </c>
      <c r="J157" s="1">
        <v>1.0</v>
      </c>
      <c r="K157" s="1">
        <v>2.0</v>
      </c>
      <c r="L157" s="1">
        <f t="shared" ref="L157:N157" si="447">SUMPRODUCT($B157:$J157, INDEX($B$2:$J$4, L$10, 0)) + INDEX($K$2:$K$4, L$10,1)</f>
        <v>7.921139731</v>
      </c>
      <c r="M157" s="1">
        <f t="shared" si="447"/>
        <v>7.529531272</v>
      </c>
      <c r="N157" s="1">
        <f t="shared" si="447"/>
        <v>7.6866429</v>
      </c>
      <c r="O157" s="1">
        <f t="shared" ref="O157:Q157" si="448">(L157-L$7)/(L$6-L$7)</f>
        <v>0.001018920854</v>
      </c>
      <c r="P157" s="1">
        <f t="shared" si="448"/>
        <v>0.000000006234892308</v>
      </c>
      <c r="Q157" s="1">
        <f t="shared" si="448"/>
        <v>0</v>
      </c>
      <c r="R157" s="1">
        <f t="shared" ref="R157:T157" si="449">1/(1+EXP(-O157))</f>
        <v>0.5002547302</v>
      </c>
      <c r="S157" s="1">
        <f t="shared" si="449"/>
        <v>0.5000000016</v>
      </c>
      <c r="T157" s="1">
        <f t="shared" si="449"/>
        <v>0.5</v>
      </c>
      <c r="U157" s="1">
        <f t="shared" si="11"/>
        <v>2.474800478</v>
      </c>
      <c r="V157" s="1">
        <f t="shared" si="12"/>
        <v>0.2254354935</v>
      </c>
      <c r="W157" s="1">
        <f t="shared" si="13"/>
        <v>2</v>
      </c>
      <c r="X157" s="1">
        <f t="shared" si="14"/>
        <v>0</v>
      </c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ht="15.75" customHeight="1">
      <c r="A158" s="1"/>
      <c r="B158" s="1">
        <v>3.0</v>
      </c>
      <c r="C158" s="1">
        <v>1.0</v>
      </c>
      <c r="D158" s="1">
        <v>1.0</v>
      </c>
      <c r="E158" s="1">
        <v>1.0</v>
      </c>
      <c r="F158" s="1">
        <v>2.0</v>
      </c>
      <c r="G158" s="3">
        <v>1.0</v>
      </c>
      <c r="H158" s="1">
        <v>2.0</v>
      </c>
      <c r="I158" s="1">
        <v>1.0</v>
      </c>
      <c r="J158" s="1">
        <v>2.0</v>
      </c>
      <c r="K158" s="1">
        <v>2.0</v>
      </c>
      <c r="L158" s="1">
        <f t="shared" ref="L158:N158" si="450">SUMPRODUCT($B158:$J158, INDEX($B$2:$J$4, L$10, 0)) + INDEX($K$2:$K$4, L$10,1)</f>
        <v>7.985185587</v>
      </c>
      <c r="M158" s="1">
        <f t="shared" si="450"/>
        <v>7.568535274</v>
      </c>
      <c r="N158" s="1">
        <f t="shared" si="450"/>
        <v>7.706424942</v>
      </c>
      <c r="O158" s="1">
        <f t="shared" ref="O158:Q158" si="451">(L158-L$7)/(L$6-L$7)</f>
        <v>0.00206622008</v>
      </c>
      <c r="P158" s="1">
        <f t="shared" si="451"/>
        <v>0.0006679091667</v>
      </c>
      <c r="Q158" s="1">
        <f t="shared" si="451"/>
        <v>0.0003345273907</v>
      </c>
      <c r="R158" s="1">
        <f t="shared" ref="R158:T158" si="452">1/(1+EXP(-O158))</f>
        <v>0.5005165548</v>
      </c>
      <c r="S158" s="1">
        <f t="shared" si="452"/>
        <v>0.5001669773</v>
      </c>
      <c r="T158" s="1">
        <f t="shared" si="452"/>
        <v>0.5000836318</v>
      </c>
      <c r="U158" s="1">
        <f t="shared" si="11"/>
        <v>2.475633899</v>
      </c>
      <c r="V158" s="1">
        <f t="shared" si="12"/>
        <v>0.226227606</v>
      </c>
      <c r="W158" s="1">
        <f t="shared" si="13"/>
        <v>2</v>
      </c>
      <c r="X158" s="1">
        <f t="shared" si="14"/>
        <v>0</v>
      </c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ht="15.75" customHeight="1">
      <c r="A159" s="1"/>
      <c r="B159" s="1">
        <v>7.0</v>
      </c>
      <c r="C159" s="1">
        <v>4.0</v>
      </c>
      <c r="D159" s="1">
        <v>6.0</v>
      </c>
      <c r="E159" s="1">
        <v>4.0</v>
      </c>
      <c r="F159" s="1">
        <v>6.0</v>
      </c>
      <c r="G159" s="3">
        <v>1.0</v>
      </c>
      <c r="H159" s="1">
        <v>4.0</v>
      </c>
      <c r="I159" s="1">
        <v>3.0</v>
      </c>
      <c r="J159" s="1">
        <v>1.0</v>
      </c>
      <c r="K159" s="1">
        <v>4.0</v>
      </c>
      <c r="L159" s="1">
        <f t="shared" ref="L159:N159" si="453">SUMPRODUCT($B159:$J159, INDEX($B$2:$J$4, L$10, 0)) + INDEX($K$2:$K$4, L$10,1)</f>
        <v>21.55067862</v>
      </c>
      <c r="M159" s="1">
        <f t="shared" si="453"/>
        <v>19.5356154</v>
      </c>
      <c r="N159" s="1">
        <f t="shared" si="453"/>
        <v>20.15296005</v>
      </c>
      <c r="O159" s="1">
        <f t="shared" ref="O159:Q159" si="454">(L159-L$7)/(L$6-L$7)</f>
        <v>0.2238936898</v>
      </c>
      <c r="P159" s="1">
        <f t="shared" si="454"/>
        <v>0.2055916959</v>
      </c>
      <c r="Q159" s="1">
        <f t="shared" si="454"/>
        <v>0.2108136596</v>
      </c>
      <c r="R159" s="1">
        <f t="shared" ref="R159:T159" si="455">1/(1+EXP(-O159))</f>
        <v>0.5557407672</v>
      </c>
      <c r="S159" s="1">
        <f t="shared" si="455"/>
        <v>0.5512176456</v>
      </c>
      <c r="T159" s="1">
        <f t="shared" si="455"/>
        <v>0.5525090896</v>
      </c>
      <c r="U159" s="1">
        <f t="shared" si="11"/>
        <v>2.737238713</v>
      </c>
      <c r="V159" s="1">
        <f t="shared" si="12"/>
        <v>1.594566067</v>
      </c>
      <c r="W159" s="1">
        <f t="shared" si="13"/>
        <v>2</v>
      </c>
      <c r="X159" s="1">
        <f t="shared" si="14"/>
        <v>1</v>
      </c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ht="15.75" customHeight="1">
      <c r="A160" s="1"/>
      <c r="B160" s="1">
        <v>6.0</v>
      </c>
      <c r="C160" s="1">
        <v>3.0</v>
      </c>
      <c r="D160" s="1">
        <v>4.0</v>
      </c>
      <c r="E160" s="1">
        <v>1.0</v>
      </c>
      <c r="F160" s="1">
        <v>5.0</v>
      </c>
      <c r="G160" s="3">
        <v>2.0</v>
      </c>
      <c r="H160" s="1">
        <v>3.0</v>
      </c>
      <c r="I160" s="1">
        <v>9.0</v>
      </c>
      <c r="J160" s="1">
        <v>1.0</v>
      </c>
      <c r="K160" s="1">
        <v>4.0</v>
      </c>
      <c r="L160" s="1">
        <f t="shared" ref="L160:N160" si="456">SUMPRODUCT($B160:$J160, INDEX($B$2:$J$4, L$10, 0)) + INDEX($K$2:$K$4, L$10,1)</f>
        <v>21.60755354</v>
      </c>
      <c r="M160" s="1">
        <f t="shared" si="456"/>
        <v>20.33731891</v>
      </c>
      <c r="N160" s="1">
        <f t="shared" si="456"/>
        <v>20.83449873</v>
      </c>
      <c r="O160" s="1">
        <f t="shared" ref="O160:Q160" si="457">(L160-L$7)/(L$6-L$7)</f>
        <v>0.2248237275</v>
      </c>
      <c r="P160" s="1">
        <f t="shared" si="457"/>
        <v>0.2193200337</v>
      </c>
      <c r="Q160" s="1">
        <f t="shared" si="457"/>
        <v>0.2223389288</v>
      </c>
      <c r="R160" s="1">
        <f t="shared" ref="R160:T160" si="458">1/(1+EXP(-O160))</f>
        <v>0.5559703751</v>
      </c>
      <c r="S160" s="1">
        <f t="shared" si="458"/>
        <v>0.5546112777</v>
      </c>
      <c r="T160" s="1">
        <f t="shared" si="458"/>
        <v>0.5553568745</v>
      </c>
      <c r="U160" s="1">
        <f t="shared" si="11"/>
        <v>2.748088135</v>
      </c>
      <c r="V160" s="1">
        <f t="shared" si="12"/>
        <v>1.567283318</v>
      </c>
      <c r="W160" s="1">
        <f t="shared" si="13"/>
        <v>2</v>
      </c>
      <c r="X160" s="1">
        <f t="shared" si="14"/>
        <v>1</v>
      </c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ht="15.75" customHeight="1">
      <c r="A161" s="1"/>
      <c r="B161" s="1">
        <v>2.0</v>
      </c>
      <c r="C161" s="1">
        <v>1.0</v>
      </c>
      <c r="D161" s="1">
        <v>1.0</v>
      </c>
      <c r="E161" s="1">
        <v>1.0</v>
      </c>
      <c r="F161" s="1">
        <v>2.0</v>
      </c>
      <c r="G161" s="3">
        <v>1.0</v>
      </c>
      <c r="H161" s="1">
        <v>3.0</v>
      </c>
      <c r="I161" s="1">
        <v>1.0</v>
      </c>
      <c r="J161" s="1">
        <v>1.0</v>
      </c>
      <c r="K161" s="1">
        <v>2.0</v>
      </c>
      <c r="L161" s="1">
        <f t="shared" ref="L161:N161" si="459">SUMPRODUCT($B161:$J161, INDEX($B$2:$J$4, L$10, 0)) + INDEX($K$2:$K$4, L$10,1)</f>
        <v>8.001601743</v>
      </c>
      <c r="M161" s="1">
        <f t="shared" si="459"/>
        <v>7.549033273</v>
      </c>
      <c r="N161" s="1">
        <f t="shared" si="459"/>
        <v>7.696539964</v>
      </c>
      <c r="O161" s="1">
        <f t="shared" ref="O161:Q161" si="460">(L161-L$7)/(L$6-L$7)</f>
        <v>0.002334662543</v>
      </c>
      <c r="P161" s="1">
        <f t="shared" si="460"/>
        <v>0.0003339577008</v>
      </c>
      <c r="Q161" s="1">
        <f t="shared" si="460"/>
        <v>0.0001673658917</v>
      </c>
      <c r="R161" s="1">
        <f t="shared" ref="R161:T161" si="461">1/(1+EXP(-O161))</f>
        <v>0.5005836654</v>
      </c>
      <c r="S161" s="1">
        <f t="shared" si="461"/>
        <v>0.5000834894</v>
      </c>
      <c r="T161" s="1">
        <f t="shared" si="461"/>
        <v>0.5000418415</v>
      </c>
      <c r="U161" s="1">
        <f t="shared" si="11"/>
        <v>2.475530672</v>
      </c>
      <c r="V161" s="1">
        <f t="shared" si="12"/>
        <v>0.2261294198</v>
      </c>
      <c r="W161" s="1">
        <f t="shared" si="13"/>
        <v>2</v>
      </c>
      <c r="X161" s="1">
        <f t="shared" si="14"/>
        <v>0</v>
      </c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ht="15.75" customHeight="1">
      <c r="A162" s="1"/>
      <c r="B162" s="1">
        <v>10.0</v>
      </c>
      <c r="C162" s="1">
        <v>10.0</v>
      </c>
      <c r="D162" s="1">
        <v>10.0</v>
      </c>
      <c r="E162" s="1">
        <v>8.0</v>
      </c>
      <c r="F162" s="1">
        <v>6.0</v>
      </c>
      <c r="G162" s="3">
        <v>8.0</v>
      </c>
      <c r="H162" s="1">
        <v>7.0</v>
      </c>
      <c r="I162" s="1">
        <v>10.0</v>
      </c>
      <c r="J162" s="1">
        <v>1.0</v>
      </c>
      <c r="K162" s="1">
        <v>4.0</v>
      </c>
      <c r="L162" s="1">
        <f t="shared" ref="L162:N162" si="462">SUMPRODUCT($B162:$J162, INDEX($B$2:$J$4, L$10, 0)) + INDEX($K$2:$K$4, L$10,1)</f>
        <v>62.29837427</v>
      </c>
      <c r="M162" s="1">
        <f t="shared" si="462"/>
        <v>59.41513354</v>
      </c>
      <c r="N162" s="1">
        <f t="shared" si="462"/>
        <v>60.14496256</v>
      </c>
      <c r="O162" s="1">
        <f t="shared" ref="O162:Q162" si="463">(L162-L$7)/(L$6-L$7)</f>
        <v>0.8902136092</v>
      </c>
      <c r="P162" s="1">
        <f t="shared" si="463"/>
        <v>0.8884869204</v>
      </c>
      <c r="Q162" s="1">
        <f t="shared" si="463"/>
        <v>0.8871048448</v>
      </c>
      <c r="R162" s="1">
        <f t="shared" ref="R162:T162" si="464">1/(1+EXP(-O162))</f>
        <v>0.708934252</v>
      </c>
      <c r="S162" s="1">
        <f t="shared" si="464"/>
        <v>0.7085778274</v>
      </c>
      <c r="T162" s="1">
        <f t="shared" si="464"/>
        <v>0.708292353</v>
      </c>
      <c r="U162" s="1">
        <f t="shared" si="11"/>
        <v>3.506680315</v>
      </c>
      <c r="V162" s="1">
        <f t="shared" si="12"/>
        <v>0.2433643118</v>
      </c>
      <c r="W162" s="1">
        <f t="shared" si="13"/>
        <v>4</v>
      </c>
      <c r="X162" s="1">
        <f t="shared" si="14"/>
        <v>0</v>
      </c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ht="15.75" customHeight="1">
      <c r="A163" s="1"/>
      <c r="B163" s="1">
        <v>1.0</v>
      </c>
      <c r="C163" s="1">
        <v>1.0</v>
      </c>
      <c r="D163" s="1">
        <v>1.0</v>
      </c>
      <c r="E163" s="1">
        <v>1.0</v>
      </c>
      <c r="F163" s="1">
        <v>2.0</v>
      </c>
      <c r="G163" s="3">
        <v>1.0</v>
      </c>
      <c r="H163" s="1">
        <v>2.0</v>
      </c>
      <c r="I163" s="1">
        <v>1.0</v>
      </c>
      <c r="J163" s="1">
        <v>1.0</v>
      </c>
      <c r="K163" s="1">
        <v>2.0</v>
      </c>
      <c r="L163" s="1">
        <f t="shared" ref="L163:N163" si="465">SUMPRODUCT($B163:$J163, INDEX($B$2:$J$4, L$10, 0)) + INDEX($K$2:$K$4, L$10,1)</f>
        <v>7.953432454</v>
      </c>
      <c r="M163" s="1">
        <f t="shared" si="465"/>
        <v>7.529531272</v>
      </c>
      <c r="N163" s="1">
        <f t="shared" si="465"/>
        <v>7.686646929</v>
      </c>
      <c r="O163" s="1">
        <f t="shared" ref="O163:Q163" si="466">(L163-L$7)/(L$6-L$7)</f>
        <v>0.001546982238</v>
      </c>
      <c r="P163" s="1">
        <f t="shared" si="466"/>
        <v>0.000000006234892308</v>
      </c>
      <c r="Q163" s="1">
        <f t="shared" si="466"/>
        <v>0.00000006813089816</v>
      </c>
      <c r="R163" s="1">
        <f t="shared" ref="R163:T163" si="467">1/(1+EXP(-O163))</f>
        <v>0.5003867455</v>
      </c>
      <c r="S163" s="1">
        <f t="shared" si="467"/>
        <v>0.5000000016</v>
      </c>
      <c r="T163" s="1">
        <f t="shared" si="467"/>
        <v>0.500000017</v>
      </c>
      <c r="U163" s="1">
        <f t="shared" si="11"/>
        <v>2.475009467</v>
      </c>
      <c r="V163" s="1">
        <f t="shared" si="12"/>
        <v>0.2256339933</v>
      </c>
      <c r="W163" s="1">
        <f t="shared" si="13"/>
        <v>2</v>
      </c>
      <c r="X163" s="1">
        <f t="shared" si="14"/>
        <v>0</v>
      </c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ht="15.75" customHeight="1">
      <c r="A164" s="1"/>
      <c r="B164" s="1">
        <v>8.0</v>
      </c>
      <c r="C164" s="1">
        <v>4.0</v>
      </c>
      <c r="D164" s="1">
        <v>10.0</v>
      </c>
      <c r="E164" s="1">
        <v>5.0</v>
      </c>
      <c r="F164" s="1">
        <v>4.0</v>
      </c>
      <c r="G164" s="3">
        <v>4.0</v>
      </c>
      <c r="H164" s="1">
        <v>7.0</v>
      </c>
      <c r="I164" s="1">
        <v>10.0</v>
      </c>
      <c r="J164" s="1">
        <v>1.0</v>
      </c>
      <c r="K164" s="1">
        <v>4.0</v>
      </c>
      <c r="L164" s="1">
        <f t="shared" ref="L164:N164" si="468">SUMPRODUCT($B164:$J164, INDEX($B$2:$J$4, L$10, 0)) + INDEX($K$2:$K$4, L$10,1)</f>
        <v>39.48989818</v>
      </c>
      <c r="M164" s="1">
        <f t="shared" si="468"/>
        <v>36.45807537</v>
      </c>
      <c r="N164" s="1">
        <f t="shared" si="468"/>
        <v>38.3363884</v>
      </c>
      <c r="O164" s="1">
        <f t="shared" ref="O164:Q164" si="469">(L164-L$7)/(L$6-L$7)</f>
        <v>0.5172417955</v>
      </c>
      <c r="P164" s="1">
        <f t="shared" si="469"/>
        <v>0.4953712027</v>
      </c>
      <c r="Q164" s="1">
        <f t="shared" si="469"/>
        <v>0.5183074468</v>
      </c>
      <c r="R164" s="1">
        <f t="shared" ref="R164:T164" si="470">1/(1+EXP(-O164))</f>
        <v>0.62650258</v>
      </c>
      <c r="S164" s="1">
        <f t="shared" si="470"/>
        <v>0.6213709317</v>
      </c>
      <c r="T164" s="1">
        <f t="shared" si="470"/>
        <v>0.6267519057</v>
      </c>
      <c r="U164" s="1">
        <f t="shared" si="11"/>
        <v>3.092394737</v>
      </c>
      <c r="V164" s="1">
        <f t="shared" si="12"/>
        <v>0.8237473133</v>
      </c>
      <c r="W164" s="1">
        <f t="shared" si="13"/>
        <v>4</v>
      </c>
      <c r="X164" s="1">
        <f t="shared" si="14"/>
        <v>0</v>
      </c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ht="15.75" customHeight="1">
      <c r="A165" s="1"/>
      <c r="B165" s="1">
        <v>1.0</v>
      </c>
      <c r="C165" s="1">
        <v>1.0</v>
      </c>
      <c r="D165" s="1">
        <v>1.0</v>
      </c>
      <c r="E165" s="1">
        <v>1.0</v>
      </c>
      <c r="F165" s="1">
        <v>2.0</v>
      </c>
      <c r="G165" s="3">
        <v>1.0</v>
      </c>
      <c r="H165" s="1">
        <v>3.0</v>
      </c>
      <c r="I165" s="1">
        <v>1.0</v>
      </c>
      <c r="J165" s="1">
        <v>1.0</v>
      </c>
      <c r="K165" s="1">
        <v>2.0</v>
      </c>
      <c r="L165" s="1">
        <f t="shared" ref="L165:N165" si="471">SUMPRODUCT($B165:$J165, INDEX($B$2:$J$4, L$10, 0)) + INDEX($K$2:$K$4, L$10,1)</f>
        <v>7.985725177</v>
      </c>
      <c r="M165" s="1">
        <f t="shared" si="471"/>
        <v>7.529531272</v>
      </c>
      <c r="N165" s="1">
        <f t="shared" si="471"/>
        <v>7.686650958</v>
      </c>
      <c r="O165" s="1">
        <f t="shared" ref="O165:Q165" si="472">(L165-L$7)/(L$6-L$7)</f>
        <v>0.002075043622</v>
      </c>
      <c r="P165" s="1">
        <f t="shared" si="472"/>
        <v>0.000000006234892308</v>
      </c>
      <c r="Q165" s="1">
        <f t="shared" si="472"/>
        <v>0.0000001362617963</v>
      </c>
      <c r="R165" s="1">
        <f t="shared" ref="R165:T165" si="473">1/(1+EXP(-O165))</f>
        <v>0.5005187607</v>
      </c>
      <c r="S165" s="1">
        <f t="shared" si="473"/>
        <v>0.5000000016</v>
      </c>
      <c r="T165" s="1">
        <f t="shared" si="473"/>
        <v>0.5000000341</v>
      </c>
      <c r="U165" s="1">
        <f t="shared" si="11"/>
        <v>2.475218456</v>
      </c>
      <c r="V165" s="1">
        <f t="shared" si="12"/>
        <v>0.2258325805</v>
      </c>
      <c r="W165" s="1">
        <f t="shared" si="13"/>
        <v>2</v>
      </c>
      <c r="X165" s="1">
        <f t="shared" si="14"/>
        <v>0</v>
      </c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ht="15.75" customHeight="1">
      <c r="A166" s="1"/>
      <c r="B166" s="1">
        <v>5.0</v>
      </c>
      <c r="C166" s="1">
        <v>1.0</v>
      </c>
      <c r="D166" s="1">
        <v>1.0</v>
      </c>
      <c r="E166" s="1">
        <v>1.0</v>
      </c>
      <c r="F166" s="1">
        <v>2.0</v>
      </c>
      <c r="G166" s="3">
        <v>1.0</v>
      </c>
      <c r="H166" s="1">
        <v>2.0</v>
      </c>
      <c r="I166" s="1">
        <v>2.0</v>
      </c>
      <c r="J166" s="1">
        <v>1.0</v>
      </c>
      <c r="K166" s="1">
        <v>2.0</v>
      </c>
      <c r="L166" s="1">
        <f t="shared" ref="L166:N166" si="474">SUMPRODUCT($B166:$J166, INDEX($B$2:$J$4, L$10, 0)) + INDEX($K$2:$K$4, L$10,1)</f>
        <v>8.301557982</v>
      </c>
      <c r="M166" s="1">
        <f t="shared" si="474"/>
        <v>7.900331323</v>
      </c>
      <c r="N166" s="1">
        <f t="shared" si="474"/>
        <v>8.026607561</v>
      </c>
      <c r="O166" s="1">
        <f t="shared" ref="O166:Q166" si="475">(L166-L$7)/(L$6-L$7)</f>
        <v>0.007239647069</v>
      </c>
      <c r="P166" s="1">
        <f t="shared" si="475"/>
        <v>0.006349571029</v>
      </c>
      <c r="Q166" s="1">
        <f t="shared" si="475"/>
        <v>0.005749027036</v>
      </c>
      <c r="R166" s="1">
        <f t="shared" ref="R166:T166" si="476">1/(1+EXP(-O166))</f>
        <v>0.5018099039</v>
      </c>
      <c r="S166" s="1">
        <f t="shared" si="476"/>
        <v>0.5015873874</v>
      </c>
      <c r="T166" s="1">
        <f t="shared" si="476"/>
        <v>0.5014372528</v>
      </c>
      <c r="U166" s="1">
        <f t="shared" si="11"/>
        <v>2.482347473</v>
      </c>
      <c r="V166" s="1">
        <f t="shared" si="12"/>
        <v>0.2326590843</v>
      </c>
      <c r="W166" s="1">
        <f t="shared" si="13"/>
        <v>2</v>
      </c>
      <c r="X166" s="1">
        <f t="shared" si="14"/>
        <v>0</v>
      </c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ht="15.75" customHeight="1">
      <c r="A167" s="1"/>
      <c r="B167" s="1">
        <v>5.0</v>
      </c>
      <c r="C167" s="1">
        <v>1.0</v>
      </c>
      <c r="D167" s="1">
        <v>1.0</v>
      </c>
      <c r="E167" s="1">
        <v>1.0</v>
      </c>
      <c r="F167" s="1">
        <v>2.0</v>
      </c>
      <c r="G167" s="3">
        <v>1.0</v>
      </c>
      <c r="H167" s="1">
        <v>1.0</v>
      </c>
      <c r="I167" s="1">
        <v>1.0</v>
      </c>
      <c r="J167" s="1">
        <v>1.0</v>
      </c>
      <c r="K167" s="1">
        <v>2.0</v>
      </c>
      <c r="L167" s="1">
        <f t="shared" ref="L167:N167" si="477">SUMPRODUCT($B167:$J167, INDEX($B$2:$J$4, L$10, 0)) + INDEX($K$2:$K$4, L$10,1)</f>
        <v>7.984645998</v>
      </c>
      <c r="M167" s="1">
        <f t="shared" si="477"/>
        <v>7.607539277</v>
      </c>
      <c r="N167" s="1">
        <f t="shared" si="477"/>
        <v>7.726198925</v>
      </c>
      <c r="O167" s="1">
        <f t="shared" ref="O167:Q167" si="478">(L167-L$7)/(L$6-L$7)</f>
        <v>0.002057396537</v>
      </c>
      <c r="P167" s="1">
        <f t="shared" si="478"/>
        <v>0.001335812098</v>
      </c>
      <c r="Q167" s="1">
        <f t="shared" si="478"/>
        <v>0.0006689185196</v>
      </c>
      <c r="R167" s="1">
        <f t="shared" ref="R167:T167" si="479">1/(1+EXP(-O167))</f>
        <v>0.500514349</v>
      </c>
      <c r="S167" s="1">
        <f t="shared" si="479"/>
        <v>0.500333953</v>
      </c>
      <c r="T167" s="1">
        <f t="shared" si="479"/>
        <v>0.5001672296</v>
      </c>
      <c r="U167" s="1">
        <f t="shared" si="11"/>
        <v>2.476049343</v>
      </c>
      <c r="V167" s="1">
        <f t="shared" si="12"/>
        <v>0.2266229766</v>
      </c>
      <c r="W167" s="1">
        <f t="shared" si="13"/>
        <v>2</v>
      </c>
      <c r="X167" s="1">
        <f t="shared" si="14"/>
        <v>0</v>
      </c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ht="15.75" customHeight="1">
      <c r="A168" s="1"/>
      <c r="B168" s="1">
        <v>5.0</v>
      </c>
      <c r="C168" s="1">
        <v>1.0</v>
      </c>
      <c r="D168" s="1">
        <v>1.0</v>
      </c>
      <c r="E168" s="1">
        <v>1.0</v>
      </c>
      <c r="F168" s="1">
        <v>2.0</v>
      </c>
      <c r="G168" s="3">
        <v>2.0</v>
      </c>
      <c r="H168" s="1">
        <v>2.0</v>
      </c>
      <c r="I168" s="1">
        <v>1.0</v>
      </c>
      <c r="J168" s="1">
        <v>1.0</v>
      </c>
      <c r="K168" s="1">
        <v>2.0</v>
      </c>
      <c r="L168" s="1">
        <f t="shared" ref="L168:N168" si="480">SUMPRODUCT($B168:$J168, INDEX($B$2:$J$4, L$10, 0)) + INDEX($K$2:$K$4, L$10,1)</f>
        <v>11.26277958</v>
      </c>
      <c r="M168" s="1">
        <f t="shared" si="480"/>
        <v>10.86359286</v>
      </c>
      <c r="N168" s="1">
        <f t="shared" si="480"/>
        <v>11.06138636</v>
      </c>
      <c r="O168" s="1">
        <f t="shared" ref="O168:Q168" si="481">(L168-L$7)/(L$6-L$7)</f>
        <v>0.05566253092</v>
      </c>
      <c r="P168" s="1">
        <f t="shared" si="481"/>
        <v>0.05709233942</v>
      </c>
      <c r="Q168" s="1">
        <f t="shared" si="481"/>
        <v>0.05706914159</v>
      </c>
      <c r="R168" s="1">
        <f t="shared" ref="R168:T168" si="482">1/(1+EXP(-O168))</f>
        <v>0.5139120409</v>
      </c>
      <c r="S168" s="1">
        <f t="shared" si="482"/>
        <v>0.5142692092</v>
      </c>
      <c r="T168" s="1">
        <f t="shared" si="482"/>
        <v>0.5142634144</v>
      </c>
      <c r="U168" s="1">
        <f t="shared" si="11"/>
        <v>2.544437374</v>
      </c>
      <c r="V168" s="1">
        <f t="shared" si="12"/>
        <v>0.2964120539</v>
      </c>
      <c r="W168" s="1">
        <f t="shared" si="13"/>
        <v>2</v>
      </c>
      <c r="X168" s="1">
        <f t="shared" si="14"/>
        <v>0</v>
      </c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ht="15.75" customHeight="1">
      <c r="A169" s="1"/>
      <c r="B169" s="1">
        <v>5.0</v>
      </c>
      <c r="C169" s="1">
        <v>1.0</v>
      </c>
      <c r="D169" s="1">
        <v>1.0</v>
      </c>
      <c r="E169" s="1">
        <v>3.0</v>
      </c>
      <c r="F169" s="1">
        <v>2.0</v>
      </c>
      <c r="G169" s="3">
        <v>1.0</v>
      </c>
      <c r="H169" s="1">
        <v>1.0</v>
      </c>
      <c r="I169" s="1">
        <v>1.0</v>
      </c>
      <c r="J169" s="1">
        <v>1.0</v>
      </c>
      <c r="K169" s="1">
        <v>2.0</v>
      </c>
      <c r="L169" s="1">
        <f t="shared" ref="L169:N169" si="483">SUMPRODUCT($B169:$J169, INDEX($B$2:$J$4, L$10, 0)) + INDEX($K$2:$K$4, L$10,1)</f>
        <v>8.048777191</v>
      </c>
      <c r="M169" s="1">
        <f t="shared" si="483"/>
        <v>7.607539277</v>
      </c>
      <c r="N169" s="1">
        <f t="shared" si="483"/>
        <v>7.731795452</v>
      </c>
      <c r="O169" s="1">
        <f t="shared" ref="O169:Q169" si="484">(L169-L$7)/(L$6-L$7)</f>
        <v>0.003106091205</v>
      </c>
      <c r="P169" s="1">
        <f t="shared" si="484"/>
        <v>0.001335812098</v>
      </c>
      <c r="Q169" s="1">
        <f t="shared" si="484"/>
        <v>0.000763559479</v>
      </c>
      <c r="R169" s="1">
        <f t="shared" ref="R169:T169" si="485">1/(1+EXP(-O169))</f>
        <v>0.5007765222</v>
      </c>
      <c r="S169" s="1">
        <f t="shared" si="485"/>
        <v>0.500333953</v>
      </c>
      <c r="T169" s="1">
        <f t="shared" si="485"/>
        <v>0.5001908899</v>
      </c>
      <c r="U169" s="1">
        <f t="shared" si="11"/>
        <v>2.476504929</v>
      </c>
      <c r="V169" s="1">
        <f t="shared" si="12"/>
        <v>0.2270569473</v>
      </c>
      <c r="W169" s="1">
        <f t="shared" si="13"/>
        <v>2</v>
      </c>
      <c r="X169" s="1">
        <f t="shared" si="14"/>
        <v>0</v>
      </c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ht="15.75" customHeight="1">
      <c r="A170" s="1"/>
      <c r="B170" s="1">
        <v>7.0</v>
      </c>
      <c r="C170" s="1">
        <v>1.0</v>
      </c>
      <c r="D170" s="1">
        <v>2.0</v>
      </c>
      <c r="E170" s="1">
        <v>3.0</v>
      </c>
      <c r="F170" s="1">
        <v>2.0</v>
      </c>
      <c r="G170" s="3">
        <v>1.0</v>
      </c>
      <c r="H170" s="1">
        <v>2.0</v>
      </c>
      <c r="I170" s="1">
        <v>1.0</v>
      </c>
      <c r="J170" s="1">
        <v>1.0</v>
      </c>
      <c r="K170" s="1">
        <v>2.0</v>
      </c>
      <c r="L170" s="1">
        <f t="shared" ref="L170:N170" si="486">SUMPRODUCT($B170:$J170, INDEX($B$2:$J$4, L$10, 0)) + INDEX($K$2:$K$4, L$10,1)</f>
        <v>9.66011372</v>
      </c>
      <c r="M170" s="1">
        <f t="shared" si="486"/>
        <v>8.917856683</v>
      </c>
      <c r="N170" s="1">
        <f t="shared" si="486"/>
        <v>9.267164125</v>
      </c>
      <c r="O170" s="1">
        <f t="shared" ref="O170:Q170" si="487">(L170-L$7)/(L$6-L$7)</f>
        <v>0.02945520393</v>
      </c>
      <c r="P170" s="1">
        <f t="shared" si="487"/>
        <v>0.02377363335</v>
      </c>
      <c r="Q170" s="1">
        <f t="shared" si="487"/>
        <v>0.02672765816</v>
      </c>
      <c r="R170" s="1">
        <f t="shared" ref="R170:T170" si="488">1/(1+EXP(-O170))</f>
        <v>0.5073632686</v>
      </c>
      <c r="S170" s="1">
        <f t="shared" si="488"/>
        <v>0.5059431284</v>
      </c>
      <c r="T170" s="1">
        <f t="shared" si="488"/>
        <v>0.5066815168</v>
      </c>
      <c r="U170" s="1">
        <f t="shared" si="11"/>
        <v>2.507323713</v>
      </c>
      <c r="V170" s="1">
        <f t="shared" si="12"/>
        <v>0.2573773497</v>
      </c>
      <c r="W170" s="1">
        <f t="shared" si="13"/>
        <v>2</v>
      </c>
      <c r="X170" s="1">
        <f t="shared" si="14"/>
        <v>0</v>
      </c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ht="15.75" customHeight="1">
      <c r="A171" s="1"/>
      <c r="B171" s="1">
        <v>2.0</v>
      </c>
      <c r="C171" s="1">
        <v>1.0</v>
      </c>
      <c r="D171" s="1">
        <v>1.0</v>
      </c>
      <c r="E171" s="1">
        <v>1.0</v>
      </c>
      <c r="F171" s="1">
        <v>2.0</v>
      </c>
      <c r="G171" s="3">
        <v>1.0</v>
      </c>
      <c r="H171" s="1">
        <v>1.0</v>
      </c>
      <c r="I171" s="1">
        <v>1.0</v>
      </c>
      <c r="J171" s="1">
        <v>5.0</v>
      </c>
      <c r="K171" s="1">
        <v>2.0</v>
      </c>
      <c r="L171" s="1">
        <f t="shared" ref="L171:N171" si="489">SUMPRODUCT($B171:$J171, INDEX($B$2:$J$4, L$10, 0)) + INDEX($K$2:$K$4, L$10,1)</f>
        <v>7.937016298</v>
      </c>
      <c r="M171" s="1">
        <f t="shared" si="489"/>
        <v>7.549033273</v>
      </c>
      <c r="N171" s="1">
        <f t="shared" si="489"/>
        <v>7.696531906</v>
      </c>
      <c r="O171" s="1">
        <f t="shared" ref="O171:Q171" si="490">(L171-L$7)/(L$6-L$7)</f>
        <v>0.001278539775</v>
      </c>
      <c r="P171" s="1">
        <f t="shared" si="490"/>
        <v>0.0003339577008</v>
      </c>
      <c r="Q171" s="1">
        <f t="shared" si="490"/>
        <v>0.0001672296299</v>
      </c>
      <c r="R171" s="1">
        <f t="shared" ref="R171:T171" si="491">1/(1+EXP(-O171))</f>
        <v>0.5003196349</v>
      </c>
      <c r="S171" s="1">
        <f t="shared" si="491"/>
        <v>0.5000834894</v>
      </c>
      <c r="T171" s="1">
        <f t="shared" si="491"/>
        <v>0.5000418074</v>
      </c>
      <c r="U171" s="1">
        <f t="shared" si="11"/>
        <v>2.475112694</v>
      </c>
      <c r="V171" s="1">
        <f t="shared" si="12"/>
        <v>0.2257320719</v>
      </c>
      <c r="W171" s="1">
        <f t="shared" si="13"/>
        <v>2</v>
      </c>
      <c r="X171" s="1">
        <f t="shared" si="14"/>
        <v>0</v>
      </c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ht="15.75" customHeight="1">
      <c r="A172" s="1"/>
      <c r="B172" s="1">
        <v>2.0</v>
      </c>
      <c r="C172" s="1">
        <v>1.0</v>
      </c>
      <c r="D172" s="1">
        <v>1.0</v>
      </c>
      <c r="E172" s="1">
        <v>1.0</v>
      </c>
      <c r="F172" s="1">
        <v>2.0</v>
      </c>
      <c r="G172" s="3">
        <v>1.0</v>
      </c>
      <c r="H172" s="1">
        <v>3.0</v>
      </c>
      <c r="I172" s="1">
        <v>1.0</v>
      </c>
      <c r="J172" s="1">
        <v>1.0</v>
      </c>
      <c r="K172" s="1">
        <v>2.0</v>
      </c>
      <c r="L172" s="1">
        <f t="shared" ref="L172:N172" si="492">SUMPRODUCT($B172:$J172, INDEX($B$2:$J$4, L$10, 0)) + INDEX($K$2:$K$4, L$10,1)</f>
        <v>8.001601743</v>
      </c>
      <c r="M172" s="1">
        <f t="shared" si="492"/>
        <v>7.549033273</v>
      </c>
      <c r="N172" s="1">
        <f t="shared" si="492"/>
        <v>7.696539964</v>
      </c>
      <c r="O172" s="1">
        <f t="shared" ref="O172:Q172" si="493">(L172-L$7)/(L$6-L$7)</f>
        <v>0.002334662543</v>
      </c>
      <c r="P172" s="1">
        <f t="shared" si="493"/>
        <v>0.0003339577008</v>
      </c>
      <c r="Q172" s="1">
        <f t="shared" si="493"/>
        <v>0.0001673658917</v>
      </c>
      <c r="R172" s="1">
        <f t="shared" ref="R172:T172" si="494">1/(1+EXP(-O172))</f>
        <v>0.5005836654</v>
      </c>
      <c r="S172" s="1">
        <f t="shared" si="494"/>
        <v>0.5000834894</v>
      </c>
      <c r="T172" s="1">
        <f t="shared" si="494"/>
        <v>0.5000418415</v>
      </c>
      <c r="U172" s="1">
        <f t="shared" si="11"/>
        <v>2.475530672</v>
      </c>
      <c r="V172" s="1">
        <f t="shared" si="12"/>
        <v>0.2261294198</v>
      </c>
      <c r="W172" s="1">
        <f t="shared" si="13"/>
        <v>2</v>
      </c>
      <c r="X172" s="1">
        <f t="shared" si="14"/>
        <v>0</v>
      </c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ht="15.75" customHeight="1">
      <c r="A173" s="1"/>
      <c r="B173" s="1">
        <v>9.0</v>
      </c>
      <c r="C173" s="1">
        <v>7.0</v>
      </c>
      <c r="D173" s="1">
        <v>7.0</v>
      </c>
      <c r="E173" s="1">
        <v>5.0</v>
      </c>
      <c r="F173" s="1">
        <v>5.0</v>
      </c>
      <c r="G173" s="3">
        <v>10.0</v>
      </c>
      <c r="H173" s="1">
        <v>7.0</v>
      </c>
      <c r="I173" s="1">
        <v>8.0</v>
      </c>
      <c r="J173" s="1">
        <v>3.0</v>
      </c>
      <c r="K173" s="1">
        <v>4.0</v>
      </c>
      <c r="L173" s="1">
        <f t="shared" ref="L173:N173" si="495">SUMPRODUCT($B173:$J173, INDEX($B$2:$J$4, L$10, 0)) + INDEX($K$2:$K$4, L$10,1)</f>
        <v>58.61829071</v>
      </c>
      <c r="M173" s="1">
        <f t="shared" si="495"/>
        <v>56.56129448</v>
      </c>
      <c r="N173" s="1">
        <f t="shared" si="495"/>
        <v>57.4296426</v>
      </c>
      <c r="O173" s="1">
        <f t="shared" ref="O173:Q173" si="496">(L173-L$7)/(L$6-L$7)</f>
        <v>0.8300356545</v>
      </c>
      <c r="P173" s="1">
        <f t="shared" si="496"/>
        <v>0.839617898</v>
      </c>
      <c r="Q173" s="1">
        <f t="shared" si="496"/>
        <v>0.8411869902</v>
      </c>
      <c r="R173" s="1">
        <f t="shared" ref="R173:T173" si="497">1/(1+EXP(-O173))</f>
        <v>0.6963624687</v>
      </c>
      <c r="S173" s="1">
        <f t="shared" si="497"/>
        <v>0.6983847348</v>
      </c>
      <c r="T173" s="1">
        <f t="shared" si="497"/>
        <v>0.6987151509</v>
      </c>
      <c r="U173" s="1">
        <f t="shared" si="11"/>
        <v>3.453528711</v>
      </c>
      <c r="V173" s="1">
        <f t="shared" si="12"/>
        <v>0.2986308699</v>
      </c>
      <c r="W173" s="1">
        <f t="shared" si="13"/>
        <v>4</v>
      </c>
      <c r="X173" s="1">
        <f t="shared" si="14"/>
        <v>0</v>
      </c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ht="15.75" customHeight="1">
      <c r="A174" s="1"/>
      <c r="B174" s="1">
        <v>5.0</v>
      </c>
      <c r="C174" s="1">
        <v>10.0</v>
      </c>
      <c r="D174" s="1">
        <v>10.0</v>
      </c>
      <c r="E174" s="1">
        <v>9.0</v>
      </c>
      <c r="F174" s="1">
        <v>6.0</v>
      </c>
      <c r="G174" s="3">
        <v>10.0</v>
      </c>
      <c r="H174" s="1">
        <v>7.0</v>
      </c>
      <c r="I174" s="1">
        <v>10.0</v>
      </c>
      <c r="J174" s="1">
        <v>5.0</v>
      </c>
      <c r="K174" s="1">
        <v>4.0</v>
      </c>
      <c r="L174" s="1">
        <f t="shared" ref="L174:N174" si="498">SUMPRODUCT($B174:$J174, INDEX($B$2:$J$4, L$10, 0)) + INDEX($K$2:$K$4, L$10,1)</f>
        <v>68.74273874</v>
      </c>
      <c r="M174" s="1">
        <f t="shared" si="498"/>
        <v>65.8297307</v>
      </c>
      <c r="N174" s="1">
        <f t="shared" si="498"/>
        <v>66.7686826</v>
      </c>
      <c r="O174" s="1">
        <f t="shared" ref="O174:Q174" si="499">(L174-L$7)/(L$6-L$7)</f>
        <v>0.9955940079</v>
      </c>
      <c r="P174" s="1">
        <f t="shared" si="499"/>
        <v>0.9983302177</v>
      </c>
      <c r="Q174" s="1">
        <f t="shared" si="499"/>
        <v>0.999116327</v>
      </c>
      <c r="R174" s="1">
        <f t="shared" ref="R174:T174" si="500">1/(1+EXP(-O174))</f>
        <v>0.7301914266</v>
      </c>
      <c r="S174" s="1">
        <f t="shared" si="500"/>
        <v>0.7307301529</v>
      </c>
      <c r="T174" s="1">
        <f t="shared" si="500"/>
        <v>0.7308848025</v>
      </c>
      <c r="U174" s="1">
        <f t="shared" si="11"/>
        <v>3.615646096</v>
      </c>
      <c r="V174" s="1">
        <f t="shared" si="12"/>
        <v>0.1477279236</v>
      </c>
      <c r="W174" s="1">
        <f t="shared" si="13"/>
        <v>4</v>
      </c>
      <c r="X174" s="1">
        <f t="shared" si="14"/>
        <v>0</v>
      </c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ht="15.75" customHeight="1">
      <c r="A175" s="1"/>
      <c r="B175" s="1">
        <v>1.0</v>
      </c>
      <c r="C175" s="1">
        <v>1.0</v>
      </c>
      <c r="D175" s="1">
        <v>1.0</v>
      </c>
      <c r="E175" s="1">
        <v>1.0</v>
      </c>
      <c r="F175" s="1">
        <v>2.0</v>
      </c>
      <c r="G175" s="3">
        <v>1.0</v>
      </c>
      <c r="H175" s="1">
        <v>3.0</v>
      </c>
      <c r="I175" s="1">
        <v>1.0</v>
      </c>
      <c r="J175" s="1">
        <v>1.0</v>
      </c>
      <c r="K175" s="1">
        <v>2.0</v>
      </c>
      <c r="L175" s="1">
        <f t="shared" ref="L175:N175" si="501">SUMPRODUCT($B175:$J175, INDEX($B$2:$J$4, L$10, 0)) + INDEX($K$2:$K$4, L$10,1)</f>
        <v>7.985725177</v>
      </c>
      <c r="M175" s="1">
        <f t="shared" si="501"/>
        <v>7.529531272</v>
      </c>
      <c r="N175" s="1">
        <f t="shared" si="501"/>
        <v>7.686650958</v>
      </c>
      <c r="O175" s="1">
        <f t="shared" ref="O175:Q175" si="502">(L175-L$7)/(L$6-L$7)</f>
        <v>0.002075043622</v>
      </c>
      <c r="P175" s="1">
        <f t="shared" si="502"/>
        <v>0.000000006234892308</v>
      </c>
      <c r="Q175" s="1">
        <f t="shared" si="502"/>
        <v>0.0000001362617963</v>
      </c>
      <c r="R175" s="1">
        <f t="shared" ref="R175:T175" si="503">1/(1+EXP(-O175))</f>
        <v>0.5005187607</v>
      </c>
      <c r="S175" s="1">
        <f t="shared" si="503"/>
        <v>0.5000000016</v>
      </c>
      <c r="T175" s="1">
        <f t="shared" si="503"/>
        <v>0.5000000341</v>
      </c>
      <c r="U175" s="1">
        <f t="shared" si="11"/>
        <v>2.475218456</v>
      </c>
      <c r="V175" s="1">
        <f t="shared" si="12"/>
        <v>0.2258325805</v>
      </c>
      <c r="W175" s="1">
        <f t="shared" si="13"/>
        <v>2</v>
      </c>
      <c r="X175" s="1">
        <f t="shared" si="14"/>
        <v>0</v>
      </c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ht="15.75" customHeight="1">
      <c r="A176" s="1"/>
      <c r="B176" s="1">
        <v>5.0</v>
      </c>
      <c r="C176" s="1">
        <v>4.0</v>
      </c>
      <c r="D176" s="1">
        <v>6.0</v>
      </c>
      <c r="E176" s="1">
        <v>10.0</v>
      </c>
      <c r="F176" s="1">
        <v>2.0</v>
      </c>
      <c r="G176" s="3">
        <v>10.0</v>
      </c>
      <c r="H176" s="1">
        <v>4.0</v>
      </c>
      <c r="I176" s="1">
        <v>1.0</v>
      </c>
      <c r="J176" s="1">
        <v>1.0</v>
      </c>
      <c r="K176" s="1">
        <v>4.0</v>
      </c>
      <c r="L176" s="1">
        <f t="shared" ref="L176:N176" si="504">SUMPRODUCT($B176:$J176, INDEX($B$2:$J$4, L$10, 0)) + INDEX($K$2:$K$4, L$10,1)</f>
        <v>50.10540654</v>
      </c>
      <c r="M176" s="1">
        <f t="shared" si="504"/>
        <v>48.2155081</v>
      </c>
      <c r="N176" s="1">
        <f t="shared" si="504"/>
        <v>49.56581305</v>
      </c>
      <c r="O176" s="1">
        <f t="shared" ref="O176:Q176" si="505">(L176-L$7)/(L$6-L$7)</f>
        <v>0.6908301312</v>
      </c>
      <c r="P176" s="1">
        <f t="shared" si="505"/>
        <v>0.6967049961</v>
      </c>
      <c r="Q176" s="1">
        <f t="shared" si="505"/>
        <v>0.7082044369</v>
      </c>
      <c r="R176" s="1">
        <f t="shared" ref="R176:T176" si="506">1/(1+EXP(-O176))</f>
        <v>0.6661515681</v>
      </c>
      <c r="S176" s="1">
        <f t="shared" si="506"/>
        <v>0.667456823</v>
      </c>
      <c r="T176" s="1">
        <f t="shared" si="506"/>
        <v>0.6700042847</v>
      </c>
      <c r="U176" s="1">
        <f t="shared" si="11"/>
        <v>3.305412732</v>
      </c>
      <c r="V176" s="1">
        <f t="shared" si="12"/>
        <v>0.4824514727</v>
      </c>
      <c r="W176" s="1">
        <f t="shared" si="13"/>
        <v>4</v>
      </c>
      <c r="X176" s="1">
        <f t="shared" si="14"/>
        <v>0</v>
      </c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ht="15.75" customHeight="1">
      <c r="A177" s="1"/>
      <c r="B177" s="1">
        <v>1.0</v>
      </c>
      <c r="C177" s="1">
        <v>1.0</v>
      </c>
      <c r="D177" s="1">
        <v>1.0</v>
      </c>
      <c r="E177" s="1">
        <v>1.0</v>
      </c>
      <c r="F177" s="1">
        <v>2.0</v>
      </c>
      <c r="G177" s="3">
        <v>1.0</v>
      </c>
      <c r="H177" s="1">
        <v>1.0</v>
      </c>
      <c r="I177" s="1">
        <v>1.0</v>
      </c>
      <c r="J177" s="1">
        <v>1.0</v>
      </c>
      <c r="K177" s="1">
        <v>2.0</v>
      </c>
      <c r="L177" s="1">
        <f t="shared" ref="L177:N177" si="507">SUMPRODUCT($B177:$J177, INDEX($B$2:$J$4, L$10, 0)) + INDEX($K$2:$K$4, L$10,1)</f>
        <v>7.921139731</v>
      </c>
      <c r="M177" s="1">
        <f t="shared" si="507"/>
        <v>7.529531272</v>
      </c>
      <c r="N177" s="1">
        <f t="shared" si="507"/>
        <v>7.6866429</v>
      </c>
      <c r="O177" s="1">
        <f t="shared" ref="O177:Q177" si="508">(L177-L$7)/(L$6-L$7)</f>
        <v>0.001018920854</v>
      </c>
      <c r="P177" s="1">
        <f t="shared" si="508"/>
        <v>0.000000006234892308</v>
      </c>
      <c r="Q177" s="1">
        <f t="shared" si="508"/>
        <v>0</v>
      </c>
      <c r="R177" s="1">
        <f t="shared" ref="R177:T177" si="509">1/(1+EXP(-O177))</f>
        <v>0.5002547302</v>
      </c>
      <c r="S177" s="1">
        <f t="shared" si="509"/>
        <v>0.5000000016</v>
      </c>
      <c r="T177" s="1">
        <f t="shared" si="509"/>
        <v>0.5</v>
      </c>
      <c r="U177" s="1">
        <f t="shared" si="11"/>
        <v>2.474800478</v>
      </c>
      <c r="V177" s="1">
        <f t="shared" si="12"/>
        <v>0.2254354935</v>
      </c>
      <c r="W177" s="1">
        <f t="shared" si="13"/>
        <v>2</v>
      </c>
      <c r="X177" s="1">
        <f t="shared" si="14"/>
        <v>0</v>
      </c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ht="15.75" customHeight="1">
      <c r="A178" s="1"/>
      <c r="B178" s="1">
        <v>10.0</v>
      </c>
      <c r="C178" s="1">
        <v>10.0</v>
      </c>
      <c r="D178" s="1">
        <v>8.0</v>
      </c>
      <c r="E178" s="1">
        <v>10.0</v>
      </c>
      <c r="F178" s="1">
        <v>6.0</v>
      </c>
      <c r="G178" s="3">
        <v>5.0</v>
      </c>
      <c r="H178" s="1">
        <v>10.0</v>
      </c>
      <c r="I178" s="1">
        <v>3.0</v>
      </c>
      <c r="J178" s="1">
        <v>1.0</v>
      </c>
      <c r="K178" s="1">
        <v>4.0</v>
      </c>
      <c r="L178" s="1">
        <f t="shared" ref="L178:N178" si="510">SUMPRODUCT($B178:$J178, INDEX($B$2:$J$4, L$10, 0)) + INDEX($K$2:$K$4, L$10,1)</f>
        <v>47.6349449</v>
      </c>
      <c r="M178" s="1">
        <f t="shared" si="510"/>
        <v>45.05480166</v>
      </c>
      <c r="N178" s="1">
        <f t="shared" si="510"/>
        <v>45.01101544</v>
      </c>
      <c r="O178" s="1">
        <f t="shared" ref="O178:Q178" si="511">(L178-L$7)/(L$6-L$7)</f>
        <v>0.650432318</v>
      </c>
      <c r="P178" s="1">
        <f t="shared" si="511"/>
        <v>0.6425811893</v>
      </c>
      <c r="Q178" s="1">
        <f t="shared" si="511"/>
        <v>0.6311798</v>
      </c>
      <c r="R178" s="1">
        <f t="shared" ref="R178:T178" si="512">1/(1+EXP(-O178))</f>
        <v>0.6571078779</v>
      </c>
      <c r="S178" s="1">
        <f t="shared" si="512"/>
        <v>0.6553367087</v>
      </c>
      <c r="T178" s="1">
        <f t="shared" si="512"/>
        <v>0.6527569301</v>
      </c>
      <c r="U178" s="1">
        <f t="shared" si="11"/>
        <v>3.241502699</v>
      </c>
      <c r="V178" s="1">
        <f t="shared" si="12"/>
        <v>0.5753181557</v>
      </c>
      <c r="W178" s="1">
        <f t="shared" si="13"/>
        <v>4</v>
      </c>
      <c r="X178" s="1">
        <f t="shared" si="14"/>
        <v>0</v>
      </c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ht="15.75" customHeight="1">
      <c r="A179" s="1"/>
      <c r="B179" s="1">
        <v>1.0</v>
      </c>
      <c r="C179" s="1">
        <v>1.0</v>
      </c>
      <c r="D179" s="1">
        <v>1.0</v>
      </c>
      <c r="E179" s="1">
        <v>3.0</v>
      </c>
      <c r="F179" s="1">
        <v>2.0</v>
      </c>
      <c r="G179" s="3">
        <v>1.0</v>
      </c>
      <c r="H179" s="1">
        <v>1.0</v>
      </c>
      <c r="I179" s="1">
        <v>1.0</v>
      </c>
      <c r="J179" s="1">
        <v>1.0</v>
      </c>
      <c r="K179" s="1">
        <v>2.0</v>
      </c>
      <c r="L179" s="1">
        <f t="shared" ref="L179:N179" si="513">SUMPRODUCT($B179:$J179, INDEX($B$2:$J$4, L$10, 0)) + INDEX($K$2:$K$4, L$10,1)</f>
        <v>7.985270923</v>
      </c>
      <c r="M179" s="1">
        <f t="shared" si="513"/>
        <v>7.529531272</v>
      </c>
      <c r="N179" s="1">
        <f t="shared" si="513"/>
        <v>7.692239427</v>
      </c>
      <c r="O179" s="1">
        <f t="shared" ref="O179:Q179" si="514">(L179-L$7)/(L$6-L$7)</f>
        <v>0.002067615521</v>
      </c>
      <c r="P179" s="1">
        <f t="shared" si="514"/>
        <v>0.000000006234892308</v>
      </c>
      <c r="Q179" s="1">
        <f t="shared" si="514"/>
        <v>0.00009464095937</v>
      </c>
      <c r="R179" s="1">
        <f t="shared" ref="R179:T179" si="515">1/(1+EXP(-O179))</f>
        <v>0.5005169037</v>
      </c>
      <c r="S179" s="1">
        <f t="shared" si="515"/>
        <v>0.5000000016</v>
      </c>
      <c r="T179" s="1">
        <f t="shared" si="515"/>
        <v>0.5000236602</v>
      </c>
      <c r="U179" s="1">
        <f t="shared" si="11"/>
        <v>2.475256064</v>
      </c>
      <c r="V179" s="1">
        <f t="shared" si="12"/>
        <v>0.2258683267</v>
      </c>
      <c r="W179" s="1">
        <f t="shared" si="13"/>
        <v>2</v>
      </c>
      <c r="X179" s="1">
        <f t="shared" si="14"/>
        <v>0</v>
      </c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ht="15.75" customHeight="1">
      <c r="A180" s="1"/>
      <c r="B180" s="1">
        <v>5.0</v>
      </c>
      <c r="C180" s="1">
        <v>10.0</v>
      </c>
      <c r="D180" s="1">
        <v>10.0</v>
      </c>
      <c r="E180" s="1">
        <v>10.0</v>
      </c>
      <c r="F180" s="1">
        <v>10.0</v>
      </c>
      <c r="G180" s="3">
        <v>2.0</v>
      </c>
      <c r="H180" s="1">
        <v>10.0</v>
      </c>
      <c r="I180" s="1">
        <v>10.0</v>
      </c>
      <c r="J180" s="1">
        <v>10.0</v>
      </c>
      <c r="K180" s="1">
        <v>4.0</v>
      </c>
      <c r="L180" s="1">
        <f t="shared" ref="L180:N180" si="516">SUMPRODUCT($B180:$J180, INDEX($B$2:$J$4, L$10, 0)) + INDEX($K$2:$K$4, L$10,1)</f>
        <v>43.15419737</v>
      </c>
      <c r="M180" s="1">
        <f t="shared" si="516"/>
        <v>39.78130349</v>
      </c>
      <c r="N180" s="1">
        <f t="shared" si="516"/>
        <v>40.09002571</v>
      </c>
      <c r="O180" s="1">
        <f t="shared" ref="O180:Q180" si="517">(L180-L$7)/(L$6-L$7)</f>
        <v>0.5771616388</v>
      </c>
      <c r="P180" s="1">
        <f t="shared" si="517"/>
        <v>0.5522780241</v>
      </c>
      <c r="Q180" s="1">
        <f t="shared" si="517"/>
        <v>0.5479626123</v>
      </c>
      <c r="R180" s="1">
        <f t="shared" ref="R180:T180" si="518">1/(1+EXP(-O180))</f>
        <v>0.6404140383</v>
      </c>
      <c r="S180" s="1">
        <f t="shared" si="518"/>
        <v>0.6346639483</v>
      </c>
      <c r="T180" s="1">
        <f t="shared" si="518"/>
        <v>0.6336627724</v>
      </c>
      <c r="U180" s="1">
        <f t="shared" si="11"/>
        <v>3.148204734</v>
      </c>
      <c r="V180" s="1">
        <f t="shared" si="12"/>
        <v>0.7255551746</v>
      </c>
      <c r="W180" s="1">
        <f t="shared" si="13"/>
        <v>4</v>
      </c>
      <c r="X180" s="1">
        <f t="shared" si="14"/>
        <v>0</v>
      </c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ht="15.75" customHeight="1">
      <c r="A181" s="1"/>
      <c r="B181" s="1">
        <v>6.0</v>
      </c>
      <c r="C181" s="1">
        <v>8.0</v>
      </c>
      <c r="D181" s="1">
        <v>8.0</v>
      </c>
      <c r="E181" s="1">
        <v>1.0</v>
      </c>
      <c r="F181" s="1">
        <v>3.0</v>
      </c>
      <c r="G181" s="3">
        <v>4.0</v>
      </c>
      <c r="H181" s="1">
        <v>3.0</v>
      </c>
      <c r="I181" s="1">
        <v>7.0</v>
      </c>
      <c r="J181" s="1">
        <v>1.0</v>
      </c>
      <c r="K181" s="1">
        <v>2.0</v>
      </c>
      <c r="L181" s="1">
        <f t="shared" ref="L181:N181" si="519">SUMPRODUCT($B181:$J181, INDEX($B$2:$J$4, L$10, 0)) + INDEX($K$2:$K$4, L$10,1)</f>
        <v>41.57165682</v>
      </c>
      <c r="M181" s="1">
        <f t="shared" si="519"/>
        <v>39.59396079</v>
      </c>
      <c r="N181" s="1">
        <f t="shared" si="519"/>
        <v>39.99945929</v>
      </c>
      <c r="O181" s="1">
        <f t="shared" ref="O181:Q181" si="520">(L181-L$7)/(L$6-L$7)</f>
        <v>0.5512834076</v>
      </c>
      <c r="P181" s="1">
        <f t="shared" si="520"/>
        <v>0.5490699754</v>
      </c>
      <c r="Q181" s="1">
        <f t="shared" si="520"/>
        <v>0.5464310744</v>
      </c>
      <c r="R181" s="1">
        <f t="shared" ref="R181:T181" si="521">1/(1+EXP(-O181))</f>
        <v>0.6344333001</v>
      </c>
      <c r="S181" s="1">
        <f t="shared" si="521"/>
        <v>0.6339197913</v>
      </c>
      <c r="T181" s="1">
        <f t="shared" si="521"/>
        <v>0.6333071773</v>
      </c>
      <c r="U181" s="1">
        <f t="shared" si="11"/>
        <v>3.136900222</v>
      </c>
      <c r="V181" s="1">
        <f t="shared" si="12"/>
        <v>1.292542114</v>
      </c>
      <c r="W181" s="1">
        <f t="shared" si="13"/>
        <v>4</v>
      </c>
      <c r="X181" s="1">
        <f t="shared" si="14"/>
        <v>1</v>
      </c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ht="15.75" customHeight="1">
      <c r="A182" s="1"/>
      <c r="B182" s="1">
        <v>2.0</v>
      </c>
      <c r="C182" s="1">
        <v>1.0</v>
      </c>
      <c r="D182" s="1">
        <v>2.0</v>
      </c>
      <c r="E182" s="1">
        <v>1.0</v>
      </c>
      <c r="F182" s="1">
        <v>2.0</v>
      </c>
      <c r="G182" s="3">
        <v>1.0</v>
      </c>
      <c r="H182" s="1">
        <v>3.0</v>
      </c>
      <c r="I182" s="1">
        <v>1.0</v>
      </c>
      <c r="J182" s="1">
        <v>1.0</v>
      </c>
      <c r="K182" s="1">
        <v>2.0</v>
      </c>
      <c r="L182" s="1">
        <f t="shared" ref="L182:N182" si="522">SUMPRODUCT($B182:$J182, INDEX($B$2:$J$4, L$10, 0)) + INDEX($K$2:$K$4, L$10,1)</f>
        <v>9.548892416</v>
      </c>
      <c r="M182" s="1">
        <f t="shared" si="522"/>
        <v>8.820346677</v>
      </c>
      <c r="N182" s="1">
        <f t="shared" si="522"/>
        <v>9.212126596</v>
      </c>
      <c r="O182" s="1">
        <f t="shared" ref="O182:Q182" si="523">(L182-L$7)/(L$6-L$7)</f>
        <v>0.02763647604</v>
      </c>
      <c r="P182" s="1">
        <f t="shared" si="523"/>
        <v>0.02210387602</v>
      </c>
      <c r="Q182" s="1">
        <f t="shared" si="523"/>
        <v>0.02579693718</v>
      </c>
      <c r="R182" s="1">
        <f t="shared" ref="R182:T182" si="524">1/(1+EXP(-O182))</f>
        <v>0.5069086793</v>
      </c>
      <c r="S182" s="1">
        <f t="shared" si="524"/>
        <v>0.505525744</v>
      </c>
      <c r="T182" s="1">
        <f t="shared" si="524"/>
        <v>0.5064488767</v>
      </c>
      <c r="U182" s="1">
        <f t="shared" si="11"/>
        <v>2.505516339</v>
      </c>
      <c r="V182" s="1">
        <f t="shared" si="12"/>
        <v>0.2555467694</v>
      </c>
      <c r="W182" s="1">
        <f t="shared" si="13"/>
        <v>2</v>
      </c>
      <c r="X182" s="1">
        <f t="shared" si="14"/>
        <v>0</v>
      </c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ht="15.75" customHeight="1">
      <c r="A183" s="1"/>
      <c r="B183" s="1">
        <v>3.0</v>
      </c>
      <c r="C183" s="1">
        <v>1.0</v>
      </c>
      <c r="D183" s="1">
        <v>1.0</v>
      </c>
      <c r="E183" s="1">
        <v>1.0</v>
      </c>
      <c r="F183" s="1">
        <v>2.0</v>
      </c>
      <c r="G183" s="3">
        <v>1.0</v>
      </c>
      <c r="H183" s="1">
        <v>1.0</v>
      </c>
      <c r="I183" s="1">
        <v>1.0</v>
      </c>
      <c r="J183" s="1">
        <v>1.0</v>
      </c>
      <c r="K183" s="1">
        <v>2.0</v>
      </c>
      <c r="L183" s="1">
        <f t="shared" ref="L183:N183" si="525">SUMPRODUCT($B183:$J183, INDEX($B$2:$J$4, L$10, 0)) + INDEX($K$2:$K$4, L$10,1)</f>
        <v>7.952892864</v>
      </c>
      <c r="M183" s="1">
        <f t="shared" si="525"/>
        <v>7.568535274</v>
      </c>
      <c r="N183" s="1">
        <f t="shared" si="525"/>
        <v>7.706420913</v>
      </c>
      <c r="O183" s="1">
        <f t="shared" ref="O183:Q183" si="526">(L183-L$7)/(L$6-L$7)</f>
        <v>0.001538158696</v>
      </c>
      <c r="P183" s="1">
        <f t="shared" si="526"/>
        <v>0.0006679091667</v>
      </c>
      <c r="Q183" s="1">
        <f t="shared" si="526"/>
        <v>0.0003344592598</v>
      </c>
      <c r="R183" s="1">
        <f t="shared" ref="R183:T183" si="527">1/(1+EXP(-O183))</f>
        <v>0.5003845396</v>
      </c>
      <c r="S183" s="1">
        <f t="shared" si="527"/>
        <v>0.5001669773</v>
      </c>
      <c r="T183" s="1">
        <f t="shared" si="527"/>
        <v>0.5000836148</v>
      </c>
      <c r="U183" s="1">
        <f t="shared" si="11"/>
        <v>2.47542491</v>
      </c>
      <c r="V183" s="1">
        <f t="shared" si="12"/>
        <v>0.2260288452</v>
      </c>
      <c r="W183" s="1">
        <f t="shared" si="13"/>
        <v>2</v>
      </c>
      <c r="X183" s="1">
        <f t="shared" si="14"/>
        <v>0</v>
      </c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ht="15.75" customHeight="1">
      <c r="A184" s="1"/>
      <c r="B184" s="1">
        <v>3.0</v>
      </c>
      <c r="C184" s="1">
        <v>1.0</v>
      </c>
      <c r="D184" s="1">
        <v>1.0</v>
      </c>
      <c r="E184" s="1">
        <v>1.0</v>
      </c>
      <c r="F184" s="1">
        <v>2.0</v>
      </c>
      <c r="G184" s="3">
        <v>1.0</v>
      </c>
      <c r="H184" s="1">
        <v>3.0</v>
      </c>
      <c r="I184" s="1">
        <v>1.0</v>
      </c>
      <c r="J184" s="1">
        <v>1.0</v>
      </c>
      <c r="K184" s="1">
        <v>2.0</v>
      </c>
      <c r="L184" s="1">
        <f t="shared" ref="L184:N184" si="528">SUMPRODUCT($B184:$J184, INDEX($B$2:$J$4, L$10, 0)) + INDEX($K$2:$K$4, L$10,1)</f>
        <v>8.01747831</v>
      </c>
      <c r="M184" s="1">
        <f t="shared" si="528"/>
        <v>7.568535274</v>
      </c>
      <c r="N184" s="1">
        <f t="shared" si="528"/>
        <v>7.70642897</v>
      </c>
      <c r="O184" s="1">
        <f t="shared" ref="O184:Q184" si="529">(L184-L$7)/(L$6-L$7)</f>
        <v>0.002594281464</v>
      </c>
      <c r="P184" s="1">
        <f t="shared" si="529"/>
        <v>0.0006679091667</v>
      </c>
      <c r="Q184" s="1">
        <f t="shared" si="529"/>
        <v>0.0003345955216</v>
      </c>
      <c r="R184" s="1">
        <f t="shared" ref="R184:T184" si="530">1/(1+EXP(-O184))</f>
        <v>0.50064857</v>
      </c>
      <c r="S184" s="1">
        <f t="shared" si="530"/>
        <v>0.5001669773</v>
      </c>
      <c r="T184" s="1">
        <f t="shared" si="530"/>
        <v>0.5000836489</v>
      </c>
      <c r="U184" s="1">
        <f t="shared" si="11"/>
        <v>2.475842888</v>
      </c>
      <c r="V184" s="1">
        <f t="shared" si="12"/>
        <v>0.226426454</v>
      </c>
      <c r="W184" s="1">
        <f t="shared" si="13"/>
        <v>2</v>
      </c>
      <c r="X184" s="1">
        <f t="shared" si="14"/>
        <v>0</v>
      </c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ht="15.75" customHeight="1">
      <c r="A185" s="1"/>
      <c r="B185" s="1">
        <v>1.0</v>
      </c>
      <c r="C185" s="1">
        <v>1.0</v>
      </c>
      <c r="D185" s="1">
        <v>1.0</v>
      </c>
      <c r="E185" s="1">
        <v>1.0</v>
      </c>
      <c r="F185" s="1">
        <v>2.0</v>
      </c>
      <c r="G185" s="3">
        <v>1.0</v>
      </c>
      <c r="H185" s="1">
        <v>3.0</v>
      </c>
      <c r="I185" s="1">
        <v>1.0</v>
      </c>
      <c r="J185" s="1">
        <v>1.0</v>
      </c>
      <c r="K185" s="1">
        <v>2.0</v>
      </c>
      <c r="L185" s="1">
        <f t="shared" ref="L185:N185" si="531">SUMPRODUCT($B185:$J185, INDEX($B$2:$J$4, L$10, 0)) + INDEX($K$2:$K$4, L$10,1)</f>
        <v>7.985725177</v>
      </c>
      <c r="M185" s="1">
        <f t="shared" si="531"/>
        <v>7.529531272</v>
      </c>
      <c r="N185" s="1">
        <f t="shared" si="531"/>
        <v>7.686650958</v>
      </c>
      <c r="O185" s="1">
        <f t="shared" ref="O185:Q185" si="532">(L185-L$7)/(L$6-L$7)</f>
        <v>0.002075043622</v>
      </c>
      <c r="P185" s="1">
        <f t="shared" si="532"/>
        <v>0.000000006234892308</v>
      </c>
      <c r="Q185" s="1">
        <f t="shared" si="532"/>
        <v>0.0000001362617963</v>
      </c>
      <c r="R185" s="1">
        <f t="shared" ref="R185:T185" si="533">1/(1+EXP(-O185))</f>
        <v>0.5005187607</v>
      </c>
      <c r="S185" s="1">
        <f t="shared" si="533"/>
        <v>0.5000000016</v>
      </c>
      <c r="T185" s="1">
        <f t="shared" si="533"/>
        <v>0.5000000341</v>
      </c>
      <c r="U185" s="1">
        <f t="shared" si="11"/>
        <v>2.475218456</v>
      </c>
      <c r="V185" s="1">
        <f t="shared" si="12"/>
        <v>0.2258325805</v>
      </c>
      <c r="W185" s="1">
        <f t="shared" si="13"/>
        <v>2</v>
      </c>
      <c r="X185" s="1">
        <f t="shared" si="14"/>
        <v>0</v>
      </c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ht="15.75" customHeight="1">
      <c r="A186" s="1"/>
      <c r="B186" s="1">
        <v>1.0</v>
      </c>
      <c r="C186" s="1">
        <v>1.0</v>
      </c>
      <c r="D186" s="1">
        <v>1.0</v>
      </c>
      <c r="E186" s="1">
        <v>1.0</v>
      </c>
      <c r="F186" s="1">
        <v>2.0</v>
      </c>
      <c r="G186" s="3">
        <v>1.0</v>
      </c>
      <c r="H186" s="1">
        <v>1.0</v>
      </c>
      <c r="I186" s="1">
        <v>1.0</v>
      </c>
      <c r="J186" s="1">
        <v>1.0</v>
      </c>
      <c r="K186" s="1">
        <v>2.0</v>
      </c>
      <c r="L186" s="1">
        <f t="shared" ref="L186:N186" si="534">SUMPRODUCT($B186:$J186, INDEX($B$2:$J$4, L$10, 0)) + INDEX($K$2:$K$4, L$10,1)</f>
        <v>7.921139731</v>
      </c>
      <c r="M186" s="1">
        <f t="shared" si="534"/>
        <v>7.529531272</v>
      </c>
      <c r="N186" s="1">
        <f t="shared" si="534"/>
        <v>7.6866429</v>
      </c>
      <c r="O186" s="1">
        <f t="shared" ref="O186:Q186" si="535">(L186-L$7)/(L$6-L$7)</f>
        <v>0.001018920854</v>
      </c>
      <c r="P186" s="1">
        <f t="shared" si="535"/>
        <v>0.000000006234892308</v>
      </c>
      <c r="Q186" s="1">
        <f t="shared" si="535"/>
        <v>0</v>
      </c>
      <c r="R186" s="1">
        <f t="shared" ref="R186:T186" si="536">1/(1+EXP(-O186))</f>
        <v>0.5002547302</v>
      </c>
      <c r="S186" s="1">
        <f t="shared" si="536"/>
        <v>0.5000000016</v>
      </c>
      <c r="T186" s="1">
        <f t="shared" si="536"/>
        <v>0.5</v>
      </c>
      <c r="U186" s="1">
        <f t="shared" si="11"/>
        <v>2.474800478</v>
      </c>
      <c r="V186" s="1">
        <f t="shared" si="12"/>
        <v>0.2254354935</v>
      </c>
      <c r="W186" s="1">
        <f t="shared" si="13"/>
        <v>2</v>
      </c>
      <c r="X186" s="1">
        <f t="shared" si="14"/>
        <v>0</v>
      </c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ht="15.75" customHeight="1">
      <c r="A187" s="1"/>
      <c r="B187" s="1">
        <v>1.0</v>
      </c>
      <c r="C187" s="1">
        <v>1.0</v>
      </c>
      <c r="D187" s="1">
        <v>1.0</v>
      </c>
      <c r="E187" s="1">
        <v>1.0</v>
      </c>
      <c r="F187" s="1">
        <v>2.0</v>
      </c>
      <c r="G187" s="3">
        <v>1.0</v>
      </c>
      <c r="H187" s="1">
        <v>3.0</v>
      </c>
      <c r="I187" s="1">
        <v>1.0</v>
      </c>
      <c r="J187" s="1">
        <v>1.0</v>
      </c>
      <c r="K187" s="1">
        <v>2.0</v>
      </c>
      <c r="L187" s="1">
        <f t="shared" ref="L187:N187" si="537">SUMPRODUCT($B187:$J187, INDEX($B$2:$J$4, L$10, 0)) + INDEX($K$2:$K$4, L$10,1)</f>
        <v>7.985725177</v>
      </c>
      <c r="M187" s="1">
        <f t="shared" si="537"/>
        <v>7.529531272</v>
      </c>
      <c r="N187" s="1">
        <f t="shared" si="537"/>
        <v>7.686650958</v>
      </c>
      <c r="O187" s="1">
        <f t="shared" ref="O187:Q187" si="538">(L187-L$7)/(L$6-L$7)</f>
        <v>0.002075043622</v>
      </c>
      <c r="P187" s="1">
        <f t="shared" si="538"/>
        <v>0.000000006234892308</v>
      </c>
      <c r="Q187" s="1">
        <f t="shared" si="538"/>
        <v>0.0000001362617963</v>
      </c>
      <c r="R187" s="1">
        <f t="shared" ref="R187:T187" si="539">1/(1+EXP(-O187))</f>
        <v>0.5005187607</v>
      </c>
      <c r="S187" s="1">
        <f t="shared" si="539"/>
        <v>0.5000000016</v>
      </c>
      <c r="T187" s="1">
        <f t="shared" si="539"/>
        <v>0.5000000341</v>
      </c>
      <c r="U187" s="1">
        <f t="shared" si="11"/>
        <v>2.475218456</v>
      </c>
      <c r="V187" s="1">
        <f t="shared" si="12"/>
        <v>0.2258325805</v>
      </c>
      <c r="W187" s="1">
        <f t="shared" si="13"/>
        <v>2</v>
      </c>
      <c r="X187" s="1">
        <f t="shared" si="14"/>
        <v>0</v>
      </c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ht="15.75" customHeight="1">
      <c r="A188" s="1"/>
      <c r="B188" s="1">
        <v>8.0</v>
      </c>
      <c r="C188" s="1">
        <v>4.0</v>
      </c>
      <c r="D188" s="1">
        <v>6.0</v>
      </c>
      <c r="E188" s="1">
        <v>3.0</v>
      </c>
      <c r="F188" s="1">
        <v>3.0</v>
      </c>
      <c r="G188" s="3">
        <v>1.0</v>
      </c>
      <c r="H188" s="1">
        <v>4.0</v>
      </c>
      <c r="I188" s="1">
        <v>3.0</v>
      </c>
      <c r="J188" s="1">
        <v>1.0</v>
      </c>
      <c r="K188" s="1">
        <v>2.0</v>
      </c>
      <c r="L188" s="1">
        <f t="shared" ref="L188:N188" si="540">SUMPRODUCT($B188:$J188, INDEX($B$2:$J$4, L$10, 0)) + INDEX($K$2:$K$4, L$10,1)</f>
        <v>21.34755832</v>
      </c>
      <c r="M188" s="1">
        <f t="shared" si="540"/>
        <v>19.55511631</v>
      </c>
      <c r="N188" s="1">
        <f t="shared" si="540"/>
        <v>20.1600508</v>
      </c>
      <c r="O188" s="1">
        <f t="shared" ref="O188:Q188" si="541">(L188-L$7)/(L$6-L$7)</f>
        <v>0.2205721988</v>
      </c>
      <c r="P188" s="1">
        <f t="shared" si="541"/>
        <v>0.2059256287</v>
      </c>
      <c r="Q188" s="1">
        <f t="shared" si="541"/>
        <v>0.2109335687</v>
      </c>
      <c r="R188" s="1">
        <f t="shared" ref="R188:T188" si="542">1/(1+EXP(-O188))</f>
        <v>0.5549205633</v>
      </c>
      <c r="S188" s="1">
        <f t="shared" si="542"/>
        <v>0.5513002513</v>
      </c>
      <c r="T188" s="1">
        <f t="shared" si="542"/>
        <v>0.5525387361</v>
      </c>
      <c r="U188" s="1">
        <f t="shared" si="11"/>
        <v>2.736127614</v>
      </c>
      <c r="V188" s="1">
        <f t="shared" si="12"/>
        <v>0.5418838634</v>
      </c>
      <c r="W188" s="1">
        <f t="shared" si="13"/>
        <v>2</v>
      </c>
      <c r="X188" s="1">
        <f t="shared" si="14"/>
        <v>0</v>
      </c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ht="15.75" customHeight="1">
      <c r="A189" s="1"/>
      <c r="B189" s="1">
        <v>3.0</v>
      </c>
      <c r="C189" s="1">
        <v>1.0</v>
      </c>
      <c r="D189" s="1">
        <v>1.0</v>
      </c>
      <c r="E189" s="1">
        <v>1.0</v>
      </c>
      <c r="F189" s="1">
        <v>2.0</v>
      </c>
      <c r="G189" s="3">
        <v>1.0</v>
      </c>
      <c r="H189" s="1">
        <v>1.0</v>
      </c>
      <c r="I189" s="1">
        <v>1.0</v>
      </c>
      <c r="J189" s="1">
        <v>1.0</v>
      </c>
      <c r="K189" s="1">
        <v>2.0</v>
      </c>
      <c r="L189" s="1">
        <f t="shared" ref="L189:N189" si="543">SUMPRODUCT($B189:$J189, INDEX($B$2:$J$4, L$10, 0)) + INDEX($K$2:$K$4, L$10,1)</f>
        <v>7.952892864</v>
      </c>
      <c r="M189" s="1">
        <f t="shared" si="543"/>
        <v>7.568535274</v>
      </c>
      <c r="N189" s="1">
        <f t="shared" si="543"/>
        <v>7.706420913</v>
      </c>
      <c r="O189" s="1">
        <f t="shared" ref="O189:Q189" si="544">(L189-L$7)/(L$6-L$7)</f>
        <v>0.001538158696</v>
      </c>
      <c r="P189" s="1">
        <f t="shared" si="544"/>
        <v>0.0006679091667</v>
      </c>
      <c r="Q189" s="1">
        <f t="shared" si="544"/>
        <v>0.0003344592598</v>
      </c>
      <c r="R189" s="1">
        <f t="shared" ref="R189:T189" si="545">1/(1+EXP(-O189))</f>
        <v>0.5003845396</v>
      </c>
      <c r="S189" s="1">
        <f t="shared" si="545"/>
        <v>0.5001669773</v>
      </c>
      <c r="T189" s="1">
        <f t="shared" si="545"/>
        <v>0.5000836148</v>
      </c>
      <c r="U189" s="1">
        <f t="shared" si="11"/>
        <v>2.47542491</v>
      </c>
      <c r="V189" s="1">
        <f t="shared" si="12"/>
        <v>0.2260288452</v>
      </c>
      <c r="W189" s="1">
        <f t="shared" si="13"/>
        <v>2</v>
      </c>
      <c r="X189" s="1">
        <f t="shared" si="14"/>
        <v>0</v>
      </c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ht="15.75" customHeight="1">
      <c r="A190" s="1"/>
      <c r="B190" s="1">
        <v>4.0</v>
      </c>
      <c r="C190" s="1">
        <v>3.0</v>
      </c>
      <c r="D190" s="1">
        <v>2.0</v>
      </c>
      <c r="E190" s="1">
        <v>1.0</v>
      </c>
      <c r="F190" s="1">
        <v>3.0</v>
      </c>
      <c r="G190" s="3">
        <v>1.0</v>
      </c>
      <c r="H190" s="1">
        <v>2.0</v>
      </c>
      <c r="I190" s="1">
        <v>1.0</v>
      </c>
      <c r="J190" s="1">
        <v>1.0</v>
      </c>
      <c r="K190" s="1">
        <v>2.0</v>
      </c>
      <c r="L190" s="1">
        <f t="shared" ref="L190:N190" si="546">SUMPRODUCT($B190:$J190, INDEX($B$2:$J$4, L$10, 0)) + INDEX($K$2:$K$4, L$10,1)</f>
        <v>12.80151055</v>
      </c>
      <c r="M190" s="1">
        <f t="shared" si="546"/>
        <v>12.15729741</v>
      </c>
      <c r="N190" s="1">
        <f t="shared" si="546"/>
        <v>12.04512316</v>
      </c>
      <c r="O190" s="1">
        <f t="shared" ref="O190:Q190" si="547">(L190-L$7)/(L$6-L$7)</f>
        <v>0.0808243734</v>
      </c>
      <c r="P190" s="1">
        <f t="shared" si="547"/>
        <v>0.07924568285</v>
      </c>
      <c r="Q190" s="1">
        <f t="shared" si="547"/>
        <v>0.07370478081</v>
      </c>
      <c r="R190" s="1">
        <f t="shared" ref="R190:T190" si="548">1/(1+EXP(-O190))</f>
        <v>0.5201951007</v>
      </c>
      <c r="S190" s="1">
        <f t="shared" si="548"/>
        <v>0.5198010594</v>
      </c>
      <c r="T190" s="1">
        <f t="shared" si="548"/>
        <v>0.5184178582</v>
      </c>
      <c r="U190" s="1">
        <f t="shared" si="11"/>
        <v>2.570638451</v>
      </c>
      <c r="V190" s="1">
        <f t="shared" si="12"/>
        <v>0.3256282417</v>
      </c>
      <c r="W190" s="1">
        <f t="shared" si="13"/>
        <v>2</v>
      </c>
      <c r="X190" s="1">
        <f t="shared" si="14"/>
        <v>0</v>
      </c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ht="15.75" customHeight="1">
      <c r="A191" s="1"/>
      <c r="B191" s="1">
        <v>2.0</v>
      </c>
      <c r="C191" s="1">
        <v>3.0</v>
      </c>
      <c r="D191" s="1">
        <v>2.0</v>
      </c>
      <c r="E191" s="1">
        <v>2.0</v>
      </c>
      <c r="F191" s="1">
        <v>2.0</v>
      </c>
      <c r="G191" s="3">
        <v>2.0</v>
      </c>
      <c r="H191" s="1">
        <v>3.0</v>
      </c>
      <c r="I191" s="1">
        <v>1.0</v>
      </c>
      <c r="J191" s="1">
        <v>1.0</v>
      </c>
      <c r="K191" s="1">
        <v>2.0</v>
      </c>
      <c r="L191" s="1">
        <f t="shared" ref="L191:N191" si="549">SUMPRODUCT($B191:$J191, INDEX($B$2:$J$4, L$10, 0)) + INDEX($K$2:$K$4, L$10,1)</f>
        <v>16.01764617</v>
      </c>
      <c r="M191" s="1">
        <f t="shared" si="549"/>
        <v>15.37434663</v>
      </c>
      <c r="N191" s="1">
        <f t="shared" si="549"/>
        <v>15.36333084</v>
      </c>
      <c r="O191" s="1">
        <f t="shared" ref="O191:Q191" si="550">(L191-L$7)/(L$6-L$7)</f>
        <v>0.1334156964</v>
      </c>
      <c r="P191" s="1">
        <f t="shared" si="550"/>
        <v>0.134334301</v>
      </c>
      <c r="Q191" s="1">
        <f t="shared" si="550"/>
        <v>0.1298178651</v>
      </c>
      <c r="R191" s="1">
        <f t="shared" ref="R191:T191" si="551">1/(1+EXP(-O191))</f>
        <v>0.5333045377</v>
      </c>
      <c r="S191" s="1">
        <f t="shared" si="551"/>
        <v>0.533533163</v>
      </c>
      <c r="T191" s="1">
        <f t="shared" si="551"/>
        <v>0.5324089642</v>
      </c>
      <c r="U191" s="1">
        <f t="shared" si="11"/>
        <v>2.638054736</v>
      </c>
      <c r="V191" s="1">
        <f t="shared" si="12"/>
        <v>0.4071138462</v>
      </c>
      <c r="W191" s="1">
        <f t="shared" si="13"/>
        <v>2</v>
      </c>
      <c r="X191" s="1">
        <f t="shared" si="14"/>
        <v>0</v>
      </c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ht="15.75" customHeight="1">
      <c r="A192" s="1"/>
      <c r="B192" s="1">
        <v>10.0</v>
      </c>
      <c r="C192" s="1">
        <v>6.0</v>
      </c>
      <c r="D192" s="1">
        <v>6.0</v>
      </c>
      <c r="E192" s="1">
        <v>2.0</v>
      </c>
      <c r="F192" s="1">
        <v>4.0</v>
      </c>
      <c r="G192" s="3">
        <v>10.0</v>
      </c>
      <c r="H192" s="1">
        <v>9.0</v>
      </c>
      <c r="I192" s="1">
        <v>7.0</v>
      </c>
      <c r="J192" s="1">
        <v>1.0</v>
      </c>
      <c r="K192" s="1">
        <v>4.0</v>
      </c>
      <c r="L192" s="1">
        <f t="shared" ref="L192:N192" si="552">SUMPRODUCT($B192:$J192, INDEX($B$2:$J$4, L$10, 0)) + INDEX($K$2:$K$4, L$10,1)</f>
        <v>55.11291193</v>
      </c>
      <c r="M192" s="1">
        <f t="shared" si="552"/>
        <v>53.36771748</v>
      </c>
      <c r="N192" s="1">
        <f t="shared" si="552"/>
        <v>54.20854234</v>
      </c>
      <c r="O192" s="1">
        <f t="shared" ref="O192:Q192" si="553">(L192-L$7)/(L$6-L$7)</f>
        <v>0.7727145307</v>
      </c>
      <c r="P192" s="1">
        <f t="shared" si="553"/>
        <v>0.7849312172</v>
      </c>
      <c r="Q192" s="1">
        <f t="shared" si="553"/>
        <v>0.7867160567</v>
      </c>
      <c r="R192" s="1">
        <f t="shared" ref="R192:T192" si="554">1/(1+EXP(-O192))</f>
        <v>0.6841078085</v>
      </c>
      <c r="S192" s="1">
        <f t="shared" si="554"/>
        <v>0.6867419298</v>
      </c>
      <c r="T192" s="1">
        <f t="shared" si="554"/>
        <v>0.6871257697</v>
      </c>
      <c r="U192" s="1">
        <f t="shared" si="11"/>
        <v>3.395034077</v>
      </c>
      <c r="V192" s="1">
        <f t="shared" si="12"/>
        <v>0.3659837685</v>
      </c>
      <c r="W192" s="1">
        <f t="shared" si="13"/>
        <v>4</v>
      </c>
      <c r="X192" s="1">
        <f t="shared" si="14"/>
        <v>0</v>
      </c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ht="15.75" customHeight="1">
      <c r="A193" s="1"/>
      <c r="B193" s="1">
        <v>4.0</v>
      </c>
      <c r="C193" s="1">
        <v>1.0</v>
      </c>
      <c r="D193" s="1">
        <v>1.0</v>
      </c>
      <c r="E193" s="1">
        <v>1.0</v>
      </c>
      <c r="F193" s="1">
        <v>1.0</v>
      </c>
      <c r="G193" s="3">
        <v>1.0</v>
      </c>
      <c r="H193" s="1">
        <v>2.0</v>
      </c>
      <c r="I193" s="1">
        <v>1.0</v>
      </c>
      <c r="J193" s="1">
        <v>1.0</v>
      </c>
      <c r="K193" s="1">
        <v>2.0</v>
      </c>
      <c r="L193" s="1">
        <f t="shared" ref="L193:N193" si="555">SUMPRODUCT($B193:$J193, INDEX($B$2:$J$4, L$10, 0)) + INDEX($K$2:$K$4, L$10,1)</f>
        <v>7.93875173</v>
      </c>
      <c r="M193" s="1">
        <f t="shared" si="555"/>
        <v>7.588036911</v>
      </c>
      <c r="N193" s="1">
        <f t="shared" si="555"/>
        <v>7.716313948</v>
      </c>
      <c r="O193" s="1">
        <f t="shared" ref="O193:Q193" si="556">(L193-L$7)/(L$6-L$7)</f>
        <v>0.001306918147</v>
      </c>
      <c r="P193" s="1">
        <f t="shared" si="556"/>
        <v>0.001001854398</v>
      </c>
      <c r="Q193" s="1">
        <f t="shared" si="556"/>
        <v>0.0005017570206</v>
      </c>
      <c r="R193" s="1">
        <f t="shared" ref="R193:T193" si="557">1/(1+EXP(-O193))</f>
        <v>0.5003267295</v>
      </c>
      <c r="S193" s="1">
        <f t="shared" si="557"/>
        <v>0.5002504636</v>
      </c>
      <c r="T193" s="1">
        <f t="shared" si="557"/>
        <v>0.5001254393</v>
      </c>
      <c r="U193" s="1">
        <f t="shared" si="11"/>
        <v>2.475542915</v>
      </c>
      <c r="V193" s="1">
        <f t="shared" si="12"/>
        <v>0.2261410635</v>
      </c>
      <c r="W193" s="1">
        <f t="shared" si="13"/>
        <v>2</v>
      </c>
      <c r="X193" s="1">
        <f t="shared" si="14"/>
        <v>0</v>
      </c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ht="15.75" customHeight="1">
      <c r="A194" s="1"/>
      <c r="B194" s="1">
        <v>5.0</v>
      </c>
      <c r="C194" s="1">
        <v>7.0</v>
      </c>
      <c r="D194" s="1">
        <v>10.0</v>
      </c>
      <c r="E194" s="1">
        <v>6.0</v>
      </c>
      <c r="F194" s="1">
        <v>5.0</v>
      </c>
      <c r="G194" s="3">
        <v>10.0</v>
      </c>
      <c r="H194" s="1">
        <v>7.0</v>
      </c>
      <c r="I194" s="1">
        <v>5.0</v>
      </c>
      <c r="J194" s="1">
        <v>1.0</v>
      </c>
      <c r="K194" s="1">
        <v>4.0</v>
      </c>
      <c r="L194" s="1">
        <f t="shared" ref="L194:N194" si="558">SUMPRODUCT($B194:$J194, INDEX($B$2:$J$4, L$10, 0)) + INDEX($K$2:$K$4, L$10,1)</f>
        <v>62.37486428</v>
      </c>
      <c r="M194" s="1">
        <f t="shared" si="558"/>
        <v>59.41885055</v>
      </c>
      <c r="N194" s="1">
        <f t="shared" si="558"/>
        <v>61.03843091</v>
      </c>
      <c r="O194" s="1">
        <f t="shared" ref="O194:Q194" si="559">(L194-L$7)/(L$6-L$7)</f>
        <v>0.8914643992</v>
      </c>
      <c r="P194" s="1">
        <f t="shared" si="559"/>
        <v>0.8885505703</v>
      </c>
      <c r="Q194" s="1">
        <f t="shared" si="559"/>
        <v>0.9022139849</v>
      </c>
      <c r="R194" s="1">
        <f t="shared" ref="R194:T194" si="560">1/(1+EXP(-O194))</f>
        <v>0.7091922807</v>
      </c>
      <c r="S194" s="1">
        <f t="shared" si="560"/>
        <v>0.7085909706</v>
      </c>
      <c r="T194" s="1">
        <f t="shared" si="560"/>
        <v>0.7114042646</v>
      </c>
      <c r="U194" s="1">
        <f t="shared" si="11"/>
        <v>3.512451208</v>
      </c>
      <c r="V194" s="1">
        <f t="shared" si="12"/>
        <v>0.2377038249</v>
      </c>
      <c r="W194" s="1">
        <f t="shared" si="13"/>
        <v>4</v>
      </c>
      <c r="X194" s="1">
        <f t="shared" si="14"/>
        <v>0</v>
      </c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ht="15.75" customHeight="1">
      <c r="A195" s="1"/>
      <c r="B195" s="1">
        <v>2.0</v>
      </c>
      <c r="C195" s="1">
        <v>1.0</v>
      </c>
      <c r="D195" s="1">
        <v>1.0</v>
      </c>
      <c r="E195" s="1">
        <v>1.0</v>
      </c>
      <c r="F195" s="1">
        <v>2.0</v>
      </c>
      <c r="G195" s="3">
        <v>1.0</v>
      </c>
      <c r="H195" s="1">
        <v>3.0</v>
      </c>
      <c r="I195" s="1">
        <v>1.0</v>
      </c>
      <c r="J195" s="1">
        <v>1.0</v>
      </c>
      <c r="K195" s="1">
        <v>2.0</v>
      </c>
      <c r="L195" s="1">
        <f t="shared" ref="L195:N195" si="561">SUMPRODUCT($B195:$J195, INDEX($B$2:$J$4, L$10, 0)) + INDEX($K$2:$K$4, L$10,1)</f>
        <v>8.001601743</v>
      </c>
      <c r="M195" s="1">
        <f t="shared" si="561"/>
        <v>7.549033273</v>
      </c>
      <c r="N195" s="1">
        <f t="shared" si="561"/>
        <v>7.696539964</v>
      </c>
      <c r="O195" s="1">
        <f t="shared" ref="O195:Q195" si="562">(L195-L$7)/(L$6-L$7)</f>
        <v>0.002334662543</v>
      </c>
      <c r="P195" s="1">
        <f t="shared" si="562"/>
        <v>0.0003339577008</v>
      </c>
      <c r="Q195" s="1">
        <f t="shared" si="562"/>
        <v>0.0001673658917</v>
      </c>
      <c r="R195" s="1">
        <f t="shared" ref="R195:T195" si="563">1/(1+EXP(-O195))</f>
        <v>0.5005836654</v>
      </c>
      <c r="S195" s="1">
        <f t="shared" si="563"/>
        <v>0.5000834894</v>
      </c>
      <c r="T195" s="1">
        <f t="shared" si="563"/>
        <v>0.5000418415</v>
      </c>
      <c r="U195" s="1">
        <f t="shared" si="11"/>
        <v>2.475530672</v>
      </c>
      <c r="V195" s="1">
        <f t="shared" si="12"/>
        <v>0.2261294198</v>
      </c>
      <c r="W195" s="1">
        <f t="shared" si="13"/>
        <v>2</v>
      </c>
      <c r="X195" s="1">
        <f t="shared" si="14"/>
        <v>0</v>
      </c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ht="15.75" customHeight="1">
      <c r="A196" s="1"/>
      <c r="B196" s="1">
        <v>5.0</v>
      </c>
      <c r="C196" s="1">
        <v>1.0</v>
      </c>
      <c r="D196" s="1">
        <v>1.0</v>
      </c>
      <c r="E196" s="1">
        <v>1.0</v>
      </c>
      <c r="F196" s="1">
        <v>2.0</v>
      </c>
      <c r="G196" s="3">
        <v>1.0</v>
      </c>
      <c r="H196" s="1">
        <v>3.0</v>
      </c>
      <c r="I196" s="1">
        <v>1.0</v>
      </c>
      <c r="J196" s="1">
        <v>1.0</v>
      </c>
      <c r="K196" s="1">
        <v>2.0</v>
      </c>
      <c r="L196" s="1">
        <f t="shared" ref="L196:N196" si="564">SUMPRODUCT($B196:$J196, INDEX($B$2:$J$4, L$10, 0)) + INDEX($K$2:$K$4, L$10,1)</f>
        <v>8.049231444</v>
      </c>
      <c r="M196" s="1">
        <f t="shared" si="564"/>
        <v>7.607539277</v>
      </c>
      <c r="N196" s="1">
        <f t="shared" si="564"/>
        <v>7.726206983</v>
      </c>
      <c r="O196" s="1">
        <f t="shared" ref="O196:Q196" si="565">(L196-L$7)/(L$6-L$7)</f>
        <v>0.003113519306</v>
      </c>
      <c r="P196" s="1">
        <f t="shared" si="565"/>
        <v>0.001335812098</v>
      </c>
      <c r="Q196" s="1">
        <f t="shared" si="565"/>
        <v>0.0006690547814</v>
      </c>
      <c r="R196" s="1">
        <f t="shared" ref="R196:T196" si="566">1/(1+EXP(-O196))</f>
        <v>0.5007783792</v>
      </c>
      <c r="S196" s="1">
        <f t="shared" si="566"/>
        <v>0.500333953</v>
      </c>
      <c r="T196" s="1">
        <f t="shared" si="566"/>
        <v>0.5001672637</v>
      </c>
      <c r="U196" s="1">
        <f t="shared" si="11"/>
        <v>2.47646732</v>
      </c>
      <c r="V196" s="1">
        <f t="shared" si="12"/>
        <v>0.2270211071</v>
      </c>
      <c r="W196" s="1">
        <f t="shared" si="13"/>
        <v>2</v>
      </c>
      <c r="X196" s="1">
        <f t="shared" si="14"/>
        <v>0</v>
      </c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ht="15.75" customHeight="1">
      <c r="A197" s="1"/>
      <c r="B197" s="1">
        <v>4.0</v>
      </c>
      <c r="C197" s="1">
        <v>1.0</v>
      </c>
      <c r="D197" s="1">
        <v>1.0</v>
      </c>
      <c r="E197" s="1">
        <v>1.0</v>
      </c>
      <c r="F197" s="1">
        <v>2.0</v>
      </c>
      <c r="G197" s="3">
        <v>2.0</v>
      </c>
      <c r="H197" s="1">
        <v>3.0</v>
      </c>
      <c r="I197" s="1">
        <v>2.0</v>
      </c>
      <c r="J197" s="1">
        <v>1.0</v>
      </c>
      <c r="K197" s="1">
        <v>2.0</v>
      </c>
      <c r="L197" s="1">
        <f t="shared" ref="L197:N197" si="567">SUMPRODUCT($B197:$J197, INDEX($B$2:$J$4, L$10, 0)) + INDEX($K$2:$K$4, L$10,1)</f>
        <v>11.56381499</v>
      </c>
      <c r="M197" s="1">
        <f t="shared" si="567"/>
        <v>11.13688291</v>
      </c>
      <c r="N197" s="1">
        <f t="shared" si="567"/>
        <v>11.35190599</v>
      </c>
      <c r="O197" s="1">
        <f t="shared" ref="O197:Q197" si="568">(L197-L$7)/(L$6-L$7)</f>
        <v>0.06058516253</v>
      </c>
      <c r="P197" s="1">
        <f t="shared" si="568"/>
        <v>0.06177214689</v>
      </c>
      <c r="Q197" s="1">
        <f t="shared" si="568"/>
        <v>0.06198202048</v>
      </c>
      <c r="R197" s="1">
        <f t="shared" ref="R197:T197" si="569">1/(1+EXP(-O197))</f>
        <v>0.5151416594</v>
      </c>
      <c r="S197" s="1">
        <f t="shared" si="569"/>
        <v>0.515438128</v>
      </c>
      <c r="T197" s="1">
        <f t="shared" si="569"/>
        <v>0.5154905462</v>
      </c>
      <c r="U197" s="1">
        <f t="shared" si="11"/>
        <v>2.550418098</v>
      </c>
      <c r="V197" s="1">
        <f t="shared" si="12"/>
        <v>0.3029600831</v>
      </c>
      <c r="W197" s="1">
        <f t="shared" si="13"/>
        <v>2</v>
      </c>
      <c r="X197" s="1">
        <f t="shared" si="14"/>
        <v>0</v>
      </c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ht="15.75" customHeight="1">
      <c r="A198" s="1"/>
      <c r="B198" s="1">
        <v>1.0</v>
      </c>
      <c r="C198" s="1">
        <v>1.0</v>
      </c>
      <c r="D198" s="1">
        <v>1.0</v>
      </c>
      <c r="E198" s="1">
        <v>1.0</v>
      </c>
      <c r="F198" s="1">
        <v>2.0</v>
      </c>
      <c r="G198" s="3">
        <v>1.0</v>
      </c>
      <c r="H198" s="1">
        <v>2.0</v>
      </c>
      <c r="I198" s="1">
        <v>1.0</v>
      </c>
      <c r="J198" s="1">
        <v>1.0</v>
      </c>
      <c r="K198" s="1">
        <v>2.0</v>
      </c>
      <c r="L198" s="1">
        <f t="shared" ref="L198:N198" si="570">SUMPRODUCT($B198:$J198, INDEX($B$2:$J$4, L$10, 0)) + INDEX($K$2:$K$4, L$10,1)</f>
        <v>7.953432454</v>
      </c>
      <c r="M198" s="1">
        <f t="shared" si="570"/>
        <v>7.529531272</v>
      </c>
      <c r="N198" s="1">
        <f t="shared" si="570"/>
        <v>7.686646929</v>
      </c>
      <c r="O198" s="1">
        <f t="shared" ref="O198:Q198" si="571">(L198-L$7)/(L$6-L$7)</f>
        <v>0.001546982238</v>
      </c>
      <c r="P198" s="1">
        <f t="shared" si="571"/>
        <v>0.000000006234892308</v>
      </c>
      <c r="Q198" s="1">
        <f t="shared" si="571"/>
        <v>0.00000006813089816</v>
      </c>
      <c r="R198" s="1">
        <f t="shared" ref="R198:T198" si="572">1/(1+EXP(-O198))</f>
        <v>0.5003867455</v>
      </c>
      <c r="S198" s="1">
        <f t="shared" si="572"/>
        <v>0.5000000016</v>
      </c>
      <c r="T198" s="1">
        <f t="shared" si="572"/>
        <v>0.500000017</v>
      </c>
      <c r="U198" s="1">
        <f t="shared" si="11"/>
        <v>2.475009467</v>
      </c>
      <c r="V198" s="1">
        <f t="shared" si="12"/>
        <v>0.2256339933</v>
      </c>
      <c r="W198" s="1">
        <f t="shared" si="13"/>
        <v>2</v>
      </c>
      <c r="X198" s="1">
        <f t="shared" si="14"/>
        <v>0</v>
      </c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ht="15.75" customHeight="1">
      <c r="A199" s="1"/>
      <c r="B199" s="1">
        <v>5.0</v>
      </c>
      <c r="C199" s="1">
        <v>2.0</v>
      </c>
      <c r="D199" s="1">
        <v>2.0</v>
      </c>
      <c r="E199" s="1">
        <v>2.0</v>
      </c>
      <c r="F199" s="1">
        <v>3.0</v>
      </c>
      <c r="G199" s="3">
        <v>1.0</v>
      </c>
      <c r="H199" s="1">
        <v>1.0</v>
      </c>
      <c r="I199" s="1">
        <v>3.0</v>
      </c>
      <c r="J199" s="1">
        <v>1.0</v>
      </c>
      <c r="K199" s="1">
        <v>2.0</v>
      </c>
      <c r="L199" s="1">
        <f t="shared" ref="L199:N199" si="573">SUMPRODUCT($B199:$J199, INDEX($B$2:$J$4, L$10, 0)) + INDEX($K$2:$K$4, L$10,1)</f>
        <v>11.79097486</v>
      </c>
      <c r="M199" s="1">
        <f t="shared" si="573"/>
        <v>11.11341032</v>
      </c>
      <c r="N199" s="1">
        <f t="shared" si="573"/>
        <v>11.25200432</v>
      </c>
      <c r="O199" s="1">
        <f t="shared" ref="O199:Q199" si="574">(L199-L$7)/(L$6-L$7)</f>
        <v>0.06429975654</v>
      </c>
      <c r="P199" s="1">
        <f t="shared" si="574"/>
        <v>0.06137020335</v>
      </c>
      <c r="Q199" s="1">
        <f t="shared" si="574"/>
        <v>0.06029261731</v>
      </c>
      <c r="R199" s="1">
        <f t="shared" ref="R199:T199" si="575">1/(1+EXP(-O199))</f>
        <v>0.516069403</v>
      </c>
      <c r="S199" s="1">
        <f t="shared" si="575"/>
        <v>0.5153377373</v>
      </c>
      <c r="T199" s="1">
        <f t="shared" si="575"/>
        <v>0.5150685898</v>
      </c>
      <c r="U199" s="1">
        <f t="shared" si="11"/>
        <v>2.550996779</v>
      </c>
      <c r="V199" s="1">
        <f t="shared" si="12"/>
        <v>0.3035974503</v>
      </c>
      <c r="W199" s="1">
        <f t="shared" si="13"/>
        <v>2</v>
      </c>
      <c r="X199" s="1">
        <f t="shared" si="14"/>
        <v>0</v>
      </c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ht="15.75" customHeight="1">
      <c r="A200" s="1"/>
      <c r="B200" s="1">
        <v>3.0</v>
      </c>
      <c r="C200" s="1">
        <v>2.0</v>
      </c>
      <c r="D200" s="1">
        <v>2.0</v>
      </c>
      <c r="E200" s="1">
        <v>1.0</v>
      </c>
      <c r="F200" s="1">
        <v>4.0</v>
      </c>
      <c r="G200" s="3">
        <v>3.0</v>
      </c>
      <c r="H200" s="1">
        <v>2.0</v>
      </c>
      <c r="I200" s="1">
        <v>1.0</v>
      </c>
      <c r="J200" s="1">
        <v>1.0</v>
      </c>
      <c r="K200" s="1">
        <v>2.0</v>
      </c>
      <c r="L200" s="1">
        <f t="shared" ref="L200:N200" si="576">SUMPRODUCT($B200:$J200, INDEX($B$2:$J$4, L$10, 0)) + INDEX($K$2:$K$4, L$10,1)</f>
        <v>17.74420247</v>
      </c>
      <c r="M200" s="1">
        <f t="shared" si="576"/>
        <v>17.00092976</v>
      </c>
      <c r="N200" s="1">
        <f t="shared" si="576"/>
        <v>17.29898967</v>
      </c>
      <c r="O200" s="1">
        <f t="shared" ref="O200:Q200" si="577">(L200-L$7)/(L$6-L$7)</f>
        <v>0.1616489213</v>
      </c>
      <c r="P200" s="1">
        <f t="shared" si="577"/>
        <v>0.1621878434</v>
      </c>
      <c r="Q200" s="1">
        <f t="shared" si="577"/>
        <v>0.1625511348</v>
      </c>
      <c r="R200" s="1">
        <f t="shared" ref="R200:T200" si="578">1/(1+EXP(-O200))</f>
        <v>0.5403244608</v>
      </c>
      <c r="S200" s="1">
        <f t="shared" si="578"/>
        <v>0.5404583121</v>
      </c>
      <c r="T200" s="1">
        <f t="shared" si="578"/>
        <v>0.5405485389</v>
      </c>
      <c r="U200" s="1">
        <f t="shared" si="11"/>
        <v>2.674560136</v>
      </c>
      <c r="V200" s="1">
        <f t="shared" si="12"/>
        <v>0.4550313771</v>
      </c>
      <c r="W200" s="1">
        <f t="shared" si="13"/>
        <v>2</v>
      </c>
      <c r="X200" s="1">
        <f t="shared" si="14"/>
        <v>0</v>
      </c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ht="15.75" customHeight="1">
      <c r="A201" s="1"/>
      <c r="B201" s="1">
        <v>10.0</v>
      </c>
      <c r="C201" s="1">
        <v>2.0</v>
      </c>
      <c r="D201" s="1">
        <v>2.0</v>
      </c>
      <c r="E201" s="1">
        <v>1.0</v>
      </c>
      <c r="F201" s="1">
        <v>2.0</v>
      </c>
      <c r="G201" s="3">
        <v>6.0</v>
      </c>
      <c r="H201" s="1">
        <v>1.0</v>
      </c>
      <c r="I201" s="1">
        <v>1.0</v>
      </c>
      <c r="J201" s="1">
        <v>2.0</v>
      </c>
      <c r="K201" s="1">
        <v>4.0</v>
      </c>
      <c r="L201" s="1">
        <f t="shared" ref="L201:N201" si="579">SUMPRODUCT($B201:$J201, INDEX($B$2:$J$4, L$10, 0)) + INDEX($K$2:$K$4, L$10,1)</f>
        <v>27.43594743</v>
      </c>
      <c r="M201" s="1">
        <f t="shared" si="579"/>
        <v>26.90560379</v>
      </c>
      <c r="N201" s="1">
        <f t="shared" si="579"/>
        <v>27.3737589</v>
      </c>
      <c r="O201" s="1">
        <f t="shared" ref="O201:Q201" si="580">(L201-L$7)/(L$6-L$7)</f>
        <v>0.3201315696</v>
      </c>
      <c r="P201" s="1">
        <f t="shared" si="580"/>
        <v>0.3317950732</v>
      </c>
      <c r="Q201" s="1">
        <f t="shared" si="580"/>
        <v>0.3329221389</v>
      </c>
      <c r="R201" s="1">
        <f t="shared" ref="R201:T201" si="581">1/(1+EXP(-O201))</f>
        <v>0.5793563163</v>
      </c>
      <c r="S201" s="1">
        <f t="shared" si="581"/>
        <v>0.5821960816</v>
      </c>
      <c r="T201" s="1">
        <f t="shared" si="581"/>
        <v>0.5824702079</v>
      </c>
      <c r="U201" s="1">
        <f t="shared" si="11"/>
        <v>2.877144355</v>
      </c>
      <c r="V201" s="1">
        <f t="shared" si="12"/>
        <v>1.260804799</v>
      </c>
      <c r="W201" s="1">
        <f t="shared" si="13"/>
        <v>4</v>
      </c>
      <c r="X201" s="1">
        <f t="shared" si="14"/>
        <v>0</v>
      </c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ht="15.75" customHeight="1">
      <c r="A202" s="1"/>
      <c r="B202" s="1">
        <v>1.0</v>
      </c>
      <c r="C202" s="1">
        <v>1.0</v>
      </c>
      <c r="D202" s="1">
        <v>1.0</v>
      </c>
      <c r="E202" s="1">
        <v>1.0</v>
      </c>
      <c r="F202" s="1">
        <v>1.0</v>
      </c>
      <c r="G202" s="3">
        <v>1.0</v>
      </c>
      <c r="H202" s="1">
        <v>1.0</v>
      </c>
      <c r="I202" s="1">
        <v>1.0</v>
      </c>
      <c r="J202" s="1">
        <v>1.0</v>
      </c>
      <c r="K202" s="1">
        <v>2.0</v>
      </c>
      <c r="L202" s="1">
        <f t="shared" ref="L202:N202" si="582">SUMPRODUCT($B202:$J202, INDEX($B$2:$J$4, L$10, 0)) + INDEX($K$2:$K$4, L$10,1)</f>
        <v>7.858829306</v>
      </c>
      <c r="M202" s="1">
        <f t="shared" si="582"/>
        <v>7.529530907</v>
      </c>
      <c r="N202" s="1">
        <f t="shared" si="582"/>
        <v>7.6866429</v>
      </c>
      <c r="O202" s="1">
        <f t="shared" ref="O202:Q202" si="583">(L202-L$7)/(L$6-L$7)</f>
        <v>0</v>
      </c>
      <c r="P202" s="1">
        <f t="shared" si="583"/>
        <v>0</v>
      </c>
      <c r="Q202" s="1">
        <f t="shared" si="583"/>
        <v>0</v>
      </c>
      <c r="R202" s="1">
        <f t="shared" ref="R202:T202" si="584">1/(1+EXP(-O202))</f>
        <v>0.5</v>
      </c>
      <c r="S202" s="1">
        <f t="shared" si="584"/>
        <v>0.5</v>
      </c>
      <c r="T202" s="1">
        <f t="shared" si="584"/>
        <v>0.5</v>
      </c>
      <c r="U202" s="1">
        <f t="shared" si="11"/>
        <v>2.474397276</v>
      </c>
      <c r="V202" s="1">
        <f t="shared" si="12"/>
        <v>0.2250527759</v>
      </c>
      <c r="W202" s="1">
        <f t="shared" si="13"/>
        <v>2</v>
      </c>
      <c r="X202" s="1">
        <f t="shared" si="14"/>
        <v>0</v>
      </c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ht="15.75" customHeight="1">
      <c r="A203" s="1"/>
      <c r="B203" s="1">
        <v>4.0</v>
      </c>
      <c r="C203" s="1">
        <v>7.0</v>
      </c>
      <c r="D203" s="1">
        <v>8.0</v>
      </c>
      <c r="E203" s="1">
        <v>3.0</v>
      </c>
      <c r="F203" s="1">
        <v>4.0</v>
      </c>
      <c r="G203" s="3">
        <v>10.0</v>
      </c>
      <c r="H203" s="1">
        <v>9.0</v>
      </c>
      <c r="I203" s="1">
        <v>1.0</v>
      </c>
      <c r="J203" s="1">
        <v>1.0</v>
      </c>
      <c r="K203" s="1">
        <v>4.0</v>
      </c>
      <c r="L203" s="1">
        <f t="shared" ref="L203:N203" si="585">SUMPRODUCT($B203:$J203, INDEX($B$2:$J$4, L$10, 0)) + INDEX($K$2:$K$4, L$10,1)</f>
        <v>58.03200755</v>
      </c>
      <c r="M203" s="1">
        <f t="shared" si="585"/>
        <v>55.68555319</v>
      </c>
      <c r="N203" s="1">
        <f t="shared" si="585"/>
        <v>56.78736348</v>
      </c>
      <c r="O203" s="1">
        <f t="shared" ref="O203:Q203" si="586">(L203-L$7)/(L$6-L$7)</f>
        <v>0.8204485566</v>
      </c>
      <c r="P203" s="1">
        <f t="shared" si="586"/>
        <v>0.8246217403</v>
      </c>
      <c r="Q203" s="1">
        <f t="shared" si="586"/>
        <v>0.8303256259</v>
      </c>
      <c r="R203" s="1">
        <f t="shared" ref="R203:T203" si="587">1/(1+EXP(-O203))</f>
        <v>0.6943315479</v>
      </c>
      <c r="S203" s="1">
        <f t="shared" si="587"/>
        <v>0.6952165256</v>
      </c>
      <c r="T203" s="1">
        <f t="shared" si="587"/>
        <v>0.6964237773</v>
      </c>
      <c r="U203" s="1">
        <f t="shared" si="11"/>
        <v>3.441154907</v>
      </c>
      <c r="V203" s="1">
        <f t="shared" si="12"/>
        <v>0.3123078375</v>
      </c>
      <c r="W203" s="1">
        <f t="shared" si="13"/>
        <v>4</v>
      </c>
      <c r="X203" s="1">
        <f t="shared" si="14"/>
        <v>0</v>
      </c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ht="15.75" customHeight="1">
      <c r="A204" s="1"/>
      <c r="B204" s="1">
        <v>4.0</v>
      </c>
      <c r="C204" s="1">
        <v>1.0</v>
      </c>
      <c r="D204" s="1">
        <v>1.0</v>
      </c>
      <c r="E204" s="1">
        <v>1.0</v>
      </c>
      <c r="F204" s="1">
        <v>3.0</v>
      </c>
      <c r="G204" s="3">
        <v>1.0</v>
      </c>
      <c r="H204" s="1">
        <v>1.0</v>
      </c>
      <c r="I204" s="1">
        <v>1.0</v>
      </c>
      <c r="J204" s="1">
        <v>1.0</v>
      </c>
      <c r="K204" s="1">
        <v>2.0</v>
      </c>
      <c r="L204" s="1">
        <f t="shared" ref="L204:N204" si="588">SUMPRODUCT($B204:$J204, INDEX($B$2:$J$4, L$10, 0)) + INDEX($K$2:$K$4, L$10,1)</f>
        <v>8.031079856</v>
      </c>
      <c r="M204" s="1">
        <f t="shared" si="588"/>
        <v>7.588037639</v>
      </c>
      <c r="N204" s="1">
        <f t="shared" si="588"/>
        <v>7.716309919</v>
      </c>
      <c r="O204" s="1">
        <f t="shared" ref="O204:Q204" si="589">(L204-L$7)/(L$6-L$7)</f>
        <v>0.00281669847</v>
      </c>
      <c r="P204" s="1">
        <f t="shared" si="589"/>
        <v>0.001001866867</v>
      </c>
      <c r="Q204" s="1">
        <f t="shared" si="589"/>
        <v>0.0005016888897</v>
      </c>
      <c r="R204" s="1">
        <f t="shared" ref="R204:T204" si="590">1/(1+EXP(-O204))</f>
        <v>0.5007041742</v>
      </c>
      <c r="S204" s="1">
        <f t="shared" si="590"/>
        <v>0.5002504667</v>
      </c>
      <c r="T204" s="1">
        <f t="shared" si="590"/>
        <v>0.5001254222</v>
      </c>
      <c r="U204" s="1">
        <f t="shared" si="11"/>
        <v>2.476140327</v>
      </c>
      <c r="V204" s="1">
        <f t="shared" si="12"/>
        <v>0.226709611</v>
      </c>
      <c r="W204" s="1">
        <f t="shared" si="13"/>
        <v>2</v>
      </c>
      <c r="X204" s="1">
        <f t="shared" si="14"/>
        <v>0</v>
      </c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ht="15.75" customHeight="1">
      <c r="A205" s="1"/>
      <c r="B205" s="1">
        <v>6.0</v>
      </c>
      <c r="C205" s="1">
        <v>1.0</v>
      </c>
      <c r="D205" s="1">
        <v>3.0</v>
      </c>
      <c r="E205" s="1">
        <v>2.0</v>
      </c>
      <c r="F205" s="1">
        <v>2.0</v>
      </c>
      <c r="G205" s="3">
        <v>1.0</v>
      </c>
      <c r="H205" s="1">
        <v>1.0</v>
      </c>
      <c r="I205" s="1">
        <v>1.0</v>
      </c>
      <c r="J205" s="1">
        <v>1.0</v>
      </c>
      <c r="K205" s="1">
        <v>2.0</v>
      </c>
      <c r="L205" s="1">
        <f t="shared" ref="L205:N205" si="591">SUMPRODUCT($B205:$J205, INDEX($B$2:$J$4, L$10, 0)) + INDEX($K$2:$K$4, L$10,1)</f>
        <v>11.12716951</v>
      </c>
      <c r="M205" s="1">
        <f t="shared" si="591"/>
        <v>10.16966809</v>
      </c>
      <c r="N205" s="1">
        <f t="shared" si="591"/>
        <v>10.77005946</v>
      </c>
      <c r="O205" s="1">
        <f t="shared" ref="O205:Q205" si="592">(L205-L$7)/(L$6-L$7)</f>
        <v>0.05344498979</v>
      </c>
      <c r="P205" s="1">
        <f t="shared" si="592"/>
        <v>0.04520960021</v>
      </c>
      <c r="Q205" s="1">
        <f t="shared" si="592"/>
        <v>0.05214261121</v>
      </c>
      <c r="R205" s="1">
        <f t="shared" ref="R205:T205" si="593">1/(1+EXP(-O205))</f>
        <v>0.513358068</v>
      </c>
      <c r="S205" s="1">
        <f t="shared" si="593"/>
        <v>0.5113004754</v>
      </c>
      <c r="T205" s="1">
        <f t="shared" si="593"/>
        <v>0.5130327001</v>
      </c>
      <c r="U205" s="1">
        <f t="shared" si="11"/>
        <v>2.536550774</v>
      </c>
      <c r="V205" s="1">
        <f t="shared" si="12"/>
        <v>0.2878867329</v>
      </c>
      <c r="W205" s="1">
        <f t="shared" si="13"/>
        <v>2</v>
      </c>
      <c r="X205" s="1">
        <f t="shared" si="14"/>
        <v>0</v>
      </c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ht="15.75" customHeight="1">
      <c r="A206" s="1"/>
      <c r="B206" s="1">
        <v>6.0</v>
      </c>
      <c r="C206" s="1">
        <v>10.0</v>
      </c>
      <c r="D206" s="1">
        <v>5.0</v>
      </c>
      <c r="E206" s="1">
        <v>5.0</v>
      </c>
      <c r="F206" s="1">
        <v>4.0</v>
      </c>
      <c r="G206" s="3">
        <v>10.0</v>
      </c>
      <c r="H206" s="1">
        <v>6.0</v>
      </c>
      <c r="I206" s="1">
        <v>10.0</v>
      </c>
      <c r="J206" s="1">
        <v>1.0</v>
      </c>
      <c r="K206" s="1">
        <v>4.0</v>
      </c>
      <c r="L206" s="1">
        <f t="shared" ref="L206:N206" si="594">SUMPRODUCT($B206:$J206, INDEX($B$2:$J$4, L$10, 0)) + INDEX($K$2:$K$4, L$10,1)</f>
        <v>60.73698599</v>
      </c>
      <c r="M206" s="1">
        <f t="shared" si="594"/>
        <v>59.49266495</v>
      </c>
      <c r="N206" s="1">
        <f t="shared" si="594"/>
        <v>59.18944137</v>
      </c>
      <c r="O206" s="1">
        <f t="shared" ref="O206:Q206" si="595">(L206-L$7)/(L$6-L$7)</f>
        <v>0.8646812669</v>
      </c>
      <c r="P206" s="1">
        <f t="shared" si="595"/>
        <v>0.8898145651</v>
      </c>
      <c r="Q206" s="1">
        <f t="shared" si="595"/>
        <v>0.8709463501</v>
      </c>
      <c r="R206" s="1">
        <f t="shared" ref="R206:T206" si="596">1/(1+EXP(-O206))</f>
        <v>0.7036377764</v>
      </c>
      <c r="S206" s="1">
        <f t="shared" si="596"/>
        <v>0.7088519038</v>
      </c>
      <c r="T206" s="1">
        <f t="shared" si="596"/>
        <v>0.7049425756</v>
      </c>
      <c r="U206" s="1">
        <f t="shared" si="11"/>
        <v>3.492999933</v>
      </c>
      <c r="V206" s="1">
        <f t="shared" si="12"/>
        <v>0.2570490681</v>
      </c>
      <c r="W206" s="1">
        <f t="shared" si="13"/>
        <v>4</v>
      </c>
      <c r="X206" s="1">
        <f t="shared" si="14"/>
        <v>0</v>
      </c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ht="15.75" customHeight="1">
      <c r="A207" s="1"/>
      <c r="B207" s="1">
        <v>5.0</v>
      </c>
      <c r="C207" s="1">
        <v>10.0</v>
      </c>
      <c r="D207" s="1">
        <v>10.0</v>
      </c>
      <c r="E207" s="1">
        <v>10.0</v>
      </c>
      <c r="F207" s="1">
        <v>5.0</v>
      </c>
      <c r="G207" s="3">
        <v>2.0</v>
      </c>
      <c r="H207" s="1">
        <v>8.0</v>
      </c>
      <c r="I207" s="1">
        <v>5.0</v>
      </c>
      <c r="J207" s="1">
        <v>1.0</v>
      </c>
      <c r="K207" s="1">
        <v>4.0</v>
      </c>
      <c r="L207" s="1">
        <f t="shared" ref="L207:N207" si="597">SUMPRODUCT($B207:$J207, INDEX($B$2:$J$4, L$10, 0)) + INDEX($K$2:$K$4, L$10,1)</f>
        <v>41.3549635</v>
      </c>
      <c r="M207" s="1">
        <f t="shared" si="597"/>
        <v>38.31734144</v>
      </c>
      <c r="N207" s="1">
        <f t="shared" si="597"/>
        <v>38.58799462</v>
      </c>
      <c r="O207" s="1">
        <f t="shared" ref="O207:Q207" si="598">(L207-L$7)/(L$6-L$7)</f>
        <v>0.5477399661</v>
      </c>
      <c r="P207" s="1">
        <f t="shared" si="598"/>
        <v>0.5272091982</v>
      </c>
      <c r="Q207" s="1">
        <f t="shared" si="598"/>
        <v>0.5225622741</v>
      </c>
      <c r="R207" s="1">
        <f t="shared" ref="R207:T207" si="599">1/(1+EXP(-O207))</f>
        <v>0.6336110871</v>
      </c>
      <c r="S207" s="1">
        <f t="shared" si="599"/>
        <v>0.6288319669</v>
      </c>
      <c r="T207" s="1">
        <f t="shared" si="599"/>
        <v>0.6277467162</v>
      </c>
      <c r="U207" s="1">
        <f t="shared" si="11"/>
        <v>3.117662269</v>
      </c>
      <c r="V207" s="1">
        <f t="shared" si="12"/>
        <v>0.778519872</v>
      </c>
      <c r="W207" s="1">
        <f t="shared" si="13"/>
        <v>4</v>
      </c>
      <c r="X207" s="1">
        <f t="shared" si="14"/>
        <v>0</v>
      </c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ht="15.75" customHeight="1">
      <c r="A208" s="1"/>
      <c r="B208" s="1">
        <v>8.0</v>
      </c>
      <c r="C208" s="1">
        <v>3.0</v>
      </c>
      <c r="D208" s="1">
        <v>8.0</v>
      </c>
      <c r="E208" s="1">
        <v>3.0</v>
      </c>
      <c r="F208" s="1">
        <v>4.0</v>
      </c>
      <c r="G208" s="3">
        <v>9.0</v>
      </c>
      <c r="H208" s="1">
        <v>8.0</v>
      </c>
      <c r="I208" s="1">
        <v>9.0</v>
      </c>
      <c r="J208" s="1">
        <v>8.0</v>
      </c>
      <c r="K208" s="1">
        <v>4.0</v>
      </c>
      <c r="L208" s="1">
        <f t="shared" ref="L208:N208" si="600">SUMPRODUCT($B208:$J208, INDEX($B$2:$J$4, L$10, 0)) + INDEX($K$2:$K$4, L$10,1)</f>
        <v>50.71263973</v>
      </c>
      <c r="M208" s="1">
        <f t="shared" si="600"/>
        <v>48.25395125</v>
      </c>
      <c r="N208" s="1">
        <f t="shared" si="600"/>
        <v>50.26852377</v>
      </c>
      <c r="O208" s="1">
        <f t="shared" ref="O208:Q208" si="601">(L208-L$7)/(L$6-L$7)</f>
        <v>0.700759811</v>
      </c>
      <c r="P208" s="1">
        <f t="shared" si="601"/>
        <v>0.6973632949</v>
      </c>
      <c r="Q208" s="1">
        <f t="shared" si="601"/>
        <v>0.7200877395</v>
      </c>
      <c r="R208" s="1">
        <f t="shared" ref="R208:T208" si="602">1/(1+EXP(-O208))</f>
        <v>0.6683562105</v>
      </c>
      <c r="S208" s="1">
        <f t="shared" si="602"/>
        <v>0.6676029217</v>
      </c>
      <c r="T208" s="1">
        <f t="shared" si="602"/>
        <v>0.6726263376</v>
      </c>
      <c r="U208" s="1">
        <f t="shared" si="11"/>
        <v>3.313643436</v>
      </c>
      <c r="V208" s="1">
        <f t="shared" si="12"/>
        <v>0.4710853335</v>
      </c>
      <c r="W208" s="1">
        <f t="shared" si="13"/>
        <v>4</v>
      </c>
      <c r="X208" s="1">
        <f t="shared" si="14"/>
        <v>0</v>
      </c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ht="15.75" customHeight="1">
      <c r="A209" s="1"/>
      <c r="B209" s="1">
        <v>4.0</v>
      </c>
      <c r="C209" s="1">
        <v>1.0</v>
      </c>
      <c r="D209" s="1">
        <v>1.0</v>
      </c>
      <c r="E209" s="1">
        <v>1.0</v>
      </c>
      <c r="F209" s="1">
        <v>2.0</v>
      </c>
      <c r="G209" s="3">
        <v>1.0</v>
      </c>
      <c r="H209" s="1">
        <v>2.0</v>
      </c>
      <c r="I209" s="1">
        <v>1.0</v>
      </c>
      <c r="J209" s="1">
        <v>1.0</v>
      </c>
      <c r="K209" s="1">
        <v>2.0</v>
      </c>
      <c r="L209" s="1">
        <f t="shared" ref="L209:N209" si="603">SUMPRODUCT($B209:$J209, INDEX($B$2:$J$4, L$10, 0)) + INDEX($K$2:$K$4, L$10,1)</f>
        <v>8.001062154</v>
      </c>
      <c r="M209" s="1">
        <f t="shared" si="603"/>
        <v>7.588037275</v>
      </c>
      <c r="N209" s="1">
        <f t="shared" si="603"/>
        <v>7.716313948</v>
      </c>
      <c r="O209" s="1">
        <f t="shared" ref="O209:Q209" si="604">(L209-L$7)/(L$6-L$7)</f>
        <v>0.002325839001</v>
      </c>
      <c r="P209" s="1">
        <f t="shared" si="604"/>
        <v>0.001001860633</v>
      </c>
      <c r="Q209" s="1">
        <f t="shared" si="604"/>
        <v>0.0005017570206</v>
      </c>
      <c r="R209" s="1">
        <f t="shared" ref="R209:T209" si="605">1/(1+EXP(-O209))</f>
        <v>0.5005814595</v>
      </c>
      <c r="S209" s="1">
        <f t="shared" si="605"/>
        <v>0.5002504651</v>
      </c>
      <c r="T209" s="1">
        <f t="shared" si="605"/>
        <v>0.5001254393</v>
      </c>
      <c r="U209" s="1">
        <f t="shared" si="11"/>
        <v>2.475946115</v>
      </c>
      <c r="V209" s="1">
        <f t="shared" si="12"/>
        <v>0.2265247046</v>
      </c>
      <c r="W209" s="1">
        <f t="shared" si="13"/>
        <v>2</v>
      </c>
      <c r="X209" s="1">
        <f t="shared" si="14"/>
        <v>0</v>
      </c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ht="15.75" customHeight="1">
      <c r="A210" s="1"/>
      <c r="B210" s="1">
        <v>10.0</v>
      </c>
      <c r="C210" s="1">
        <v>10.0</v>
      </c>
      <c r="D210" s="1">
        <v>10.0</v>
      </c>
      <c r="E210" s="1">
        <v>10.0</v>
      </c>
      <c r="F210" s="1">
        <v>7.0</v>
      </c>
      <c r="G210" s="3">
        <v>10.0</v>
      </c>
      <c r="H210" s="1">
        <v>7.0</v>
      </c>
      <c r="I210" s="1">
        <v>10.0</v>
      </c>
      <c r="J210" s="1">
        <v>4.0</v>
      </c>
      <c r="K210" s="1">
        <v>4.0</v>
      </c>
      <c r="L210" s="1">
        <f t="shared" ref="L210:N210" si="606">SUMPRODUCT($B210:$J210, INDEX($B$2:$J$4, L$10, 0)) + INDEX($K$2:$K$4, L$10,1)</f>
        <v>68.9164976</v>
      </c>
      <c r="M210" s="1">
        <f t="shared" si="606"/>
        <v>65.92724107</v>
      </c>
      <c r="N210" s="1">
        <f t="shared" si="606"/>
        <v>66.8209259</v>
      </c>
      <c r="O210" s="1">
        <f t="shared" ref="O210:Q210" si="607">(L210-L$7)/(L$6-L$7)</f>
        <v>0.9984353707</v>
      </c>
      <c r="P210" s="1">
        <f t="shared" si="607"/>
        <v>0.9999999813</v>
      </c>
      <c r="Q210" s="1">
        <f t="shared" si="607"/>
        <v>0.9999997956</v>
      </c>
      <c r="R210" s="1">
        <f t="shared" ref="R210:T210" si="608">1/(1+EXP(-O210))</f>
        <v>0.7307508426</v>
      </c>
      <c r="S210" s="1">
        <f t="shared" si="608"/>
        <v>0.731058575</v>
      </c>
      <c r="T210" s="1">
        <f t="shared" si="608"/>
        <v>0.7310585384</v>
      </c>
      <c r="U210" s="1">
        <f t="shared" si="11"/>
        <v>3.617371538</v>
      </c>
      <c r="V210" s="1">
        <f t="shared" si="12"/>
        <v>0.1464045397</v>
      </c>
      <c r="W210" s="1">
        <f t="shared" si="13"/>
        <v>4</v>
      </c>
      <c r="X210" s="1">
        <f t="shared" si="14"/>
        <v>0</v>
      </c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ht="15.75" customHeight="1">
      <c r="A211" s="1"/>
      <c r="B211" s="1">
        <v>6.0</v>
      </c>
      <c r="C211" s="1">
        <v>1.0</v>
      </c>
      <c r="D211" s="1">
        <v>3.0</v>
      </c>
      <c r="E211" s="1">
        <v>1.0</v>
      </c>
      <c r="F211" s="1">
        <v>2.0</v>
      </c>
      <c r="G211" s="3">
        <v>1.0</v>
      </c>
      <c r="H211" s="1">
        <v>3.0</v>
      </c>
      <c r="I211" s="1">
        <v>1.0</v>
      </c>
      <c r="J211" s="1">
        <v>1.0</v>
      </c>
      <c r="K211" s="1">
        <v>2.0</v>
      </c>
      <c r="L211" s="1">
        <f t="shared" ref="L211:N211" si="609">SUMPRODUCT($B211:$J211, INDEX($B$2:$J$4, L$10, 0)) + INDEX($K$2:$K$4, L$10,1)</f>
        <v>11.15968936</v>
      </c>
      <c r="M211" s="1">
        <f t="shared" si="609"/>
        <v>10.16966809</v>
      </c>
      <c r="N211" s="1">
        <f t="shared" si="609"/>
        <v>10.76726925</v>
      </c>
      <c r="O211" s="1">
        <f t="shared" ref="O211:Q211" si="610">(L211-L$7)/(L$6-L$7)</f>
        <v>0.05397676523</v>
      </c>
      <c r="P211" s="1">
        <f t="shared" si="610"/>
        <v>0.04520960021</v>
      </c>
      <c r="Q211" s="1">
        <f t="shared" si="610"/>
        <v>0.052095427</v>
      </c>
      <c r="R211" s="1">
        <f t="shared" ref="R211:T211" si="611">1/(1+EXP(-O211))</f>
        <v>0.513490916</v>
      </c>
      <c r="S211" s="1">
        <f t="shared" si="611"/>
        <v>0.5113004754</v>
      </c>
      <c r="T211" s="1">
        <f t="shared" si="611"/>
        <v>0.5130209121</v>
      </c>
      <c r="U211" s="1">
        <f t="shared" si="11"/>
        <v>2.536740821</v>
      </c>
      <c r="V211" s="1">
        <f t="shared" si="12"/>
        <v>0.2880907084</v>
      </c>
      <c r="W211" s="1">
        <f t="shared" si="13"/>
        <v>2</v>
      </c>
      <c r="X211" s="1">
        <f t="shared" si="14"/>
        <v>0</v>
      </c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ht="15.75" customHeight="1">
      <c r="A212" s="1"/>
      <c r="B212" s="1">
        <v>9.0</v>
      </c>
      <c r="C212" s="1">
        <v>1.0</v>
      </c>
      <c r="D212" s="1">
        <v>2.0</v>
      </c>
      <c r="E212" s="1">
        <v>6.0</v>
      </c>
      <c r="F212" s="1">
        <v>4.0</v>
      </c>
      <c r="G212" s="3">
        <v>10.0</v>
      </c>
      <c r="H212" s="1">
        <v>7.0</v>
      </c>
      <c r="I212" s="1">
        <v>7.0</v>
      </c>
      <c r="J212" s="1">
        <v>2.0</v>
      </c>
      <c r="K212" s="1">
        <v>4.0</v>
      </c>
      <c r="L212" s="1">
        <f t="shared" ref="L212:N212" si="612">SUMPRODUCT($B212:$J212, INDEX($B$2:$J$4, L$10, 0)) + INDEX($K$2:$K$4, L$10,1)</f>
        <v>40.99443136</v>
      </c>
      <c r="M212" s="1">
        <f t="shared" si="612"/>
        <v>40.01809594</v>
      </c>
      <c r="N212" s="1">
        <f t="shared" si="612"/>
        <v>41.11443536</v>
      </c>
      <c r="O212" s="1">
        <f t="shared" ref="O212:Q212" si="613">(L212-L$7)/(L$6-L$7)</f>
        <v>0.5418444242</v>
      </c>
      <c r="P212" s="1">
        <f t="shared" si="613"/>
        <v>0.5563328483</v>
      </c>
      <c r="Q212" s="1">
        <f t="shared" si="613"/>
        <v>0.5652860563</v>
      </c>
      <c r="R212" s="1">
        <f t="shared" ref="R212:T212" si="614">1/(1+EXP(-O212))</f>
        <v>0.6322413734</v>
      </c>
      <c r="S212" s="1">
        <f t="shared" si="614"/>
        <v>0.6356036083</v>
      </c>
      <c r="T212" s="1">
        <f t="shared" si="614"/>
        <v>0.6376747473</v>
      </c>
      <c r="U212" s="1">
        <f t="shared" si="11"/>
        <v>3.143704351</v>
      </c>
      <c r="V212" s="1">
        <f t="shared" si="12"/>
        <v>0.7332422388</v>
      </c>
      <c r="W212" s="1">
        <f t="shared" si="13"/>
        <v>4</v>
      </c>
      <c r="X212" s="1">
        <f t="shared" si="14"/>
        <v>0</v>
      </c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ht="15.75" customHeight="1">
      <c r="A213" s="1"/>
      <c r="B213" s="1">
        <v>1.0</v>
      </c>
      <c r="C213" s="1">
        <v>1.0</v>
      </c>
      <c r="D213" s="1">
        <v>1.0</v>
      </c>
      <c r="E213" s="1">
        <v>1.0</v>
      </c>
      <c r="F213" s="1">
        <v>1.0</v>
      </c>
      <c r="G213" s="3">
        <v>1.0</v>
      </c>
      <c r="H213" s="1">
        <v>2.0</v>
      </c>
      <c r="I213" s="1">
        <v>1.0</v>
      </c>
      <c r="J213" s="1">
        <v>1.0</v>
      </c>
      <c r="K213" s="1">
        <v>2.0</v>
      </c>
      <c r="L213" s="1">
        <f t="shared" ref="L213:N213" si="615">SUMPRODUCT($B213:$J213, INDEX($B$2:$J$4, L$10, 0)) + INDEX($K$2:$K$4, L$10,1)</f>
        <v>7.891122029</v>
      </c>
      <c r="M213" s="1">
        <f t="shared" si="615"/>
        <v>7.529530907</v>
      </c>
      <c r="N213" s="1">
        <f t="shared" si="615"/>
        <v>7.686646929</v>
      </c>
      <c r="O213" s="1">
        <f t="shared" ref="O213:Q213" si="616">(L213-L$7)/(L$6-L$7)</f>
        <v>0.0005280613841</v>
      </c>
      <c r="P213" s="1">
        <f t="shared" si="616"/>
        <v>0</v>
      </c>
      <c r="Q213" s="1">
        <f t="shared" si="616"/>
        <v>0.00000006813089816</v>
      </c>
      <c r="R213" s="1">
        <f t="shared" ref="R213:T213" si="617">1/(1+EXP(-O213))</f>
        <v>0.5001320153</v>
      </c>
      <c r="S213" s="1">
        <f t="shared" si="617"/>
        <v>0.5</v>
      </c>
      <c r="T213" s="1">
        <f t="shared" si="617"/>
        <v>0.500000017</v>
      </c>
      <c r="U213" s="1">
        <f t="shared" si="11"/>
        <v>2.474606266</v>
      </c>
      <c r="V213" s="1">
        <f t="shared" si="12"/>
        <v>0.2252511073</v>
      </c>
      <c r="W213" s="1">
        <f t="shared" si="13"/>
        <v>2</v>
      </c>
      <c r="X213" s="1">
        <f t="shared" si="14"/>
        <v>0</v>
      </c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ht="15.75" customHeight="1">
      <c r="A214" s="1"/>
      <c r="B214" s="1">
        <v>4.0</v>
      </c>
      <c r="C214" s="1">
        <v>2.0</v>
      </c>
      <c r="D214" s="1">
        <v>2.0</v>
      </c>
      <c r="E214" s="1">
        <v>1.0</v>
      </c>
      <c r="F214" s="1">
        <v>2.0</v>
      </c>
      <c r="G214" s="3">
        <v>1.0</v>
      </c>
      <c r="H214" s="1">
        <v>2.0</v>
      </c>
      <c r="I214" s="1">
        <v>1.0</v>
      </c>
      <c r="J214" s="1">
        <v>1.0</v>
      </c>
      <c r="K214" s="1">
        <v>2.0</v>
      </c>
      <c r="L214" s="1">
        <f t="shared" ref="L214:N214" si="618">SUMPRODUCT($B214:$J214, INDEX($B$2:$J$4, L$10, 0)) + INDEX($K$2:$K$4, L$10,1)</f>
        <v>11.14377648</v>
      </c>
      <c r="M214" s="1">
        <f t="shared" si="618"/>
        <v>10.50832386</v>
      </c>
      <c r="N214" s="1">
        <f t="shared" si="618"/>
        <v>10.63851187</v>
      </c>
      <c r="O214" s="1">
        <f t="shared" ref="O214:Q214" si="619">(L214-L$7)/(L$6-L$7)</f>
        <v>0.05371655252</v>
      </c>
      <c r="P214" s="1">
        <f t="shared" si="619"/>
        <v>0.05100872779</v>
      </c>
      <c r="Q214" s="1">
        <f t="shared" si="619"/>
        <v>0.04991805456</v>
      </c>
      <c r="R214" s="1">
        <f t="shared" ref="R214:T214" si="620">1/(1+EXP(-O214))</f>
        <v>0.5134259099</v>
      </c>
      <c r="S214" s="1">
        <f t="shared" si="620"/>
        <v>0.5127494177</v>
      </c>
      <c r="T214" s="1">
        <f t="shared" si="620"/>
        <v>0.5124769229</v>
      </c>
      <c r="U214" s="1">
        <f t="shared" si="11"/>
        <v>2.538094641</v>
      </c>
      <c r="V214" s="1">
        <f t="shared" si="12"/>
        <v>0.2895458428</v>
      </c>
      <c r="W214" s="1">
        <f t="shared" si="13"/>
        <v>2</v>
      </c>
      <c r="X214" s="1">
        <f t="shared" si="14"/>
        <v>0</v>
      </c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ht="15.75" customHeight="1">
      <c r="A215" s="1"/>
      <c r="B215" s="1">
        <v>10.0</v>
      </c>
      <c r="C215" s="1">
        <v>6.0</v>
      </c>
      <c r="D215" s="1">
        <v>5.0</v>
      </c>
      <c r="E215" s="1">
        <v>8.0</v>
      </c>
      <c r="F215" s="1">
        <v>5.0</v>
      </c>
      <c r="G215" s="3">
        <v>10.0</v>
      </c>
      <c r="H215" s="1">
        <v>8.0</v>
      </c>
      <c r="I215" s="1">
        <v>6.0</v>
      </c>
      <c r="J215" s="1">
        <v>1.0</v>
      </c>
      <c r="K215" s="1">
        <v>4.0</v>
      </c>
      <c r="L215" s="1">
        <f t="shared" ref="L215:N215" si="621">SUMPRODUCT($B215:$J215, INDEX($B$2:$J$4, L$10, 0)) + INDEX($K$2:$K$4, L$10,1)</f>
        <v>53.50341328</v>
      </c>
      <c r="M215" s="1">
        <f t="shared" si="621"/>
        <v>51.8036124</v>
      </c>
      <c r="N215" s="1">
        <f t="shared" si="621"/>
        <v>52.40933666</v>
      </c>
      <c r="O215" s="1">
        <f t="shared" ref="O215:Q215" si="622">(L215-L$7)/(L$6-L$7)</f>
        <v>0.7463954715</v>
      </c>
      <c r="P215" s="1">
        <f t="shared" si="622"/>
        <v>0.7581475462</v>
      </c>
      <c r="Q215" s="1">
        <f t="shared" si="622"/>
        <v>0.7562902998</v>
      </c>
      <c r="R215" s="1">
        <f t="shared" ref="R215:T215" si="623">1/(1+EXP(-O215))</f>
        <v>0.6783927837</v>
      </c>
      <c r="S215" s="1">
        <f t="shared" si="623"/>
        <v>0.680951411</v>
      </c>
      <c r="T215" s="1">
        <f t="shared" si="623"/>
        <v>0.6805477764</v>
      </c>
      <c r="U215" s="1">
        <f t="shared" si="11"/>
        <v>3.365145988</v>
      </c>
      <c r="V215" s="1">
        <f t="shared" si="12"/>
        <v>0.4030396166</v>
      </c>
      <c r="W215" s="1">
        <f t="shared" si="13"/>
        <v>4</v>
      </c>
      <c r="X215" s="1">
        <f t="shared" si="14"/>
        <v>0</v>
      </c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ht="15.75" customHeight="1">
      <c r="A216" s="1"/>
      <c r="B216" s="1">
        <v>2.0</v>
      </c>
      <c r="C216" s="1">
        <v>3.0</v>
      </c>
      <c r="D216" s="1">
        <v>1.0</v>
      </c>
      <c r="E216" s="1">
        <v>1.0</v>
      </c>
      <c r="F216" s="1">
        <v>2.0</v>
      </c>
      <c r="G216" s="3">
        <v>1.0</v>
      </c>
      <c r="H216" s="1">
        <v>2.0</v>
      </c>
      <c r="I216" s="1">
        <v>1.0</v>
      </c>
      <c r="J216" s="1">
        <v>1.0</v>
      </c>
      <c r="K216" s="1">
        <v>2.0</v>
      </c>
      <c r="L216" s="1">
        <f t="shared" ref="L216:N216" si="624">SUMPRODUCT($B216:$J216, INDEX($B$2:$J$4, L$10, 0)) + INDEX($K$2:$K$4, L$10,1)</f>
        <v>11.16015632</v>
      </c>
      <c r="M216" s="1">
        <f t="shared" si="624"/>
        <v>10.84697964</v>
      </c>
      <c r="N216" s="1">
        <f t="shared" si="624"/>
        <v>10.50975851</v>
      </c>
      <c r="O216" s="1">
        <f t="shared" ref="O216:Q216" si="625">(L216-L$7)/(L$6-L$7)</f>
        <v>0.0539844012</v>
      </c>
      <c r="P216" s="1">
        <f t="shared" si="625"/>
        <v>0.05680785537</v>
      </c>
      <c r="Q216" s="1">
        <f t="shared" si="625"/>
        <v>0.04774075026</v>
      </c>
      <c r="R216" s="1">
        <f t="shared" ref="R216:T216" si="626">1/(1+EXP(-O216))</f>
        <v>0.5134928236</v>
      </c>
      <c r="S216" s="1">
        <f t="shared" si="626"/>
        <v>0.5141981458</v>
      </c>
      <c r="T216" s="1">
        <f t="shared" si="626"/>
        <v>0.5119329212</v>
      </c>
      <c r="U216" s="1">
        <f t="shared" si="11"/>
        <v>2.539656895</v>
      </c>
      <c r="V216" s="1">
        <f t="shared" si="12"/>
        <v>0.2912295646</v>
      </c>
      <c r="W216" s="1">
        <f t="shared" si="13"/>
        <v>2</v>
      </c>
      <c r="X216" s="1">
        <f t="shared" si="14"/>
        <v>0</v>
      </c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ht="15.75" customHeight="1">
      <c r="A217" s="1"/>
      <c r="B217" s="1">
        <v>1.0</v>
      </c>
      <c r="C217" s="1">
        <v>1.0</v>
      </c>
      <c r="D217" s="1">
        <v>1.0</v>
      </c>
      <c r="E217" s="1">
        <v>1.0</v>
      </c>
      <c r="F217" s="1">
        <v>2.0</v>
      </c>
      <c r="G217" s="3">
        <v>1.0</v>
      </c>
      <c r="H217" s="1">
        <v>1.0</v>
      </c>
      <c r="I217" s="1">
        <v>1.0</v>
      </c>
      <c r="J217" s="1">
        <v>8.0</v>
      </c>
      <c r="K217" s="1">
        <v>2.0</v>
      </c>
      <c r="L217" s="1">
        <f t="shared" ref="L217:N217" si="627">SUMPRODUCT($B217:$J217, INDEX($B$2:$J$4, L$10, 0)) + INDEX($K$2:$K$4, L$10,1)</f>
        <v>7.921139731</v>
      </c>
      <c r="M217" s="1">
        <f t="shared" si="627"/>
        <v>7.529531272</v>
      </c>
      <c r="N217" s="1">
        <f t="shared" si="627"/>
        <v>7.6866429</v>
      </c>
      <c r="O217" s="1">
        <f t="shared" ref="O217:Q217" si="628">(L217-L$7)/(L$6-L$7)</f>
        <v>0.001018920854</v>
      </c>
      <c r="P217" s="1">
        <f t="shared" si="628"/>
        <v>0.000000006234892308</v>
      </c>
      <c r="Q217" s="1">
        <f t="shared" si="628"/>
        <v>0</v>
      </c>
      <c r="R217" s="1">
        <f t="shared" ref="R217:T217" si="629">1/(1+EXP(-O217))</f>
        <v>0.5002547302</v>
      </c>
      <c r="S217" s="1">
        <f t="shared" si="629"/>
        <v>0.5000000016</v>
      </c>
      <c r="T217" s="1">
        <f t="shared" si="629"/>
        <v>0.5</v>
      </c>
      <c r="U217" s="1">
        <f t="shared" si="11"/>
        <v>2.474800478</v>
      </c>
      <c r="V217" s="1">
        <f t="shared" si="12"/>
        <v>0.2254354935</v>
      </c>
      <c r="W217" s="1">
        <f t="shared" si="13"/>
        <v>2</v>
      </c>
      <c r="X217" s="1">
        <f t="shared" si="14"/>
        <v>0</v>
      </c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ht="15.75" customHeight="1">
      <c r="A218" s="1"/>
      <c r="B218" s="1">
        <v>5.0</v>
      </c>
      <c r="C218" s="1">
        <v>10.0</v>
      </c>
      <c r="D218" s="1">
        <v>10.0</v>
      </c>
      <c r="E218" s="1">
        <v>3.0</v>
      </c>
      <c r="F218" s="1">
        <v>7.0</v>
      </c>
      <c r="G218" s="3">
        <v>3.0</v>
      </c>
      <c r="H218" s="1">
        <v>8.0</v>
      </c>
      <c r="I218" s="1">
        <v>10.0</v>
      </c>
      <c r="J218" s="1">
        <v>2.0</v>
      </c>
      <c r="K218" s="1">
        <v>4.0</v>
      </c>
      <c r="L218" s="1">
        <f t="shared" ref="L218:N218" si="630">SUMPRODUCT($B218:$J218, INDEX($B$2:$J$4, L$10, 0)) + INDEX($K$2:$K$4, L$10,1)</f>
        <v>45.92406233</v>
      </c>
      <c r="M218" s="1">
        <f t="shared" si="630"/>
        <v>43.03735598</v>
      </c>
      <c r="N218" s="1">
        <f t="shared" si="630"/>
        <v>43.40561322</v>
      </c>
      <c r="O218" s="1">
        <f t="shared" ref="O218:Q218" si="631">(L218-L$7)/(L$6-L$7)</f>
        <v>0.6224553952</v>
      </c>
      <c r="P218" s="1">
        <f t="shared" si="631"/>
        <v>0.6080345327</v>
      </c>
      <c r="Q218" s="1">
        <f t="shared" si="631"/>
        <v>0.6040313876</v>
      </c>
      <c r="R218" s="1">
        <f t="shared" ref="R218:T218" si="632">1/(1+EXP(-O218))</f>
        <v>0.6507767837</v>
      </c>
      <c r="S218" s="1">
        <f t="shared" si="632"/>
        <v>0.6474923222</v>
      </c>
      <c r="T218" s="1">
        <f t="shared" si="632"/>
        <v>0.6465780817</v>
      </c>
      <c r="U218" s="1">
        <f t="shared" si="11"/>
        <v>3.207936214</v>
      </c>
      <c r="V218" s="1">
        <f t="shared" si="12"/>
        <v>0.6273650404</v>
      </c>
      <c r="W218" s="1">
        <f t="shared" si="13"/>
        <v>4</v>
      </c>
      <c r="X218" s="1">
        <f t="shared" si="14"/>
        <v>0</v>
      </c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ht="15.75" customHeight="1">
      <c r="A219" s="1"/>
      <c r="B219" s="1">
        <v>6.0</v>
      </c>
      <c r="C219" s="1">
        <v>10.0</v>
      </c>
      <c r="D219" s="1">
        <v>10.0</v>
      </c>
      <c r="E219" s="1">
        <v>2.0</v>
      </c>
      <c r="F219" s="1">
        <v>8.0</v>
      </c>
      <c r="G219" s="3">
        <v>10.0</v>
      </c>
      <c r="H219" s="1">
        <v>7.0</v>
      </c>
      <c r="I219" s="1">
        <v>3.0</v>
      </c>
      <c r="J219" s="1">
        <v>3.0</v>
      </c>
      <c r="K219" s="1">
        <v>4.0</v>
      </c>
      <c r="L219" s="1">
        <f t="shared" ref="L219:N219" si="633">SUMPRODUCT($B219:$J219, INDEX($B$2:$J$4, L$10, 0)) + INDEX($K$2:$K$4, L$10,1)</f>
        <v>66.66644216</v>
      </c>
      <c r="M219" s="1">
        <f t="shared" si="633"/>
        <v>63.79968911</v>
      </c>
      <c r="N219" s="1">
        <f t="shared" si="633"/>
        <v>64.65615152</v>
      </c>
      <c r="O219" s="1">
        <f t="shared" ref="O219:Q219" si="634">(L219-L$7)/(L$6-L$7)</f>
        <v>0.9616417131</v>
      </c>
      <c r="P219" s="1">
        <f t="shared" si="634"/>
        <v>0.9635678692</v>
      </c>
      <c r="Q219" s="1">
        <f t="shared" si="634"/>
        <v>0.9633920305</v>
      </c>
      <c r="R219" s="1">
        <f t="shared" ref="R219:T219" si="635">1/(1+EXP(-O219))</f>
        <v>0.723450383</v>
      </c>
      <c r="S219" s="1">
        <f t="shared" si="635"/>
        <v>0.723835583</v>
      </c>
      <c r="T219" s="1">
        <f t="shared" si="635"/>
        <v>0.7238004319</v>
      </c>
      <c r="U219" s="1">
        <f t="shared" si="11"/>
        <v>3.581443551</v>
      </c>
      <c r="V219" s="1">
        <f t="shared" si="12"/>
        <v>0.1751895013</v>
      </c>
      <c r="W219" s="1">
        <f t="shared" si="13"/>
        <v>4</v>
      </c>
      <c r="X219" s="1">
        <f t="shared" si="14"/>
        <v>0</v>
      </c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ht="15.75" customHeight="1">
      <c r="A220" s="1"/>
      <c r="B220" s="1">
        <v>10.0</v>
      </c>
      <c r="C220" s="1">
        <v>10.0</v>
      </c>
      <c r="D220" s="1">
        <v>10.0</v>
      </c>
      <c r="E220" s="1">
        <v>2.0</v>
      </c>
      <c r="F220" s="1">
        <v>10.0</v>
      </c>
      <c r="G220" s="3">
        <v>10.0</v>
      </c>
      <c r="H220" s="1">
        <v>5.0</v>
      </c>
      <c r="I220" s="1">
        <v>3.0</v>
      </c>
      <c r="J220" s="1">
        <v>3.0</v>
      </c>
      <c r="K220" s="1">
        <v>4.0</v>
      </c>
      <c r="L220" s="1">
        <f t="shared" ref="L220:N220" si="636">SUMPRODUCT($B220:$J220, INDEX($B$2:$J$4, L$10, 0)) + INDEX($K$2:$K$4, L$10,1)</f>
        <v>66.78998383</v>
      </c>
      <c r="M220" s="1">
        <f t="shared" si="636"/>
        <v>63.87769784</v>
      </c>
      <c r="N220" s="1">
        <f t="shared" si="636"/>
        <v>64.69569948</v>
      </c>
      <c r="O220" s="1">
        <f t="shared" ref="O220:Q220" si="637">(L220-L$7)/(L$6-L$7)</f>
        <v>0.9636619078</v>
      </c>
      <c r="P220" s="1">
        <f t="shared" si="637"/>
        <v>0.9649036875</v>
      </c>
      <c r="Q220" s="1">
        <f t="shared" si="637"/>
        <v>0.9640608128</v>
      </c>
      <c r="R220" s="1">
        <f t="shared" ref="R220:T220" si="638">1/(1+EXP(-O220))</f>
        <v>0.7238543807</v>
      </c>
      <c r="S220" s="1">
        <f t="shared" si="638"/>
        <v>0.7241025301</v>
      </c>
      <c r="T220" s="1">
        <f t="shared" si="638"/>
        <v>0.7239341104</v>
      </c>
      <c r="U220" s="1">
        <f t="shared" si="11"/>
        <v>3.582752826</v>
      </c>
      <c r="V220" s="1">
        <f t="shared" si="12"/>
        <v>0.1740952045</v>
      </c>
      <c r="W220" s="1">
        <f t="shared" si="13"/>
        <v>4</v>
      </c>
      <c r="X220" s="1">
        <f t="shared" si="14"/>
        <v>0</v>
      </c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ht="15.75" customHeight="1">
      <c r="A221" s="1"/>
      <c r="B221" s="1">
        <v>5.0</v>
      </c>
      <c r="C221" s="1">
        <v>1.0</v>
      </c>
      <c r="D221" s="1">
        <v>1.0</v>
      </c>
      <c r="E221" s="1">
        <v>1.0</v>
      </c>
      <c r="F221" s="1">
        <v>2.0</v>
      </c>
      <c r="G221" s="3">
        <v>1.0</v>
      </c>
      <c r="H221" s="1">
        <v>3.0</v>
      </c>
      <c r="I221" s="1">
        <v>1.0</v>
      </c>
      <c r="J221" s="1">
        <v>1.0</v>
      </c>
      <c r="K221" s="1">
        <v>2.0</v>
      </c>
      <c r="L221" s="1">
        <f t="shared" ref="L221:N221" si="639">SUMPRODUCT($B221:$J221, INDEX($B$2:$J$4, L$10, 0)) + INDEX($K$2:$K$4, L$10,1)</f>
        <v>8.049231444</v>
      </c>
      <c r="M221" s="1">
        <f t="shared" si="639"/>
        <v>7.607539277</v>
      </c>
      <c r="N221" s="1">
        <f t="shared" si="639"/>
        <v>7.726206983</v>
      </c>
      <c r="O221" s="1">
        <f t="shared" ref="O221:Q221" si="640">(L221-L$7)/(L$6-L$7)</f>
        <v>0.003113519306</v>
      </c>
      <c r="P221" s="1">
        <f t="shared" si="640"/>
        <v>0.001335812098</v>
      </c>
      <c r="Q221" s="1">
        <f t="shared" si="640"/>
        <v>0.0006690547814</v>
      </c>
      <c r="R221" s="1">
        <f t="shared" ref="R221:T221" si="641">1/(1+EXP(-O221))</f>
        <v>0.5007783792</v>
      </c>
      <c r="S221" s="1">
        <f t="shared" si="641"/>
        <v>0.500333953</v>
      </c>
      <c r="T221" s="1">
        <f t="shared" si="641"/>
        <v>0.5001672637</v>
      </c>
      <c r="U221" s="1">
        <f t="shared" si="11"/>
        <v>2.47646732</v>
      </c>
      <c r="V221" s="1">
        <f t="shared" si="12"/>
        <v>0.2270211071</v>
      </c>
      <c r="W221" s="1">
        <f t="shared" si="13"/>
        <v>2</v>
      </c>
      <c r="X221" s="1">
        <f t="shared" si="14"/>
        <v>0</v>
      </c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ht="15.75" customHeight="1">
      <c r="A222" s="1"/>
      <c r="B222" s="1">
        <v>10.0</v>
      </c>
      <c r="C222" s="1">
        <v>4.0</v>
      </c>
      <c r="D222" s="1">
        <v>4.0</v>
      </c>
      <c r="E222" s="1">
        <v>10.0</v>
      </c>
      <c r="F222" s="1">
        <v>6.0</v>
      </c>
      <c r="G222" s="3">
        <v>10.0</v>
      </c>
      <c r="H222" s="1">
        <v>5.0</v>
      </c>
      <c r="I222" s="1">
        <v>5.0</v>
      </c>
      <c r="J222" s="1">
        <v>1.0</v>
      </c>
      <c r="K222" s="1">
        <v>4.0</v>
      </c>
      <c r="L222" s="1">
        <f t="shared" ref="L222:N222" si="642">SUMPRODUCT($B222:$J222, INDEX($B$2:$J$4, L$10, 0)) + INDEX($K$2:$K$4, L$10,1)</f>
        <v>48.51021949</v>
      </c>
      <c r="M222" s="1">
        <f t="shared" si="642"/>
        <v>46.94156094</v>
      </c>
      <c r="N222" s="1">
        <f t="shared" si="642"/>
        <v>47.78570728</v>
      </c>
      <c r="O222" s="1">
        <f t="shared" ref="O222:Q222" si="643">(L222-L$7)/(L$6-L$7)</f>
        <v>0.6647451002</v>
      </c>
      <c r="P222" s="1">
        <f t="shared" si="643"/>
        <v>0.6748899775</v>
      </c>
      <c r="Q222" s="1">
        <f t="shared" si="643"/>
        <v>0.6781016722</v>
      </c>
      <c r="R222" s="1">
        <f t="shared" ref="R222:T222" si="644">1/(1+EXP(-O222))</f>
        <v>0.6603255025</v>
      </c>
      <c r="S222" s="1">
        <f t="shared" si="644"/>
        <v>0.6625972407</v>
      </c>
      <c r="T222" s="1">
        <f t="shared" si="644"/>
        <v>0.6633148787</v>
      </c>
      <c r="U222" s="1">
        <f t="shared" si="11"/>
        <v>3.276693445</v>
      </c>
      <c r="V222" s="1">
        <f t="shared" si="12"/>
        <v>0.5231723721</v>
      </c>
      <c r="W222" s="1">
        <f t="shared" si="13"/>
        <v>4</v>
      </c>
      <c r="X222" s="1">
        <f t="shared" si="14"/>
        <v>0</v>
      </c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ht="15.75" customHeight="1">
      <c r="A223" s="1"/>
      <c r="B223" s="1">
        <v>7.0</v>
      </c>
      <c r="C223" s="1">
        <v>8.0</v>
      </c>
      <c r="D223" s="1">
        <v>7.0</v>
      </c>
      <c r="E223" s="1">
        <v>6.0</v>
      </c>
      <c r="F223" s="1">
        <v>4.0</v>
      </c>
      <c r="G223" s="3">
        <v>3.0</v>
      </c>
      <c r="H223" s="1">
        <v>8.0</v>
      </c>
      <c r="I223" s="1">
        <v>8.0</v>
      </c>
      <c r="J223" s="1">
        <v>4.0</v>
      </c>
      <c r="K223" s="1">
        <v>4.0</v>
      </c>
      <c r="L223" s="1">
        <f t="shared" ref="L223:N223" si="645">SUMPRODUCT($B223:$J223, INDEX($B$2:$J$4, L$10, 0)) + INDEX($K$2:$K$4, L$10,1)</f>
        <v>37.46312314</v>
      </c>
      <c r="M223" s="1">
        <f t="shared" si="645"/>
        <v>35.37888822</v>
      </c>
      <c r="N223" s="1">
        <f t="shared" si="645"/>
        <v>35.47299433</v>
      </c>
      <c r="O223" s="1">
        <f t="shared" ref="O223:Q223" si="646">(L223-L$7)/(L$6-L$7)</f>
        <v>0.4840992936</v>
      </c>
      <c r="P223" s="1">
        <f t="shared" si="646"/>
        <v>0.4768912464</v>
      </c>
      <c r="Q223" s="1">
        <f t="shared" si="646"/>
        <v>0.4698855612</v>
      </c>
      <c r="R223" s="1">
        <f t="shared" ref="R223:T223" si="647">1/(1+EXP(-O223))</f>
        <v>0.6187153949</v>
      </c>
      <c r="S223" s="1">
        <f t="shared" si="647"/>
        <v>0.6170135197</v>
      </c>
      <c r="T223" s="1">
        <f t="shared" si="647"/>
        <v>0.6153566699</v>
      </c>
      <c r="U223" s="1">
        <f t="shared" si="11"/>
        <v>3.053323397</v>
      </c>
      <c r="V223" s="1">
        <f t="shared" si="12"/>
        <v>0.8961965913</v>
      </c>
      <c r="W223" s="1">
        <f t="shared" si="13"/>
        <v>4</v>
      </c>
      <c r="X223" s="1">
        <f t="shared" si="14"/>
        <v>0</v>
      </c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ht="15.75" customHeight="1">
      <c r="A224" s="1"/>
      <c r="B224" s="1">
        <v>6.0</v>
      </c>
      <c r="C224" s="1">
        <v>10.0</v>
      </c>
      <c r="D224" s="1">
        <v>10.0</v>
      </c>
      <c r="E224" s="1">
        <v>10.0</v>
      </c>
      <c r="F224" s="1">
        <v>8.0</v>
      </c>
      <c r="G224" s="3">
        <v>10.0</v>
      </c>
      <c r="H224" s="1">
        <v>7.0</v>
      </c>
      <c r="I224" s="1">
        <v>10.0</v>
      </c>
      <c r="J224" s="1">
        <v>7.0</v>
      </c>
      <c r="K224" s="1">
        <v>4.0</v>
      </c>
      <c r="L224" s="1">
        <f t="shared" ref="L224:N224" si="648">SUMPRODUCT($B224:$J224, INDEX($B$2:$J$4, L$10, 0)) + INDEX($K$2:$K$4, L$10,1)</f>
        <v>68.91530176</v>
      </c>
      <c r="M224" s="1">
        <f t="shared" si="648"/>
        <v>65.84923343</v>
      </c>
      <c r="N224" s="1">
        <f t="shared" si="648"/>
        <v>66.78136987</v>
      </c>
      <c r="O224" s="1">
        <f t="shared" ref="O224:Q224" si="649">(L224-L$7)/(L$6-L$7)</f>
        <v>0.9984158158</v>
      </c>
      <c r="P224" s="1">
        <f t="shared" si="649"/>
        <v>0.9986641817</v>
      </c>
      <c r="Q224" s="1">
        <f t="shared" si="649"/>
        <v>0.9993308771</v>
      </c>
      <c r="R224" s="1">
        <f t="shared" ref="R224:T224" si="650">1/(1+EXP(-O224))</f>
        <v>0.7307469951</v>
      </c>
      <c r="S224" s="1">
        <f t="shared" si="650"/>
        <v>0.7307958598</v>
      </c>
      <c r="T224" s="1">
        <f t="shared" si="650"/>
        <v>0.7309270007</v>
      </c>
      <c r="U224" s="1">
        <f t="shared" si="11"/>
        <v>3.616706295</v>
      </c>
      <c r="V224" s="1">
        <f t="shared" si="12"/>
        <v>0.1469140647</v>
      </c>
      <c r="W224" s="1">
        <f t="shared" si="13"/>
        <v>4</v>
      </c>
      <c r="X224" s="1">
        <f t="shared" si="14"/>
        <v>0</v>
      </c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ht="15.75" customHeight="1">
      <c r="A225" s="1"/>
      <c r="B225" s="1">
        <v>5.0</v>
      </c>
      <c r="C225" s="1">
        <v>1.0</v>
      </c>
      <c r="D225" s="1">
        <v>1.0</v>
      </c>
      <c r="E225" s="1">
        <v>6.0</v>
      </c>
      <c r="F225" s="1">
        <v>3.0</v>
      </c>
      <c r="G225" s="3">
        <v>1.0</v>
      </c>
      <c r="H225" s="1">
        <v>2.0</v>
      </c>
      <c r="I225" s="1">
        <v>1.0</v>
      </c>
      <c r="J225" s="1">
        <v>1.0</v>
      </c>
      <c r="K225" s="1">
        <v>2.0</v>
      </c>
      <c r="L225" s="1">
        <f t="shared" ref="L225:N225" si="651">SUMPRODUCT($B225:$J225, INDEX($B$2:$J$4, L$10, 0)) + INDEX($K$2:$K$4, L$10,1)</f>
        <v>8.239577127</v>
      </c>
      <c r="M225" s="1">
        <f t="shared" si="651"/>
        <v>7.607539641</v>
      </c>
      <c r="N225" s="1">
        <f t="shared" si="651"/>
        <v>7.74019427</v>
      </c>
      <c r="O225" s="1">
        <f t="shared" ref="O225:Q225" si="652">(L225-L$7)/(L$6-L$7)</f>
        <v>0.006226115443</v>
      </c>
      <c r="P225" s="1">
        <f t="shared" si="652"/>
        <v>0.001335818333</v>
      </c>
      <c r="Q225" s="1">
        <f t="shared" si="652"/>
        <v>0.0009055890489</v>
      </c>
      <c r="R225" s="1">
        <f t="shared" ref="R225:T225" si="653">1/(1+EXP(-O225))</f>
        <v>0.5015565238</v>
      </c>
      <c r="S225" s="1">
        <f t="shared" si="653"/>
        <v>0.5003339545</v>
      </c>
      <c r="T225" s="1">
        <f t="shared" si="653"/>
        <v>0.5002263972</v>
      </c>
      <c r="U225" s="1">
        <f t="shared" si="11"/>
        <v>2.477800493</v>
      </c>
      <c r="V225" s="1">
        <f t="shared" si="12"/>
        <v>0.2282933109</v>
      </c>
      <c r="W225" s="1">
        <f t="shared" si="13"/>
        <v>2</v>
      </c>
      <c r="X225" s="1">
        <f t="shared" si="14"/>
        <v>0</v>
      </c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ht="15.75" customHeight="1">
      <c r="A226" s="1"/>
      <c r="B226" s="1">
        <v>6.0</v>
      </c>
      <c r="C226" s="1">
        <v>6.0</v>
      </c>
      <c r="D226" s="1">
        <v>7.0</v>
      </c>
      <c r="E226" s="1">
        <v>10.0</v>
      </c>
      <c r="F226" s="1">
        <v>3.0</v>
      </c>
      <c r="G226" s="3">
        <v>10.0</v>
      </c>
      <c r="H226" s="1">
        <v>8.0</v>
      </c>
      <c r="I226" s="1">
        <v>10.0</v>
      </c>
      <c r="J226" s="1">
        <v>2.0</v>
      </c>
      <c r="K226" s="1">
        <v>4.0</v>
      </c>
      <c r="L226" s="1">
        <f t="shared" ref="L226:N226" si="654">SUMPRODUCT($B226:$J226, INDEX($B$2:$J$4, L$10, 0)) + INDEX($K$2:$K$4, L$10,1)</f>
        <v>57.61247574</v>
      </c>
      <c r="M226" s="1">
        <f t="shared" si="654"/>
        <v>55.43939866</v>
      </c>
      <c r="N226" s="1">
        <f t="shared" si="654"/>
        <v>56.60816885</v>
      </c>
      <c r="O226" s="1">
        <f t="shared" ref="O226:Q226" si="655">(L226-L$7)/(L$6-L$7)</f>
        <v>0.8135882324</v>
      </c>
      <c r="P226" s="1">
        <f t="shared" si="655"/>
        <v>0.8204066002</v>
      </c>
      <c r="Q226" s="1">
        <f t="shared" si="655"/>
        <v>0.8272953263</v>
      </c>
      <c r="R226" s="1">
        <f t="shared" ref="R226:T226" si="656">1/(1+EXP(-O226))</f>
        <v>0.6928736073</v>
      </c>
      <c r="S226" s="1">
        <f t="shared" si="656"/>
        <v>0.6943226432</v>
      </c>
      <c r="T226" s="1">
        <f t="shared" si="656"/>
        <v>0.6957827373</v>
      </c>
      <c r="U226" s="1">
        <f t="shared" si="11"/>
        <v>3.436272389</v>
      </c>
      <c r="V226" s="1">
        <f t="shared" si="12"/>
        <v>0.3177888198</v>
      </c>
      <c r="W226" s="1">
        <f t="shared" si="13"/>
        <v>4</v>
      </c>
      <c r="X226" s="1">
        <f t="shared" si="14"/>
        <v>0</v>
      </c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ht="15.75" customHeight="1">
      <c r="A227" s="1"/>
      <c r="B227" s="1">
        <v>1.0</v>
      </c>
      <c r="C227" s="1">
        <v>6.0</v>
      </c>
      <c r="D227" s="1">
        <v>8.0</v>
      </c>
      <c r="E227" s="1">
        <v>10.0</v>
      </c>
      <c r="F227" s="1">
        <v>8.0</v>
      </c>
      <c r="G227" s="3">
        <v>10.0</v>
      </c>
      <c r="H227" s="1">
        <v>5.0</v>
      </c>
      <c r="I227" s="1">
        <v>7.0</v>
      </c>
      <c r="J227" s="1">
        <v>1.0</v>
      </c>
      <c r="K227" s="1">
        <v>4.0</v>
      </c>
      <c r="L227" s="1">
        <f t="shared" ref="L227:N227" si="657">SUMPRODUCT($B227:$J227, INDEX($B$2:$J$4, L$10, 0)) + INDEX($K$2:$K$4, L$10,1)</f>
        <v>58.44119975</v>
      </c>
      <c r="M227" s="1">
        <f t="shared" si="657"/>
        <v>55.73482774</v>
      </c>
      <c r="N227" s="1">
        <f t="shared" si="657"/>
        <v>57.17308454</v>
      </c>
      <c r="O227" s="1">
        <f t="shared" ref="O227:Q227" si="658">(L227-L$7)/(L$6-L$7)</f>
        <v>0.827139804</v>
      </c>
      <c r="P227" s="1">
        <f t="shared" si="658"/>
        <v>0.8254655156</v>
      </c>
      <c r="Q227" s="1">
        <f t="shared" si="658"/>
        <v>0.8368484239</v>
      </c>
      <c r="R227" s="1">
        <f t="shared" ref="R227:T227" si="659">1/(1+EXP(-O227))</f>
        <v>0.695749817</v>
      </c>
      <c r="S227" s="1">
        <f t="shared" si="659"/>
        <v>0.6953952841</v>
      </c>
      <c r="T227" s="1">
        <f t="shared" si="659"/>
        <v>0.6978010428</v>
      </c>
      <c r="U227" s="1">
        <f t="shared" si="11"/>
        <v>3.446058427</v>
      </c>
      <c r="V227" s="1">
        <f t="shared" si="12"/>
        <v>0.3068512662</v>
      </c>
      <c r="W227" s="1">
        <f t="shared" si="13"/>
        <v>4</v>
      </c>
      <c r="X227" s="1">
        <f t="shared" si="14"/>
        <v>0</v>
      </c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ht="15.75" customHeight="1">
      <c r="A228" s="1"/>
      <c r="B228" s="1">
        <v>3.0</v>
      </c>
      <c r="C228" s="1">
        <v>1.0</v>
      </c>
      <c r="D228" s="1">
        <v>1.0</v>
      </c>
      <c r="E228" s="1">
        <v>3.0</v>
      </c>
      <c r="F228" s="1">
        <v>8.0</v>
      </c>
      <c r="G228" s="3">
        <v>1.0</v>
      </c>
      <c r="H228" s="1">
        <v>5.0</v>
      </c>
      <c r="I228" s="1">
        <v>8.0</v>
      </c>
      <c r="J228" s="1">
        <v>1.0</v>
      </c>
      <c r="K228" s="1">
        <v>2.0</v>
      </c>
      <c r="L228" s="1">
        <f t="shared" ref="L228:N228" si="660">SUMPRODUCT($B228:$J228, INDEX($B$2:$J$4, L$10, 0)) + INDEX($K$2:$K$4, L$10,1)</f>
        <v>10.51239232</v>
      </c>
      <c r="M228" s="1">
        <f t="shared" si="660"/>
        <v>9.618081783</v>
      </c>
      <c r="N228" s="1">
        <f t="shared" si="660"/>
        <v>9.814865805</v>
      </c>
      <c r="O228" s="1">
        <f t="shared" ref="O228:Q228" si="661">(L228-L$7)/(L$6-L$7)</f>
        <v>0.04339194805</v>
      </c>
      <c r="P228" s="1">
        <f t="shared" si="661"/>
        <v>0.03576425909</v>
      </c>
      <c r="Q228" s="1">
        <f t="shared" si="661"/>
        <v>0.03598965544</v>
      </c>
      <c r="R228" s="1">
        <f t="shared" ref="R228:T228" si="662">1/(1+EXP(-O228))</f>
        <v>0.5108462852</v>
      </c>
      <c r="S228" s="1">
        <f t="shared" si="662"/>
        <v>0.5089401119</v>
      </c>
      <c r="T228" s="1">
        <f t="shared" si="662"/>
        <v>0.5089964428</v>
      </c>
      <c r="U228" s="1">
        <f t="shared" si="11"/>
        <v>2.521753909</v>
      </c>
      <c r="V228" s="1">
        <f t="shared" si="12"/>
        <v>0.2722271411</v>
      </c>
      <c r="W228" s="1">
        <f t="shared" si="13"/>
        <v>2</v>
      </c>
      <c r="X228" s="1">
        <f t="shared" si="14"/>
        <v>0</v>
      </c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ht="15.75" customHeight="1">
      <c r="A229" s="1"/>
      <c r="B229" s="1">
        <v>1.0</v>
      </c>
      <c r="C229" s="1">
        <v>1.0</v>
      </c>
      <c r="D229" s="1">
        <v>1.0</v>
      </c>
      <c r="E229" s="1">
        <v>1.0</v>
      </c>
      <c r="F229" s="1">
        <v>1.0</v>
      </c>
      <c r="G229" s="3">
        <v>1.0</v>
      </c>
      <c r="H229" s="1">
        <v>3.0</v>
      </c>
      <c r="I229" s="1">
        <v>1.0</v>
      </c>
      <c r="J229" s="1">
        <v>1.0</v>
      </c>
      <c r="K229" s="1">
        <v>2.0</v>
      </c>
      <c r="L229" s="1">
        <f t="shared" ref="L229:N229" si="663">SUMPRODUCT($B229:$J229, INDEX($B$2:$J$4, L$10, 0)) + INDEX($K$2:$K$4, L$10,1)</f>
        <v>7.923414752</v>
      </c>
      <c r="M229" s="1">
        <f t="shared" si="663"/>
        <v>7.529530907</v>
      </c>
      <c r="N229" s="1">
        <f t="shared" si="663"/>
        <v>7.686650958</v>
      </c>
      <c r="O229" s="1">
        <f t="shared" ref="O229:Q229" si="664">(L229-L$7)/(L$6-L$7)</f>
        <v>0.001056122768</v>
      </c>
      <c r="P229" s="1">
        <f t="shared" si="664"/>
        <v>0</v>
      </c>
      <c r="Q229" s="1">
        <f t="shared" si="664"/>
        <v>0.0000001362617963</v>
      </c>
      <c r="R229" s="1">
        <f t="shared" ref="R229:T229" si="665">1/(1+EXP(-O229))</f>
        <v>0.5002640307</v>
      </c>
      <c r="S229" s="1">
        <f t="shared" si="665"/>
        <v>0.5</v>
      </c>
      <c r="T229" s="1">
        <f t="shared" si="665"/>
        <v>0.5000000341</v>
      </c>
      <c r="U229" s="1">
        <f t="shared" si="11"/>
        <v>2.474815255</v>
      </c>
      <c r="V229" s="1">
        <f t="shared" si="12"/>
        <v>0.2254495261</v>
      </c>
      <c r="W229" s="1">
        <f t="shared" si="13"/>
        <v>2</v>
      </c>
      <c r="X229" s="1">
        <f t="shared" si="14"/>
        <v>0</v>
      </c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ht="15.75" customHeight="1">
      <c r="A230" s="1"/>
      <c r="B230" s="1">
        <v>1.0</v>
      </c>
      <c r="C230" s="1">
        <v>1.0</v>
      </c>
      <c r="D230" s="1">
        <v>1.0</v>
      </c>
      <c r="E230" s="1">
        <v>1.0</v>
      </c>
      <c r="F230" s="1">
        <v>1.0</v>
      </c>
      <c r="G230" s="3">
        <v>1.0</v>
      </c>
      <c r="H230" s="1">
        <v>3.0</v>
      </c>
      <c r="I230" s="1">
        <v>1.0</v>
      </c>
      <c r="J230" s="1">
        <v>1.0</v>
      </c>
      <c r="K230" s="1">
        <v>2.0</v>
      </c>
      <c r="L230" s="1">
        <f t="shared" ref="L230:N230" si="666">SUMPRODUCT($B230:$J230, INDEX($B$2:$J$4, L$10, 0)) + INDEX($K$2:$K$4, L$10,1)</f>
        <v>7.923414752</v>
      </c>
      <c r="M230" s="1">
        <f t="shared" si="666"/>
        <v>7.529530907</v>
      </c>
      <c r="N230" s="1">
        <f t="shared" si="666"/>
        <v>7.686650958</v>
      </c>
      <c r="O230" s="1">
        <f t="shared" ref="O230:Q230" si="667">(L230-L$7)/(L$6-L$7)</f>
        <v>0.001056122768</v>
      </c>
      <c r="P230" s="1">
        <f t="shared" si="667"/>
        <v>0</v>
      </c>
      <c r="Q230" s="1">
        <f t="shared" si="667"/>
        <v>0.0000001362617963</v>
      </c>
      <c r="R230" s="1">
        <f t="shared" ref="R230:T230" si="668">1/(1+EXP(-O230))</f>
        <v>0.5002640307</v>
      </c>
      <c r="S230" s="1">
        <f t="shared" si="668"/>
        <v>0.5</v>
      </c>
      <c r="T230" s="1">
        <f t="shared" si="668"/>
        <v>0.5000000341</v>
      </c>
      <c r="U230" s="1">
        <f t="shared" si="11"/>
        <v>2.474815255</v>
      </c>
      <c r="V230" s="1">
        <f t="shared" si="12"/>
        <v>0.2254495261</v>
      </c>
      <c r="W230" s="1">
        <f t="shared" si="13"/>
        <v>2</v>
      </c>
      <c r="X230" s="1">
        <f t="shared" si="14"/>
        <v>0</v>
      </c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ht="15.75" customHeight="1">
      <c r="A231" s="1"/>
      <c r="B231" s="1">
        <v>10.0</v>
      </c>
      <c r="C231" s="1">
        <v>4.0</v>
      </c>
      <c r="D231" s="1">
        <v>5.0</v>
      </c>
      <c r="E231" s="1">
        <v>5.0</v>
      </c>
      <c r="F231" s="1">
        <v>5.0</v>
      </c>
      <c r="G231" s="3">
        <v>10.0</v>
      </c>
      <c r="H231" s="1">
        <v>4.0</v>
      </c>
      <c r="I231" s="1">
        <v>1.0</v>
      </c>
      <c r="J231" s="1">
        <v>1.0</v>
      </c>
      <c r="K231" s="1">
        <v>4.0</v>
      </c>
      <c r="L231" s="1">
        <f t="shared" ref="L231:N231" si="669">SUMPRODUCT($B231:$J231, INDEX($B$2:$J$4, L$10, 0)) + INDEX($K$2:$K$4, L$10,1)</f>
        <v>48.66410199</v>
      </c>
      <c r="M231" s="1">
        <f t="shared" si="669"/>
        <v>47.0417058</v>
      </c>
      <c r="N231" s="1">
        <f t="shared" si="669"/>
        <v>48.08568014</v>
      </c>
      <c r="O231" s="1">
        <f t="shared" ref="O231:Q231" si="670">(L231-L$7)/(L$6-L$7)</f>
        <v>0.6672614382</v>
      </c>
      <c r="P231" s="1">
        <f t="shared" si="670"/>
        <v>0.6766048538</v>
      </c>
      <c r="Q231" s="1">
        <f t="shared" si="670"/>
        <v>0.6831744114</v>
      </c>
      <c r="R231" s="1">
        <f t="shared" ref="R231:T231" si="671">1/(1+EXP(-O231))</f>
        <v>0.6608896785</v>
      </c>
      <c r="S231" s="1">
        <f t="shared" si="671"/>
        <v>0.6629805152</v>
      </c>
      <c r="T231" s="1">
        <f t="shared" si="671"/>
        <v>0.6644468245</v>
      </c>
      <c r="U231" s="1">
        <f t="shared" si="11"/>
        <v>3.280161432</v>
      </c>
      <c r="V231" s="1">
        <f t="shared" si="12"/>
        <v>0.5181675647</v>
      </c>
      <c r="W231" s="1">
        <f t="shared" si="13"/>
        <v>4</v>
      </c>
      <c r="X231" s="1">
        <f t="shared" si="14"/>
        <v>0</v>
      </c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ht="15.75" customHeight="1">
      <c r="A232" s="1"/>
      <c r="B232" s="1">
        <v>6.0</v>
      </c>
      <c r="C232" s="1">
        <v>10.0</v>
      </c>
      <c r="D232" s="1">
        <v>10.0</v>
      </c>
      <c r="E232" s="1">
        <v>2.0</v>
      </c>
      <c r="F232" s="1">
        <v>8.0</v>
      </c>
      <c r="G232" s="3">
        <v>10.0</v>
      </c>
      <c r="H232" s="1">
        <v>7.0</v>
      </c>
      <c r="I232" s="1">
        <v>3.0</v>
      </c>
      <c r="J232" s="1">
        <v>3.0</v>
      </c>
      <c r="K232" s="1">
        <v>4.0</v>
      </c>
      <c r="L232" s="1">
        <f t="shared" ref="L232:N232" si="672">SUMPRODUCT($B232:$J232, INDEX($B$2:$J$4, L$10, 0)) + INDEX($K$2:$K$4, L$10,1)</f>
        <v>66.66644216</v>
      </c>
      <c r="M232" s="1">
        <f t="shared" si="672"/>
        <v>63.79968911</v>
      </c>
      <c r="N232" s="1">
        <f t="shared" si="672"/>
        <v>64.65615152</v>
      </c>
      <c r="O232" s="1">
        <f t="shared" ref="O232:Q232" si="673">(L232-L$7)/(L$6-L$7)</f>
        <v>0.9616417131</v>
      </c>
      <c r="P232" s="1">
        <f t="shared" si="673"/>
        <v>0.9635678692</v>
      </c>
      <c r="Q232" s="1">
        <f t="shared" si="673"/>
        <v>0.9633920305</v>
      </c>
      <c r="R232" s="1">
        <f t="shared" ref="R232:T232" si="674">1/(1+EXP(-O232))</f>
        <v>0.723450383</v>
      </c>
      <c r="S232" s="1">
        <f t="shared" si="674"/>
        <v>0.723835583</v>
      </c>
      <c r="T232" s="1">
        <f t="shared" si="674"/>
        <v>0.7238004319</v>
      </c>
      <c r="U232" s="1">
        <f t="shared" si="11"/>
        <v>3.581443551</v>
      </c>
      <c r="V232" s="1">
        <f t="shared" si="12"/>
        <v>0.1751895013</v>
      </c>
      <c r="W232" s="1">
        <f t="shared" si="13"/>
        <v>4</v>
      </c>
      <c r="X232" s="1">
        <f t="shared" si="14"/>
        <v>0</v>
      </c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ht="15.75" customHeight="1">
      <c r="A233" s="1"/>
      <c r="B233" s="1">
        <v>5.0</v>
      </c>
      <c r="C233" s="1">
        <v>3.0</v>
      </c>
      <c r="D233" s="1">
        <v>4.0</v>
      </c>
      <c r="E233" s="1">
        <v>3.0</v>
      </c>
      <c r="F233" s="1">
        <v>4.0</v>
      </c>
      <c r="G233" s="3">
        <v>5.0</v>
      </c>
      <c r="H233" s="1">
        <v>4.0</v>
      </c>
      <c r="I233" s="1">
        <v>7.0</v>
      </c>
      <c r="J233" s="1">
        <v>1.0</v>
      </c>
      <c r="K233" s="1">
        <v>2.0</v>
      </c>
      <c r="L233" s="1">
        <f t="shared" ref="L233:N233" si="675">SUMPRODUCT($B233:$J233, INDEX($B$2:$J$4, L$10, 0)) + INDEX($K$2:$K$4, L$10,1)</f>
        <v>30.79407451</v>
      </c>
      <c r="M233" s="1">
        <f t="shared" si="675"/>
        <v>29.5003932</v>
      </c>
      <c r="N233" s="1">
        <f t="shared" si="675"/>
        <v>30.23495128</v>
      </c>
      <c r="O233" s="1">
        <f t="shared" ref="O233:Q233" si="676">(L233-L$7)/(L$6-L$7)</f>
        <v>0.3750447845</v>
      </c>
      <c r="P233" s="1">
        <f t="shared" si="676"/>
        <v>0.3762281401</v>
      </c>
      <c r="Q233" s="1">
        <f t="shared" si="676"/>
        <v>0.3813067923</v>
      </c>
      <c r="R233" s="1">
        <f t="shared" ref="R233:T233" si="677">1/(1+EXP(-O233))</f>
        <v>0.5926774115</v>
      </c>
      <c r="S233" s="1">
        <f t="shared" si="677"/>
        <v>0.592963055</v>
      </c>
      <c r="T233" s="1">
        <f t="shared" si="677"/>
        <v>0.5941882467</v>
      </c>
      <c r="U233" s="1">
        <f t="shared" si="11"/>
        <v>2.936102932</v>
      </c>
      <c r="V233" s="1">
        <f t="shared" si="12"/>
        <v>0.8762886986</v>
      </c>
      <c r="W233" s="1">
        <f t="shared" si="13"/>
        <v>4</v>
      </c>
      <c r="X233" s="1">
        <f t="shared" si="14"/>
        <v>1</v>
      </c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ht="15.75" customHeight="1">
      <c r="A234" s="1"/>
      <c r="B234" s="1">
        <v>5.0</v>
      </c>
      <c r="C234" s="1">
        <v>2.0</v>
      </c>
      <c r="D234" s="1">
        <v>2.0</v>
      </c>
      <c r="E234" s="1">
        <v>2.0</v>
      </c>
      <c r="F234" s="1">
        <v>2.0</v>
      </c>
      <c r="G234" s="3">
        <v>1.0</v>
      </c>
      <c r="H234" s="1">
        <v>2.0</v>
      </c>
      <c r="I234" s="1">
        <v>2.0</v>
      </c>
      <c r="J234" s="1">
        <v>1.0</v>
      </c>
      <c r="K234" s="1">
        <v>2.0</v>
      </c>
      <c r="L234" s="1">
        <f t="shared" ref="L234:N234" si="678">SUMPRODUCT($B234:$J234, INDEX($B$2:$J$4, L$10, 0)) + INDEX($K$2:$K$4, L$10,1)</f>
        <v>11.4763379</v>
      </c>
      <c r="M234" s="1">
        <f t="shared" si="678"/>
        <v>10.82061791</v>
      </c>
      <c r="N234" s="1">
        <f t="shared" si="678"/>
        <v>10.95160375</v>
      </c>
      <c r="O234" s="1">
        <f t="shared" ref="O234:Q234" si="679">(L234-L$7)/(L$6-L$7)</f>
        <v>0.05915470792</v>
      </c>
      <c r="P234" s="1">
        <f t="shared" si="679"/>
        <v>0.05635643818</v>
      </c>
      <c r="Q234" s="1">
        <f t="shared" si="679"/>
        <v>0.05521264506</v>
      </c>
      <c r="R234" s="1">
        <f t="shared" ref="R234:T234" si="680">1/(1+EXP(-O234))</f>
        <v>0.514784366</v>
      </c>
      <c r="S234" s="1">
        <f t="shared" si="680"/>
        <v>0.5140853818</v>
      </c>
      <c r="T234" s="1">
        <f t="shared" si="680"/>
        <v>0.5137996558</v>
      </c>
      <c r="U234" s="1">
        <f t="shared" si="11"/>
        <v>2.544718946</v>
      </c>
      <c r="V234" s="1">
        <f t="shared" si="12"/>
        <v>0.2967187305</v>
      </c>
      <c r="W234" s="1">
        <f t="shared" si="13"/>
        <v>2</v>
      </c>
      <c r="X234" s="1">
        <f t="shared" si="14"/>
        <v>0</v>
      </c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ht="15.75" customHeight="1">
      <c r="A235" s="1"/>
      <c r="B235" s="1">
        <v>1.0</v>
      </c>
      <c r="C235" s="1">
        <v>1.0</v>
      </c>
      <c r="D235" s="1">
        <v>1.0</v>
      </c>
      <c r="E235" s="1">
        <v>1.0</v>
      </c>
      <c r="F235" s="1">
        <v>2.0</v>
      </c>
      <c r="G235" s="3">
        <v>1.0</v>
      </c>
      <c r="H235" s="1">
        <v>1.0</v>
      </c>
      <c r="I235" s="1">
        <v>1.0</v>
      </c>
      <c r="J235" s="1">
        <v>1.0</v>
      </c>
      <c r="K235" s="1">
        <v>2.0</v>
      </c>
      <c r="L235" s="1">
        <f t="shared" ref="L235:N235" si="681">SUMPRODUCT($B235:$J235, INDEX($B$2:$J$4, L$10, 0)) + INDEX($K$2:$K$4, L$10,1)</f>
        <v>7.921139731</v>
      </c>
      <c r="M235" s="1">
        <f t="shared" si="681"/>
        <v>7.529531272</v>
      </c>
      <c r="N235" s="1">
        <f t="shared" si="681"/>
        <v>7.6866429</v>
      </c>
      <c r="O235" s="1">
        <f t="shared" ref="O235:Q235" si="682">(L235-L$7)/(L$6-L$7)</f>
        <v>0.001018920854</v>
      </c>
      <c r="P235" s="1">
        <f t="shared" si="682"/>
        <v>0.000000006234892308</v>
      </c>
      <c r="Q235" s="1">
        <f t="shared" si="682"/>
        <v>0</v>
      </c>
      <c r="R235" s="1">
        <f t="shared" ref="R235:T235" si="683">1/(1+EXP(-O235))</f>
        <v>0.5002547302</v>
      </c>
      <c r="S235" s="1">
        <f t="shared" si="683"/>
        <v>0.5000000016</v>
      </c>
      <c r="T235" s="1">
        <f t="shared" si="683"/>
        <v>0.5</v>
      </c>
      <c r="U235" s="1">
        <f t="shared" si="11"/>
        <v>2.474800478</v>
      </c>
      <c r="V235" s="1">
        <f t="shared" si="12"/>
        <v>0.2254354935</v>
      </c>
      <c r="W235" s="1">
        <f t="shared" si="13"/>
        <v>2</v>
      </c>
      <c r="X235" s="1">
        <f t="shared" si="14"/>
        <v>0</v>
      </c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ht="15.75" customHeight="1">
      <c r="A236" s="1"/>
      <c r="B236" s="1">
        <v>1.0</v>
      </c>
      <c r="C236" s="1">
        <v>1.0</v>
      </c>
      <c r="D236" s="1">
        <v>1.0</v>
      </c>
      <c r="E236" s="1">
        <v>1.0</v>
      </c>
      <c r="F236" s="1">
        <v>1.0</v>
      </c>
      <c r="G236" s="3">
        <v>1.0</v>
      </c>
      <c r="H236" s="1">
        <v>1.0</v>
      </c>
      <c r="I236" s="1">
        <v>1.0</v>
      </c>
      <c r="J236" s="1">
        <v>1.0</v>
      </c>
      <c r="K236" s="1">
        <v>2.0</v>
      </c>
      <c r="L236" s="1">
        <f t="shared" ref="L236:N236" si="684">SUMPRODUCT($B236:$J236, INDEX($B$2:$J$4, L$10, 0)) + INDEX($K$2:$K$4, L$10,1)</f>
        <v>7.858829306</v>
      </c>
      <c r="M236" s="1">
        <f t="shared" si="684"/>
        <v>7.529530907</v>
      </c>
      <c r="N236" s="1">
        <f t="shared" si="684"/>
        <v>7.6866429</v>
      </c>
      <c r="O236" s="1">
        <f t="shared" ref="O236:Q236" si="685">(L236-L$7)/(L$6-L$7)</f>
        <v>0</v>
      </c>
      <c r="P236" s="1">
        <f t="shared" si="685"/>
        <v>0</v>
      </c>
      <c r="Q236" s="1">
        <f t="shared" si="685"/>
        <v>0</v>
      </c>
      <c r="R236" s="1">
        <f t="shared" ref="R236:T236" si="686">1/(1+EXP(-O236))</f>
        <v>0.5</v>
      </c>
      <c r="S236" s="1">
        <f t="shared" si="686"/>
        <v>0.5</v>
      </c>
      <c r="T236" s="1">
        <f t="shared" si="686"/>
        <v>0.5</v>
      </c>
      <c r="U236" s="1">
        <f t="shared" si="11"/>
        <v>2.474397276</v>
      </c>
      <c r="V236" s="1">
        <f t="shared" si="12"/>
        <v>0.2250527759</v>
      </c>
      <c r="W236" s="1">
        <f t="shared" si="13"/>
        <v>2</v>
      </c>
      <c r="X236" s="1">
        <f t="shared" si="14"/>
        <v>0</v>
      </c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ht="15.75" customHeight="1">
      <c r="A237" s="1"/>
      <c r="B237" s="1">
        <v>2.0</v>
      </c>
      <c r="C237" s="1">
        <v>3.0</v>
      </c>
      <c r="D237" s="1">
        <v>1.0</v>
      </c>
      <c r="E237" s="1">
        <v>1.0</v>
      </c>
      <c r="F237" s="1">
        <v>3.0</v>
      </c>
      <c r="G237" s="3">
        <v>1.0</v>
      </c>
      <c r="H237" s="1">
        <v>1.0</v>
      </c>
      <c r="I237" s="1">
        <v>1.0</v>
      </c>
      <c r="J237" s="1">
        <v>1.0</v>
      </c>
      <c r="K237" s="1">
        <v>2.0</v>
      </c>
      <c r="L237" s="1">
        <f t="shared" ref="L237:N237" si="687">SUMPRODUCT($B237:$J237, INDEX($B$2:$J$4, L$10, 0)) + INDEX($K$2:$K$4, L$10,1)</f>
        <v>11.19017402</v>
      </c>
      <c r="M237" s="1">
        <f t="shared" si="687"/>
        <v>10.84698001</v>
      </c>
      <c r="N237" s="1">
        <f t="shared" si="687"/>
        <v>10.50975448</v>
      </c>
      <c r="O237" s="1">
        <f t="shared" ref="O237:Q237" si="688">(L237-L$7)/(L$6-L$7)</f>
        <v>0.05447526067</v>
      </c>
      <c r="P237" s="1">
        <f t="shared" si="688"/>
        <v>0.0568078616</v>
      </c>
      <c r="Q237" s="1">
        <f t="shared" si="688"/>
        <v>0.04774068213</v>
      </c>
      <c r="R237" s="1">
        <f t="shared" ref="R237:T237" si="689">1/(1+EXP(-O237))</f>
        <v>0.5136154483</v>
      </c>
      <c r="S237" s="1">
        <f t="shared" si="689"/>
        <v>0.5141981473</v>
      </c>
      <c r="T237" s="1">
        <f t="shared" si="689"/>
        <v>0.5119329042</v>
      </c>
      <c r="U237" s="1">
        <f t="shared" si="11"/>
        <v>2.539850965</v>
      </c>
      <c r="V237" s="1">
        <f t="shared" si="12"/>
        <v>0.2914390639</v>
      </c>
      <c r="W237" s="1">
        <f t="shared" si="13"/>
        <v>2</v>
      </c>
      <c r="X237" s="1">
        <f t="shared" si="14"/>
        <v>0</v>
      </c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ht="15.75" customHeight="1">
      <c r="A238" s="1"/>
      <c r="B238" s="1">
        <v>5.0</v>
      </c>
      <c r="C238" s="1">
        <v>1.0</v>
      </c>
      <c r="D238" s="1">
        <v>3.0</v>
      </c>
      <c r="E238" s="1">
        <v>1.0</v>
      </c>
      <c r="F238" s="1">
        <v>2.0</v>
      </c>
      <c r="G238" s="3">
        <v>1.0</v>
      </c>
      <c r="H238" s="1">
        <v>1.0</v>
      </c>
      <c r="I238" s="1">
        <v>1.0</v>
      </c>
      <c r="J238" s="1">
        <v>1.0</v>
      </c>
      <c r="K238" s="1">
        <v>2.0</v>
      </c>
      <c r="L238" s="1">
        <f t="shared" ref="L238:N238" si="690">SUMPRODUCT($B238:$J238, INDEX($B$2:$J$4, L$10, 0)) + INDEX($K$2:$K$4, L$10,1)</f>
        <v>11.07922734</v>
      </c>
      <c r="M238" s="1">
        <f t="shared" si="690"/>
        <v>10.15016609</v>
      </c>
      <c r="N238" s="1">
        <f t="shared" si="690"/>
        <v>10.75737219</v>
      </c>
      <c r="O238" s="1">
        <f t="shared" ref="O238:Q238" si="691">(L238-L$7)/(L$6-L$7)</f>
        <v>0.05266102354</v>
      </c>
      <c r="P238" s="1">
        <f t="shared" si="691"/>
        <v>0.04487564874</v>
      </c>
      <c r="Q238" s="1">
        <f t="shared" si="691"/>
        <v>0.0519280611</v>
      </c>
      <c r="R238" s="1">
        <f t="shared" ref="R238:T238" si="692">1/(1+EXP(-O238))</f>
        <v>0.5131622143</v>
      </c>
      <c r="S238" s="1">
        <f t="shared" si="692"/>
        <v>0.5112170298</v>
      </c>
      <c r="T238" s="1">
        <f t="shared" si="692"/>
        <v>0.5129790989</v>
      </c>
      <c r="U238" s="1">
        <f t="shared" si="11"/>
        <v>2.536011114</v>
      </c>
      <c r="V238" s="1">
        <f t="shared" si="12"/>
        <v>0.2873079146</v>
      </c>
      <c r="W238" s="1">
        <f t="shared" si="13"/>
        <v>2</v>
      </c>
      <c r="X238" s="1">
        <f t="shared" si="14"/>
        <v>0</v>
      </c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ht="15.75" customHeight="1">
      <c r="A239" s="1"/>
      <c r="B239" s="1">
        <v>3.0</v>
      </c>
      <c r="C239" s="1">
        <v>1.0</v>
      </c>
      <c r="D239" s="1">
        <v>1.0</v>
      </c>
      <c r="E239" s="1">
        <v>1.0</v>
      </c>
      <c r="F239" s="1">
        <v>2.0</v>
      </c>
      <c r="G239" s="3">
        <v>1.0</v>
      </c>
      <c r="H239" s="1">
        <v>1.0</v>
      </c>
      <c r="I239" s="1">
        <v>1.0</v>
      </c>
      <c r="J239" s="1">
        <v>1.0</v>
      </c>
      <c r="K239" s="1">
        <v>2.0</v>
      </c>
      <c r="L239" s="1">
        <f t="shared" ref="L239:N239" si="693">SUMPRODUCT($B239:$J239, INDEX($B$2:$J$4, L$10, 0)) + INDEX($K$2:$K$4, L$10,1)</f>
        <v>7.952892864</v>
      </c>
      <c r="M239" s="1">
        <f t="shared" si="693"/>
        <v>7.568535274</v>
      </c>
      <c r="N239" s="1">
        <f t="shared" si="693"/>
        <v>7.706420913</v>
      </c>
      <c r="O239" s="1">
        <f t="shared" ref="O239:Q239" si="694">(L239-L$7)/(L$6-L$7)</f>
        <v>0.001538158696</v>
      </c>
      <c r="P239" s="1">
        <f t="shared" si="694"/>
        <v>0.0006679091667</v>
      </c>
      <c r="Q239" s="1">
        <f t="shared" si="694"/>
        <v>0.0003344592598</v>
      </c>
      <c r="R239" s="1">
        <f t="shared" ref="R239:T239" si="695">1/(1+EXP(-O239))</f>
        <v>0.5003845396</v>
      </c>
      <c r="S239" s="1">
        <f t="shared" si="695"/>
        <v>0.5001669773</v>
      </c>
      <c r="T239" s="1">
        <f t="shared" si="695"/>
        <v>0.5000836148</v>
      </c>
      <c r="U239" s="1">
        <f t="shared" si="11"/>
        <v>2.47542491</v>
      </c>
      <c r="V239" s="1">
        <f t="shared" si="12"/>
        <v>0.2260288452</v>
      </c>
      <c r="W239" s="1">
        <f t="shared" si="13"/>
        <v>2</v>
      </c>
      <c r="X239" s="1">
        <f t="shared" si="14"/>
        <v>0</v>
      </c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ht="15.75" customHeight="1">
      <c r="A240" s="1"/>
      <c r="B240" s="1">
        <v>4.0</v>
      </c>
      <c r="C240" s="1">
        <v>8.0</v>
      </c>
      <c r="D240" s="1">
        <v>6.0</v>
      </c>
      <c r="E240" s="1">
        <v>3.0</v>
      </c>
      <c r="F240" s="1">
        <v>4.0</v>
      </c>
      <c r="G240" s="3">
        <v>10.0</v>
      </c>
      <c r="H240" s="1">
        <v>7.0</v>
      </c>
      <c r="I240" s="1">
        <v>1.0</v>
      </c>
      <c r="J240" s="1">
        <v>1.0</v>
      </c>
      <c r="K240" s="1">
        <v>4.0</v>
      </c>
      <c r="L240" s="1">
        <f t="shared" ref="L240:N240" si="696">SUMPRODUCT($B240:$J240, INDEX($B$2:$J$4, L$10, 0)) + INDEX($K$2:$K$4, L$10,1)</f>
        <v>56.46826441</v>
      </c>
      <c r="M240" s="1">
        <f t="shared" si="696"/>
        <v>54.79189957</v>
      </c>
      <c r="N240" s="1">
        <f t="shared" si="696"/>
        <v>55.16279345</v>
      </c>
      <c r="O240" s="1">
        <f t="shared" ref="O240:Q240" si="697">(L240-L$7)/(L$6-L$7)</f>
        <v>0.7948777069</v>
      </c>
      <c r="P240" s="1">
        <f t="shared" si="697"/>
        <v>0.8093188525</v>
      </c>
      <c r="Q240" s="1">
        <f t="shared" si="697"/>
        <v>0.8028530733</v>
      </c>
      <c r="R240" s="1">
        <f t="shared" ref="R240:T240" si="698">1/(1+EXP(-O240))</f>
        <v>0.6888777081</v>
      </c>
      <c r="S240" s="1">
        <f t="shared" si="698"/>
        <v>0.6919643369</v>
      </c>
      <c r="T240" s="1">
        <f t="shared" si="698"/>
        <v>0.6905844502</v>
      </c>
      <c r="U240" s="1">
        <f t="shared" si="11"/>
        <v>3.417135467</v>
      </c>
      <c r="V240" s="1">
        <f t="shared" si="12"/>
        <v>0.3397310642</v>
      </c>
      <c r="W240" s="1">
        <f t="shared" si="13"/>
        <v>4</v>
      </c>
      <c r="X240" s="1">
        <f t="shared" si="14"/>
        <v>0</v>
      </c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ht="15.75" customHeight="1">
      <c r="A241" s="1"/>
      <c r="B241" s="1">
        <v>1.0</v>
      </c>
      <c r="C241" s="1">
        <v>1.0</v>
      </c>
      <c r="D241" s="1">
        <v>1.0</v>
      </c>
      <c r="E241" s="1">
        <v>1.0</v>
      </c>
      <c r="F241" s="1">
        <v>2.0</v>
      </c>
      <c r="G241" s="3">
        <v>1.0</v>
      </c>
      <c r="H241" s="1">
        <v>1.0</v>
      </c>
      <c r="I241" s="1">
        <v>1.0</v>
      </c>
      <c r="J241" s="1">
        <v>1.0</v>
      </c>
      <c r="K241" s="1">
        <v>2.0</v>
      </c>
      <c r="L241" s="1">
        <f t="shared" ref="L241:N241" si="699">SUMPRODUCT($B241:$J241, INDEX($B$2:$J$4, L$10, 0)) + INDEX($K$2:$K$4, L$10,1)</f>
        <v>7.921139731</v>
      </c>
      <c r="M241" s="1">
        <f t="shared" si="699"/>
        <v>7.529531272</v>
      </c>
      <c r="N241" s="1">
        <f t="shared" si="699"/>
        <v>7.6866429</v>
      </c>
      <c r="O241" s="1">
        <f t="shared" ref="O241:Q241" si="700">(L241-L$7)/(L$6-L$7)</f>
        <v>0.001018920854</v>
      </c>
      <c r="P241" s="1">
        <f t="shared" si="700"/>
        <v>0.000000006234892308</v>
      </c>
      <c r="Q241" s="1">
        <f t="shared" si="700"/>
        <v>0</v>
      </c>
      <c r="R241" s="1">
        <f t="shared" ref="R241:T241" si="701">1/(1+EXP(-O241))</f>
        <v>0.5002547302</v>
      </c>
      <c r="S241" s="1">
        <f t="shared" si="701"/>
        <v>0.5000000016</v>
      </c>
      <c r="T241" s="1">
        <f t="shared" si="701"/>
        <v>0.5</v>
      </c>
      <c r="U241" s="1">
        <f t="shared" si="11"/>
        <v>2.474800478</v>
      </c>
      <c r="V241" s="1">
        <f t="shared" si="12"/>
        <v>0.2254354935</v>
      </c>
      <c r="W241" s="1">
        <f t="shared" si="13"/>
        <v>2</v>
      </c>
      <c r="X241" s="1">
        <f t="shared" si="14"/>
        <v>0</v>
      </c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ht="15.75" customHeight="1">
      <c r="A242" s="1"/>
      <c r="B242" s="1">
        <v>9.0</v>
      </c>
      <c r="C242" s="1">
        <v>10.0</v>
      </c>
      <c r="D242" s="1">
        <v>10.0</v>
      </c>
      <c r="E242" s="1">
        <v>1.0</v>
      </c>
      <c r="F242" s="1">
        <v>10.0</v>
      </c>
      <c r="G242" s="3">
        <v>8.0</v>
      </c>
      <c r="H242" s="1">
        <v>3.0</v>
      </c>
      <c r="I242" s="1">
        <v>3.0</v>
      </c>
      <c r="J242" s="1">
        <v>1.0</v>
      </c>
      <c r="K242" s="1">
        <v>4.0</v>
      </c>
      <c r="L242" s="1">
        <f t="shared" ref="L242:N242" si="702">SUMPRODUCT($B242:$J242, INDEX($B$2:$J$4, L$10, 0)) + INDEX($K$2:$K$4, L$10,1)</f>
        <v>60.18577451</v>
      </c>
      <c r="M242" s="1">
        <f t="shared" si="702"/>
        <v>57.34608867</v>
      </c>
      <c r="N242" s="1">
        <f t="shared" si="702"/>
        <v>58.01263735</v>
      </c>
      <c r="O242" s="1">
        <f t="shared" ref="O242:Q242" si="703">(L242-L$7)/(L$6-L$7)</f>
        <v>0.8556676728</v>
      </c>
      <c r="P242" s="1">
        <f t="shared" si="703"/>
        <v>0.8530566814</v>
      </c>
      <c r="Q242" s="1">
        <f t="shared" si="703"/>
        <v>0.8510458166</v>
      </c>
      <c r="R242" s="1">
        <f t="shared" ref="R242:T242" si="704">1/(1+EXP(-O242))</f>
        <v>0.701754713</v>
      </c>
      <c r="S242" s="1">
        <f t="shared" si="704"/>
        <v>0.7012079578</v>
      </c>
      <c r="T242" s="1">
        <f t="shared" si="704"/>
        <v>0.7007864803</v>
      </c>
      <c r="U242" s="1">
        <f t="shared" si="11"/>
        <v>3.470276194</v>
      </c>
      <c r="V242" s="1">
        <f t="shared" si="12"/>
        <v>0.2806073106</v>
      </c>
      <c r="W242" s="1">
        <f t="shared" si="13"/>
        <v>4</v>
      </c>
      <c r="X242" s="1">
        <f t="shared" si="14"/>
        <v>0</v>
      </c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ht="15.75" customHeight="1">
      <c r="A243" s="1"/>
      <c r="B243" s="1">
        <v>5.0</v>
      </c>
      <c r="C243" s="1">
        <v>4.0</v>
      </c>
      <c r="D243" s="1">
        <v>6.0</v>
      </c>
      <c r="E243" s="1">
        <v>7.0</v>
      </c>
      <c r="F243" s="1">
        <v>9.0</v>
      </c>
      <c r="G243" s="3">
        <v>7.0</v>
      </c>
      <c r="H243" s="1">
        <v>8.0</v>
      </c>
      <c r="I243" s="1">
        <v>10.0</v>
      </c>
      <c r="J243" s="1">
        <v>1.0</v>
      </c>
      <c r="K243" s="1">
        <v>4.0</v>
      </c>
      <c r="L243" s="1">
        <f t="shared" ref="L243:N243" si="705">SUMPRODUCT($B243:$J243, INDEX($B$2:$J$4, L$10, 0)) + INDEX($K$2:$K$4, L$10,1)</f>
        <v>43.39860439</v>
      </c>
      <c r="M243" s="1">
        <f t="shared" si="705"/>
        <v>41.08247832</v>
      </c>
      <c r="N243" s="1">
        <f t="shared" si="705"/>
        <v>42.25552563</v>
      </c>
      <c r="O243" s="1">
        <f t="shared" ref="O243:Q243" si="706">(L243-L$7)/(L$6-L$7)</f>
        <v>0.5811582641</v>
      </c>
      <c r="P243" s="1">
        <f t="shared" si="706"/>
        <v>0.5745592882</v>
      </c>
      <c r="Q243" s="1">
        <f t="shared" si="706"/>
        <v>0.5845826467</v>
      </c>
      <c r="R243" s="1">
        <f t="shared" ref="R243:T243" si="707">1/(1+EXP(-O243))</f>
        <v>0.6413338793</v>
      </c>
      <c r="S243" s="1">
        <f t="shared" si="707"/>
        <v>0.6398145401</v>
      </c>
      <c r="T243" s="1">
        <f t="shared" si="707"/>
        <v>0.6421211902</v>
      </c>
      <c r="U243" s="1">
        <f t="shared" si="11"/>
        <v>3.172674358</v>
      </c>
      <c r="V243" s="1">
        <f t="shared" si="12"/>
        <v>0.684467718</v>
      </c>
      <c r="W243" s="1">
        <f t="shared" si="13"/>
        <v>4</v>
      </c>
      <c r="X243" s="1">
        <f t="shared" si="14"/>
        <v>0</v>
      </c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ht="15.75" customHeight="1">
      <c r="A244" s="1"/>
      <c r="B244" s="1">
        <v>1.0</v>
      </c>
      <c r="C244" s="1">
        <v>1.0</v>
      </c>
      <c r="D244" s="1">
        <v>1.0</v>
      </c>
      <c r="E244" s="1">
        <v>1.0</v>
      </c>
      <c r="F244" s="1">
        <v>2.0</v>
      </c>
      <c r="G244" s="3">
        <v>1.0</v>
      </c>
      <c r="H244" s="1">
        <v>3.0</v>
      </c>
      <c r="I244" s="1">
        <v>1.0</v>
      </c>
      <c r="J244" s="1">
        <v>1.0</v>
      </c>
      <c r="K244" s="1">
        <v>2.0</v>
      </c>
      <c r="L244" s="1">
        <f t="shared" ref="L244:N244" si="708">SUMPRODUCT($B244:$J244, INDEX($B$2:$J$4, L$10, 0)) + INDEX($K$2:$K$4, L$10,1)</f>
        <v>7.985725177</v>
      </c>
      <c r="M244" s="1">
        <f t="shared" si="708"/>
        <v>7.529531272</v>
      </c>
      <c r="N244" s="1">
        <f t="shared" si="708"/>
        <v>7.686650958</v>
      </c>
      <c r="O244" s="1">
        <f t="shared" ref="O244:Q244" si="709">(L244-L$7)/(L$6-L$7)</f>
        <v>0.002075043622</v>
      </c>
      <c r="P244" s="1">
        <f t="shared" si="709"/>
        <v>0.000000006234892308</v>
      </c>
      <c r="Q244" s="1">
        <f t="shared" si="709"/>
        <v>0.0000001362617963</v>
      </c>
      <c r="R244" s="1">
        <f t="shared" ref="R244:T244" si="710">1/(1+EXP(-O244))</f>
        <v>0.5005187607</v>
      </c>
      <c r="S244" s="1">
        <f t="shared" si="710"/>
        <v>0.5000000016</v>
      </c>
      <c r="T244" s="1">
        <f t="shared" si="710"/>
        <v>0.5000000341</v>
      </c>
      <c r="U244" s="1">
        <f t="shared" si="11"/>
        <v>2.475218456</v>
      </c>
      <c r="V244" s="1">
        <f t="shared" si="12"/>
        <v>0.2258325805</v>
      </c>
      <c r="W244" s="1">
        <f t="shared" si="13"/>
        <v>2</v>
      </c>
      <c r="X244" s="1">
        <f t="shared" si="14"/>
        <v>0</v>
      </c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ht="15.75" customHeight="1">
      <c r="A245" s="1"/>
      <c r="B245" s="1">
        <v>6.0</v>
      </c>
      <c r="C245" s="1">
        <v>8.0</v>
      </c>
      <c r="D245" s="1">
        <v>7.0</v>
      </c>
      <c r="E245" s="1">
        <v>8.0</v>
      </c>
      <c r="F245" s="1">
        <v>6.0</v>
      </c>
      <c r="G245" s="3">
        <v>8.0</v>
      </c>
      <c r="H245" s="1">
        <v>8.0</v>
      </c>
      <c r="I245" s="1">
        <v>9.0</v>
      </c>
      <c r="J245" s="1">
        <v>1.0</v>
      </c>
      <c r="K245" s="1">
        <v>4.0</v>
      </c>
      <c r="L245" s="1">
        <f t="shared" ref="L245:N245" si="711">SUMPRODUCT($B245:$J245, INDEX($B$2:$J$4, L$10, 0)) + INDEX($K$2:$K$4, L$10,1)</f>
        <v>54.14982215</v>
      </c>
      <c r="M245" s="1">
        <f t="shared" si="711"/>
        <v>51.93244691</v>
      </c>
      <c r="N245" s="1">
        <f t="shared" si="711"/>
        <v>52.44502348</v>
      </c>
      <c r="O245" s="1">
        <f t="shared" ref="O245:Q245" si="712">(L245-L$7)/(L$6-L$7)</f>
        <v>0.7569657652</v>
      </c>
      <c r="P245" s="1">
        <f t="shared" si="712"/>
        <v>0.760353703</v>
      </c>
      <c r="Q245" s="1">
        <f t="shared" si="712"/>
        <v>0.7568937876</v>
      </c>
      <c r="R245" s="1">
        <f t="shared" ref="R245:T245" si="713">1/(1+EXP(-O245))</f>
        <v>0.6806946064</v>
      </c>
      <c r="S245" s="1">
        <f t="shared" si="713"/>
        <v>0.6814305216</v>
      </c>
      <c r="T245" s="1">
        <f t="shared" si="713"/>
        <v>0.6806789619</v>
      </c>
      <c r="U245" s="1">
        <f t="shared" si="11"/>
        <v>3.369804956</v>
      </c>
      <c r="V245" s="1">
        <f t="shared" si="12"/>
        <v>0.3971457938</v>
      </c>
      <c r="W245" s="1">
        <f t="shared" si="13"/>
        <v>4</v>
      </c>
      <c r="X245" s="1">
        <f t="shared" si="14"/>
        <v>0</v>
      </c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ht="15.75" customHeight="1">
      <c r="A246" s="1"/>
      <c r="B246" s="1">
        <v>1.0</v>
      </c>
      <c r="C246" s="1">
        <v>1.0</v>
      </c>
      <c r="D246" s="1">
        <v>1.0</v>
      </c>
      <c r="E246" s="1">
        <v>1.0</v>
      </c>
      <c r="F246" s="1">
        <v>2.0</v>
      </c>
      <c r="G246" s="3">
        <v>1.0</v>
      </c>
      <c r="H246" s="1">
        <v>3.0</v>
      </c>
      <c r="I246" s="1">
        <v>1.0</v>
      </c>
      <c r="J246" s="1">
        <v>1.0</v>
      </c>
      <c r="K246" s="1">
        <v>2.0</v>
      </c>
      <c r="L246" s="1">
        <f t="shared" ref="L246:N246" si="714">SUMPRODUCT($B246:$J246, INDEX($B$2:$J$4, L$10, 0)) + INDEX($K$2:$K$4, L$10,1)</f>
        <v>7.985725177</v>
      </c>
      <c r="M246" s="1">
        <f t="shared" si="714"/>
        <v>7.529531272</v>
      </c>
      <c r="N246" s="1">
        <f t="shared" si="714"/>
        <v>7.686650958</v>
      </c>
      <c r="O246" s="1">
        <f t="shared" ref="O246:Q246" si="715">(L246-L$7)/(L$6-L$7)</f>
        <v>0.002075043622</v>
      </c>
      <c r="P246" s="1">
        <f t="shared" si="715"/>
        <v>0.000000006234892308</v>
      </c>
      <c r="Q246" s="1">
        <f t="shared" si="715"/>
        <v>0.0000001362617963</v>
      </c>
      <c r="R246" s="1">
        <f t="shared" ref="R246:T246" si="716">1/(1+EXP(-O246))</f>
        <v>0.5005187607</v>
      </c>
      <c r="S246" s="1">
        <f t="shared" si="716"/>
        <v>0.5000000016</v>
      </c>
      <c r="T246" s="1">
        <f t="shared" si="716"/>
        <v>0.5000000341</v>
      </c>
      <c r="U246" s="1">
        <f t="shared" si="11"/>
        <v>2.475218456</v>
      </c>
      <c r="V246" s="1">
        <f t="shared" si="12"/>
        <v>0.2258325805</v>
      </c>
      <c r="W246" s="1">
        <f t="shared" si="13"/>
        <v>2</v>
      </c>
      <c r="X246" s="1">
        <f t="shared" si="14"/>
        <v>0</v>
      </c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ht="15.75" customHeight="1">
      <c r="A247" s="1"/>
      <c r="B247" s="1">
        <v>5.0</v>
      </c>
      <c r="C247" s="1">
        <v>1.0</v>
      </c>
      <c r="D247" s="1">
        <v>1.0</v>
      </c>
      <c r="E247" s="1">
        <v>3.0</v>
      </c>
      <c r="F247" s="1">
        <v>4.0</v>
      </c>
      <c r="G247" s="3">
        <v>1.0</v>
      </c>
      <c r="H247" s="1">
        <v>3.0</v>
      </c>
      <c r="I247" s="1">
        <v>2.0</v>
      </c>
      <c r="J247" s="1">
        <v>1.0</v>
      </c>
      <c r="K247" s="1">
        <v>2.0</v>
      </c>
      <c r="L247" s="1">
        <f t="shared" ref="L247:N247" si="717">SUMPRODUCT($B247:$J247, INDEX($B$2:$J$4, L$10, 0)) + INDEX($K$2:$K$4, L$10,1)</f>
        <v>8.522602746</v>
      </c>
      <c r="M247" s="1">
        <f t="shared" si="717"/>
        <v>7.900332051</v>
      </c>
      <c r="N247" s="1">
        <f t="shared" si="717"/>
        <v>8.032208117</v>
      </c>
      <c r="O247" s="1">
        <f t="shared" ref="O247:Q247" si="718">(L247-L$7)/(L$6-L$7)</f>
        <v>0.01085424483</v>
      </c>
      <c r="P247" s="1">
        <f t="shared" si="718"/>
        <v>0.006349583499</v>
      </c>
      <c r="Q247" s="1">
        <f t="shared" si="718"/>
        <v>0.005843736127</v>
      </c>
      <c r="R247" s="1">
        <f t="shared" ref="R247:T247" si="719">1/(1+EXP(-O247))</f>
        <v>0.5027135346</v>
      </c>
      <c r="S247" s="1">
        <f t="shared" si="719"/>
        <v>0.5015873905</v>
      </c>
      <c r="T247" s="1">
        <f t="shared" si="719"/>
        <v>0.5014609299</v>
      </c>
      <c r="U247" s="1">
        <f t="shared" si="11"/>
        <v>2.483818421</v>
      </c>
      <c r="V247" s="1">
        <f t="shared" si="12"/>
        <v>0.2340802645</v>
      </c>
      <c r="W247" s="1">
        <f t="shared" si="13"/>
        <v>2</v>
      </c>
      <c r="X247" s="1">
        <f t="shared" si="14"/>
        <v>0</v>
      </c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ht="15.75" customHeight="1">
      <c r="A248" s="1"/>
      <c r="B248" s="1">
        <v>4.0</v>
      </c>
      <c r="C248" s="1">
        <v>1.0</v>
      </c>
      <c r="D248" s="1">
        <v>1.0</v>
      </c>
      <c r="E248" s="1">
        <v>1.0</v>
      </c>
      <c r="F248" s="1">
        <v>2.0</v>
      </c>
      <c r="G248" s="3">
        <v>1.0</v>
      </c>
      <c r="H248" s="1">
        <v>2.0</v>
      </c>
      <c r="I248" s="1">
        <v>1.0</v>
      </c>
      <c r="J248" s="1">
        <v>1.0</v>
      </c>
      <c r="K248" s="1">
        <v>2.0</v>
      </c>
      <c r="L248" s="1">
        <f t="shared" ref="L248:N248" si="720">SUMPRODUCT($B248:$J248, INDEX($B$2:$J$4, L$10, 0)) + INDEX($K$2:$K$4, L$10,1)</f>
        <v>8.001062154</v>
      </c>
      <c r="M248" s="1">
        <f t="shared" si="720"/>
        <v>7.588037275</v>
      </c>
      <c r="N248" s="1">
        <f t="shared" si="720"/>
        <v>7.716313948</v>
      </c>
      <c r="O248" s="1">
        <f t="shared" ref="O248:Q248" si="721">(L248-L$7)/(L$6-L$7)</f>
        <v>0.002325839001</v>
      </c>
      <c r="P248" s="1">
        <f t="shared" si="721"/>
        <v>0.001001860633</v>
      </c>
      <c r="Q248" s="1">
        <f t="shared" si="721"/>
        <v>0.0005017570206</v>
      </c>
      <c r="R248" s="1">
        <f t="shared" ref="R248:T248" si="722">1/(1+EXP(-O248))</f>
        <v>0.5005814595</v>
      </c>
      <c r="S248" s="1">
        <f t="shared" si="722"/>
        <v>0.5002504651</v>
      </c>
      <c r="T248" s="1">
        <f t="shared" si="722"/>
        <v>0.5001254393</v>
      </c>
      <c r="U248" s="1">
        <f t="shared" si="11"/>
        <v>2.475946115</v>
      </c>
      <c r="V248" s="1">
        <f t="shared" si="12"/>
        <v>0.2265247046</v>
      </c>
      <c r="W248" s="1">
        <f t="shared" si="13"/>
        <v>2</v>
      </c>
      <c r="X248" s="1">
        <f t="shared" si="14"/>
        <v>0</v>
      </c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ht="15.75" customHeight="1">
      <c r="A249" s="1"/>
      <c r="B249" s="1">
        <v>5.0</v>
      </c>
      <c r="C249" s="1">
        <v>3.0</v>
      </c>
      <c r="D249" s="1">
        <v>1.0</v>
      </c>
      <c r="E249" s="1">
        <v>1.0</v>
      </c>
      <c r="F249" s="1">
        <v>2.0</v>
      </c>
      <c r="G249" s="3">
        <v>1.0</v>
      </c>
      <c r="H249" s="1">
        <v>1.0</v>
      </c>
      <c r="I249" s="1">
        <v>1.0</v>
      </c>
      <c r="J249" s="1">
        <v>1.0</v>
      </c>
      <c r="K249" s="1">
        <v>2.0</v>
      </c>
      <c r="L249" s="1">
        <f t="shared" ref="L249:N249" si="723">SUMPRODUCT($B249:$J249, INDEX($B$2:$J$4, L$10, 0)) + INDEX($K$2:$K$4, L$10,1)</f>
        <v>11.1754933</v>
      </c>
      <c r="M249" s="1">
        <f t="shared" si="723"/>
        <v>10.90548565</v>
      </c>
      <c r="N249" s="1">
        <f t="shared" si="723"/>
        <v>10.5394215</v>
      </c>
      <c r="O249" s="1">
        <f t="shared" ref="O249:Q249" si="724">(L249-L$7)/(L$6-L$7)</f>
        <v>0.05423519658</v>
      </c>
      <c r="P249" s="1">
        <f t="shared" si="724"/>
        <v>0.05780970976</v>
      </c>
      <c r="Q249" s="1">
        <f t="shared" si="724"/>
        <v>0.04824237102</v>
      </c>
      <c r="R249" s="1">
        <f t="shared" ref="R249:T249" si="725">1/(1+EXP(-O249))</f>
        <v>0.5135554766</v>
      </c>
      <c r="S249" s="1">
        <f t="shared" si="725"/>
        <v>0.5144484038</v>
      </c>
      <c r="T249" s="1">
        <f t="shared" si="725"/>
        <v>0.5120582542</v>
      </c>
      <c r="U249" s="1">
        <f t="shared" si="11"/>
        <v>2.54038402</v>
      </c>
      <c r="V249" s="1">
        <f t="shared" si="12"/>
        <v>0.2920148886</v>
      </c>
      <c r="W249" s="1">
        <f t="shared" si="13"/>
        <v>2</v>
      </c>
      <c r="X249" s="1">
        <f t="shared" si="14"/>
        <v>0</v>
      </c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ht="15.75" customHeight="1">
      <c r="A250" s="1"/>
      <c r="B250" s="1">
        <v>1.0</v>
      </c>
      <c r="C250" s="1">
        <v>1.0</v>
      </c>
      <c r="D250" s="1">
        <v>1.0</v>
      </c>
      <c r="E250" s="1">
        <v>1.0</v>
      </c>
      <c r="F250" s="1">
        <v>2.0</v>
      </c>
      <c r="G250" s="3">
        <v>1.0</v>
      </c>
      <c r="H250" s="1">
        <v>1.0</v>
      </c>
      <c r="I250" s="1">
        <v>1.0</v>
      </c>
      <c r="J250" s="1">
        <v>1.0</v>
      </c>
      <c r="K250" s="1">
        <v>2.0</v>
      </c>
      <c r="L250" s="1">
        <f t="shared" ref="L250:N250" si="726">SUMPRODUCT($B250:$J250, INDEX($B$2:$J$4, L$10, 0)) + INDEX($K$2:$K$4, L$10,1)</f>
        <v>7.921139731</v>
      </c>
      <c r="M250" s="1">
        <f t="shared" si="726"/>
        <v>7.529531272</v>
      </c>
      <c r="N250" s="1">
        <f t="shared" si="726"/>
        <v>7.6866429</v>
      </c>
      <c r="O250" s="1">
        <f t="shared" ref="O250:Q250" si="727">(L250-L$7)/(L$6-L$7)</f>
        <v>0.001018920854</v>
      </c>
      <c r="P250" s="1">
        <f t="shared" si="727"/>
        <v>0.000000006234892308</v>
      </c>
      <c r="Q250" s="1">
        <f t="shared" si="727"/>
        <v>0</v>
      </c>
      <c r="R250" s="1">
        <f t="shared" ref="R250:T250" si="728">1/(1+EXP(-O250))</f>
        <v>0.5002547302</v>
      </c>
      <c r="S250" s="1">
        <f t="shared" si="728"/>
        <v>0.5000000016</v>
      </c>
      <c r="T250" s="1">
        <f t="shared" si="728"/>
        <v>0.5</v>
      </c>
      <c r="U250" s="1">
        <f t="shared" si="11"/>
        <v>2.474800478</v>
      </c>
      <c r="V250" s="1">
        <f t="shared" si="12"/>
        <v>0.2254354935</v>
      </c>
      <c r="W250" s="1">
        <f t="shared" si="13"/>
        <v>2</v>
      </c>
      <c r="X250" s="1">
        <f t="shared" si="14"/>
        <v>0</v>
      </c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ht="15.75" customHeight="1">
      <c r="A251" s="1"/>
      <c r="B251" s="1">
        <v>3.0</v>
      </c>
      <c r="C251" s="1">
        <v>1.0</v>
      </c>
      <c r="D251" s="1">
        <v>1.0</v>
      </c>
      <c r="E251" s="1">
        <v>1.0</v>
      </c>
      <c r="F251" s="1">
        <v>2.0</v>
      </c>
      <c r="G251" s="3">
        <v>1.0</v>
      </c>
      <c r="H251" s="1">
        <v>1.0</v>
      </c>
      <c r="I251" s="1">
        <v>1.0</v>
      </c>
      <c r="J251" s="1">
        <v>1.0</v>
      </c>
      <c r="K251" s="1">
        <v>2.0</v>
      </c>
      <c r="L251" s="1">
        <f t="shared" ref="L251:N251" si="729">SUMPRODUCT($B251:$J251, INDEX($B$2:$J$4, L$10, 0)) + INDEX($K$2:$K$4, L$10,1)</f>
        <v>7.952892864</v>
      </c>
      <c r="M251" s="1">
        <f t="shared" si="729"/>
        <v>7.568535274</v>
      </c>
      <c r="N251" s="1">
        <f t="shared" si="729"/>
        <v>7.706420913</v>
      </c>
      <c r="O251" s="1">
        <f t="shared" ref="O251:Q251" si="730">(L251-L$7)/(L$6-L$7)</f>
        <v>0.001538158696</v>
      </c>
      <c r="P251" s="1">
        <f t="shared" si="730"/>
        <v>0.0006679091667</v>
      </c>
      <c r="Q251" s="1">
        <f t="shared" si="730"/>
        <v>0.0003344592598</v>
      </c>
      <c r="R251" s="1">
        <f t="shared" ref="R251:T251" si="731">1/(1+EXP(-O251))</f>
        <v>0.5003845396</v>
      </c>
      <c r="S251" s="1">
        <f t="shared" si="731"/>
        <v>0.5001669773</v>
      </c>
      <c r="T251" s="1">
        <f t="shared" si="731"/>
        <v>0.5000836148</v>
      </c>
      <c r="U251" s="1">
        <f t="shared" si="11"/>
        <v>2.47542491</v>
      </c>
      <c r="V251" s="1">
        <f t="shared" si="12"/>
        <v>0.2260288452</v>
      </c>
      <c r="W251" s="1">
        <f t="shared" si="13"/>
        <v>2</v>
      </c>
      <c r="X251" s="1">
        <f t="shared" si="14"/>
        <v>0</v>
      </c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ht="15.75" customHeight="1">
      <c r="A252" s="1"/>
      <c r="B252" s="1">
        <v>7.0</v>
      </c>
      <c r="C252" s="1">
        <v>3.0</v>
      </c>
      <c r="D252" s="1">
        <v>2.0</v>
      </c>
      <c r="E252" s="1">
        <v>10.0</v>
      </c>
      <c r="F252" s="1">
        <v>5.0</v>
      </c>
      <c r="G252" s="3">
        <v>10.0</v>
      </c>
      <c r="H252" s="1">
        <v>5.0</v>
      </c>
      <c r="I252" s="1">
        <v>4.0</v>
      </c>
      <c r="J252" s="1">
        <v>4.0</v>
      </c>
      <c r="K252" s="1">
        <v>4.0</v>
      </c>
      <c r="L252" s="1">
        <f t="shared" ref="L252:N252" si="732">SUMPRODUCT($B252:$J252, INDEX($B$2:$J$4, L$10, 0)) + INDEX($K$2:$K$4, L$10,1)</f>
        <v>43.42565511</v>
      </c>
      <c r="M252" s="1">
        <f t="shared" si="732"/>
        <v>42.39866253</v>
      </c>
      <c r="N252" s="1">
        <f t="shared" si="732"/>
        <v>43.0178511</v>
      </c>
      <c r="O252" s="1">
        <f t="shared" ref="O252:Q252" si="733">(L252-L$7)/(L$6-L$7)</f>
        <v>0.5816006064</v>
      </c>
      <c r="P252" s="1">
        <f t="shared" si="733"/>
        <v>0.5970975724</v>
      </c>
      <c r="Q252" s="1">
        <f t="shared" si="733"/>
        <v>0.597474074</v>
      </c>
      <c r="R252" s="1">
        <f t="shared" ref="R252:T252" si="734">1/(1+EXP(-O252))</f>
        <v>0.6414356226</v>
      </c>
      <c r="S252" s="1">
        <f t="shared" si="734"/>
        <v>0.6449919962</v>
      </c>
      <c r="T252" s="1">
        <f t="shared" si="734"/>
        <v>0.6450782018</v>
      </c>
      <c r="U252" s="1">
        <f t="shared" si="11"/>
        <v>3.186451638</v>
      </c>
      <c r="V252" s="1">
        <f t="shared" si="12"/>
        <v>0.6618609379</v>
      </c>
      <c r="W252" s="1">
        <f t="shared" si="13"/>
        <v>4</v>
      </c>
      <c r="X252" s="1">
        <f t="shared" si="14"/>
        <v>0</v>
      </c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ht="15.75" customHeight="1">
      <c r="A253" s="1"/>
      <c r="B253" s="1">
        <v>10.0</v>
      </c>
      <c r="C253" s="1">
        <v>4.0</v>
      </c>
      <c r="D253" s="1">
        <v>2.0</v>
      </c>
      <c r="E253" s="1">
        <v>1.0</v>
      </c>
      <c r="F253" s="1">
        <v>3.0</v>
      </c>
      <c r="G253" s="3">
        <v>2.0</v>
      </c>
      <c r="H253" s="1">
        <v>4.0</v>
      </c>
      <c r="I253" s="1">
        <v>3.0</v>
      </c>
      <c r="J253" s="1">
        <v>10.0</v>
      </c>
      <c r="K253" s="1">
        <v>4.0</v>
      </c>
      <c r="L253" s="1">
        <f t="shared" ref="L253:N253" si="735">SUMPRODUCT($B253:$J253, INDEX($B$2:$J$4, L$10, 0)) + INDEX($K$2:$K$4, L$10,1)</f>
        <v>18.37185842</v>
      </c>
      <c r="M253" s="1">
        <f t="shared" si="735"/>
        <v>17.76492028</v>
      </c>
      <c r="N253" s="1">
        <f t="shared" si="735"/>
        <v>17.44706916</v>
      </c>
      <c r="O253" s="1">
        <f t="shared" ref="O253:Q253" si="736">(L253-L$7)/(L$6-L$7)</f>
        <v>0.171912561</v>
      </c>
      <c r="P253" s="1">
        <f t="shared" si="736"/>
        <v>0.1752703857</v>
      </c>
      <c r="Q253" s="1">
        <f t="shared" si="736"/>
        <v>0.1650552568</v>
      </c>
      <c r="R253" s="1">
        <f t="shared" ref="R253:T253" si="737">1/(1+EXP(-O253))</f>
        <v>0.5428726044</v>
      </c>
      <c r="S253" s="1">
        <f t="shared" si="737"/>
        <v>0.543705768</v>
      </c>
      <c r="T253" s="1">
        <f t="shared" si="737"/>
        <v>0.5411703887</v>
      </c>
      <c r="U253" s="1">
        <f t="shared" si="11"/>
        <v>2.685018051</v>
      </c>
      <c r="V253" s="1">
        <f t="shared" si="12"/>
        <v>1.729177525</v>
      </c>
      <c r="W253" s="1">
        <f t="shared" si="13"/>
        <v>2</v>
      </c>
      <c r="X253" s="1">
        <f t="shared" si="14"/>
        <v>1</v>
      </c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ht="15.75" customHeight="1">
      <c r="A254" s="1"/>
      <c r="B254" s="1">
        <v>3.0</v>
      </c>
      <c r="C254" s="1">
        <v>5.0</v>
      </c>
      <c r="D254" s="1">
        <v>7.0</v>
      </c>
      <c r="E254" s="1">
        <v>8.0</v>
      </c>
      <c r="F254" s="1">
        <v>8.0</v>
      </c>
      <c r="G254" s="3">
        <v>9.0</v>
      </c>
      <c r="H254" s="1">
        <v>7.0</v>
      </c>
      <c r="I254" s="1">
        <v>10.0</v>
      </c>
      <c r="J254" s="1">
        <v>7.0</v>
      </c>
      <c r="K254" s="1">
        <v>4.0</v>
      </c>
      <c r="L254" s="1">
        <f t="shared" ref="L254:N254" si="738">SUMPRODUCT($B254:$J254, INDEX($B$2:$J$4, L$10, 0)) + INDEX($K$2:$K$4, L$10,1)</f>
        <v>52.93870974</v>
      </c>
      <c r="M254" s="1">
        <f t="shared" si="738"/>
        <v>50.47586771</v>
      </c>
      <c r="N254" s="1">
        <f t="shared" si="738"/>
        <v>51.83110658</v>
      </c>
      <c r="O254" s="1">
        <f t="shared" ref="O254:Q254" si="739">(L254-L$7)/(L$6-L$7)</f>
        <v>0.7371612508</v>
      </c>
      <c r="P254" s="1">
        <f t="shared" si="739"/>
        <v>0.7354113008</v>
      </c>
      <c r="Q254" s="1">
        <f t="shared" si="739"/>
        <v>0.7465120472</v>
      </c>
      <c r="R254" s="1">
        <f t="shared" ref="R254:T254" si="740">1/(1+EXP(-O254))</f>
        <v>0.6763747883</v>
      </c>
      <c r="S254" s="1">
        <f t="shared" si="740"/>
        <v>0.6759916202</v>
      </c>
      <c r="T254" s="1">
        <f t="shared" si="740"/>
        <v>0.6784182172</v>
      </c>
      <c r="U254" s="1">
        <f t="shared" si="11"/>
        <v>3.35011477</v>
      </c>
      <c r="V254" s="1">
        <f t="shared" si="12"/>
        <v>0.4223508127</v>
      </c>
      <c r="W254" s="1">
        <f t="shared" si="13"/>
        <v>4</v>
      </c>
      <c r="X254" s="1">
        <f t="shared" si="14"/>
        <v>0</v>
      </c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ht="15.75" customHeight="1">
      <c r="A255" s="1"/>
      <c r="B255" s="1">
        <v>10.0</v>
      </c>
      <c r="C255" s="1">
        <v>4.0</v>
      </c>
      <c r="D255" s="1">
        <v>3.0</v>
      </c>
      <c r="E255" s="1">
        <v>2.0</v>
      </c>
      <c r="F255" s="1">
        <v>3.0</v>
      </c>
      <c r="G255" s="3">
        <v>10.0</v>
      </c>
      <c r="H255" s="1">
        <v>5.0</v>
      </c>
      <c r="I255" s="1">
        <v>3.0</v>
      </c>
      <c r="J255" s="1">
        <v>2.0</v>
      </c>
      <c r="K255" s="1">
        <v>4.0</v>
      </c>
      <c r="L255" s="1">
        <f t="shared" ref="L255:N255" si="741">SUMPRODUCT($B255:$J255, INDEX($B$2:$J$4, L$10, 0)) + INDEX($K$2:$K$4, L$10,1)</f>
        <v>45.95023425</v>
      </c>
      <c r="M255" s="1">
        <f t="shared" si="741"/>
        <v>45.08466235</v>
      </c>
      <c r="N255" s="1">
        <f t="shared" si="741"/>
        <v>45.64692533</v>
      </c>
      <c r="O255" s="1">
        <f t="shared" ref="O255:Q255" si="742">(L255-L$7)/(L$6-L$7)</f>
        <v>0.6228833672</v>
      </c>
      <c r="P255" s="1">
        <f t="shared" si="742"/>
        <v>0.6430925226</v>
      </c>
      <c r="Q255" s="1">
        <f t="shared" si="742"/>
        <v>0.6419334563</v>
      </c>
      <c r="R255" s="1">
        <f t="shared" ref="R255:T255" si="743">1/(1+EXP(-O255))</f>
        <v>0.650874041</v>
      </c>
      <c r="S255" s="1">
        <f t="shared" si="743"/>
        <v>0.6554521946</v>
      </c>
      <c r="T255" s="1">
        <f t="shared" si="743"/>
        <v>0.6551903902</v>
      </c>
      <c r="U255" s="1">
        <f t="shared" si="11"/>
        <v>3.236002422</v>
      </c>
      <c r="V255" s="1">
        <f t="shared" si="12"/>
        <v>0.5836922996</v>
      </c>
      <c r="W255" s="1">
        <f t="shared" si="13"/>
        <v>4</v>
      </c>
      <c r="X255" s="1">
        <f t="shared" si="14"/>
        <v>0</v>
      </c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ht="15.75" customHeight="1">
      <c r="A256" s="1"/>
      <c r="B256" s="1">
        <v>5.0</v>
      </c>
      <c r="C256" s="1">
        <v>1.0</v>
      </c>
      <c r="D256" s="1">
        <v>1.0</v>
      </c>
      <c r="E256" s="1">
        <v>1.0</v>
      </c>
      <c r="F256" s="1">
        <v>2.0</v>
      </c>
      <c r="G256" s="3">
        <v>1.0</v>
      </c>
      <c r="H256" s="1">
        <v>3.0</v>
      </c>
      <c r="I256" s="1">
        <v>1.0</v>
      </c>
      <c r="J256" s="1">
        <v>1.0</v>
      </c>
      <c r="K256" s="1">
        <v>2.0</v>
      </c>
      <c r="L256" s="1">
        <f t="shared" ref="L256:N256" si="744">SUMPRODUCT($B256:$J256, INDEX($B$2:$J$4, L$10, 0)) + INDEX($K$2:$K$4, L$10,1)</f>
        <v>8.049231444</v>
      </c>
      <c r="M256" s="1">
        <f t="shared" si="744"/>
        <v>7.607539277</v>
      </c>
      <c r="N256" s="1">
        <f t="shared" si="744"/>
        <v>7.726206983</v>
      </c>
      <c r="O256" s="1">
        <f t="shared" ref="O256:Q256" si="745">(L256-L$7)/(L$6-L$7)</f>
        <v>0.003113519306</v>
      </c>
      <c r="P256" s="1">
        <f t="shared" si="745"/>
        <v>0.001335812098</v>
      </c>
      <c r="Q256" s="1">
        <f t="shared" si="745"/>
        <v>0.0006690547814</v>
      </c>
      <c r="R256" s="1">
        <f t="shared" ref="R256:T256" si="746">1/(1+EXP(-O256))</f>
        <v>0.5007783792</v>
      </c>
      <c r="S256" s="1">
        <f t="shared" si="746"/>
        <v>0.500333953</v>
      </c>
      <c r="T256" s="1">
        <f t="shared" si="746"/>
        <v>0.5001672637</v>
      </c>
      <c r="U256" s="1">
        <f t="shared" si="11"/>
        <v>2.47646732</v>
      </c>
      <c r="V256" s="1">
        <f t="shared" si="12"/>
        <v>0.2270211071</v>
      </c>
      <c r="W256" s="1">
        <f t="shared" si="13"/>
        <v>2</v>
      </c>
      <c r="X256" s="1">
        <f t="shared" si="14"/>
        <v>0</v>
      </c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ht="15.75" customHeight="1">
      <c r="A257" s="1"/>
      <c r="B257" s="1">
        <v>3.0</v>
      </c>
      <c r="C257" s="1">
        <v>4.0</v>
      </c>
      <c r="D257" s="1">
        <v>5.0</v>
      </c>
      <c r="E257" s="1">
        <v>3.0</v>
      </c>
      <c r="F257" s="1">
        <v>7.0</v>
      </c>
      <c r="G257" s="3">
        <v>3.0</v>
      </c>
      <c r="H257" s="1">
        <v>4.0</v>
      </c>
      <c r="I257" s="1">
        <v>6.0</v>
      </c>
      <c r="J257" s="1">
        <v>1.0</v>
      </c>
      <c r="K257" s="1">
        <v>2.0</v>
      </c>
      <c r="L257" s="1">
        <f t="shared" ref="L257:N257" si="747">SUMPRODUCT($B257:$J257, INDEX($B$2:$J$4, L$10, 0)) + INDEX($K$2:$K$4, L$10,1)</f>
        <v>27.315666</v>
      </c>
      <c r="M257" s="1">
        <f t="shared" si="747"/>
        <v>25.57677766</v>
      </c>
      <c r="N257" s="1">
        <f t="shared" si="747"/>
        <v>26.16659977</v>
      </c>
      <c r="O257" s="1">
        <f t="shared" ref="O257:Q257" si="748">(L257-L$7)/(L$6-L$7)</f>
        <v>0.3181646876</v>
      </c>
      <c r="P257" s="1">
        <f t="shared" si="748"/>
        <v>0.3090403094</v>
      </c>
      <c r="Q257" s="1">
        <f t="shared" si="748"/>
        <v>0.3125082803</v>
      </c>
      <c r="R257" s="1">
        <f t="shared" ref="R257:T257" si="749">1/(1+EXP(-O257))</f>
        <v>0.5788769074</v>
      </c>
      <c r="S257" s="1">
        <f t="shared" si="749"/>
        <v>0.5766509943</v>
      </c>
      <c r="T257" s="1">
        <f t="shared" si="749"/>
        <v>0.5774973855</v>
      </c>
      <c r="U257" s="1">
        <f t="shared" si="11"/>
        <v>2.858703187</v>
      </c>
      <c r="V257" s="1">
        <f t="shared" si="12"/>
        <v>0.7373711639</v>
      </c>
      <c r="W257" s="1">
        <f t="shared" si="13"/>
        <v>4</v>
      </c>
      <c r="X257" s="1">
        <f t="shared" si="14"/>
        <v>1</v>
      </c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ht="15.75" customHeight="1">
      <c r="A258" s="1"/>
      <c r="B258" s="1">
        <v>7.0</v>
      </c>
      <c r="C258" s="1">
        <v>6.0</v>
      </c>
      <c r="D258" s="1">
        <v>6.0</v>
      </c>
      <c r="E258" s="1">
        <v>3.0</v>
      </c>
      <c r="F258" s="1">
        <v>2.0</v>
      </c>
      <c r="G258" s="3">
        <v>10.0</v>
      </c>
      <c r="H258" s="1">
        <v>7.0</v>
      </c>
      <c r="I258" s="1">
        <v>1.0</v>
      </c>
      <c r="J258" s="1">
        <v>1.0</v>
      </c>
      <c r="K258" s="1">
        <v>4.0</v>
      </c>
      <c r="L258" s="1">
        <f t="shared" ref="L258:N258" si="750">SUMPRODUCT($B258:$J258, INDEX($B$2:$J$4, L$10, 0)) + INDEX($K$2:$K$4, L$10,1)</f>
        <v>53.20042597</v>
      </c>
      <c r="M258" s="1">
        <f t="shared" si="750"/>
        <v>51.55245847</v>
      </c>
      <c r="N258" s="1">
        <f t="shared" si="750"/>
        <v>52.37923789</v>
      </c>
      <c r="O258" s="1">
        <f t="shared" ref="O258:Q258" si="751">(L258-L$7)/(L$6-L$7)</f>
        <v>0.7414409219</v>
      </c>
      <c r="P258" s="1">
        <f t="shared" si="751"/>
        <v>0.7538467967</v>
      </c>
      <c r="Q258" s="1">
        <f t="shared" si="751"/>
        <v>0.7557813097</v>
      </c>
      <c r="R258" s="1">
        <f t="shared" ref="R258:T258" si="752">1/(1+EXP(-O258))</f>
        <v>0.6773108658</v>
      </c>
      <c r="S258" s="1">
        <f t="shared" si="752"/>
        <v>0.6800163186</v>
      </c>
      <c r="T258" s="1">
        <f t="shared" si="752"/>
        <v>0.6804371105</v>
      </c>
      <c r="U258" s="1">
        <f t="shared" si="11"/>
        <v>3.36170092</v>
      </c>
      <c r="V258" s="1">
        <f t="shared" si="12"/>
        <v>0.407425715</v>
      </c>
      <c r="W258" s="1">
        <f t="shared" si="13"/>
        <v>4</v>
      </c>
      <c r="X258" s="1">
        <f t="shared" si="14"/>
        <v>0</v>
      </c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ht="15.75" customHeight="1">
      <c r="A259" s="1"/>
      <c r="B259" s="1">
        <v>1.0</v>
      </c>
      <c r="C259" s="1">
        <v>1.0</v>
      </c>
      <c r="D259" s="1">
        <v>1.0</v>
      </c>
      <c r="E259" s="1">
        <v>1.0</v>
      </c>
      <c r="F259" s="1">
        <v>2.0</v>
      </c>
      <c r="G259" s="3">
        <v>1.0</v>
      </c>
      <c r="H259" s="1">
        <v>2.0</v>
      </c>
      <c r="I259" s="1">
        <v>1.0</v>
      </c>
      <c r="J259" s="1">
        <v>1.0</v>
      </c>
      <c r="K259" s="1">
        <v>2.0</v>
      </c>
      <c r="L259" s="1">
        <f t="shared" ref="L259:N259" si="753">SUMPRODUCT($B259:$J259, INDEX($B$2:$J$4, L$10, 0)) + INDEX($K$2:$K$4, L$10,1)</f>
        <v>7.953432454</v>
      </c>
      <c r="M259" s="1">
        <f t="shared" si="753"/>
        <v>7.529531272</v>
      </c>
      <c r="N259" s="1">
        <f t="shared" si="753"/>
        <v>7.686646929</v>
      </c>
      <c r="O259" s="1">
        <f t="shared" ref="O259:Q259" si="754">(L259-L$7)/(L$6-L$7)</f>
        <v>0.001546982238</v>
      </c>
      <c r="P259" s="1">
        <f t="shared" si="754"/>
        <v>0.000000006234892308</v>
      </c>
      <c r="Q259" s="1">
        <f t="shared" si="754"/>
        <v>0.00000006813089816</v>
      </c>
      <c r="R259" s="1">
        <f t="shared" ref="R259:T259" si="755">1/(1+EXP(-O259))</f>
        <v>0.5003867455</v>
      </c>
      <c r="S259" s="1">
        <f t="shared" si="755"/>
        <v>0.5000000016</v>
      </c>
      <c r="T259" s="1">
        <f t="shared" si="755"/>
        <v>0.500000017</v>
      </c>
      <c r="U259" s="1">
        <f t="shared" si="11"/>
        <v>2.475009467</v>
      </c>
      <c r="V259" s="1">
        <f t="shared" si="12"/>
        <v>0.2256339933</v>
      </c>
      <c r="W259" s="1">
        <f t="shared" si="13"/>
        <v>2</v>
      </c>
      <c r="X259" s="1">
        <f t="shared" si="14"/>
        <v>0</v>
      </c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ht="15.75" customHeight="1">
      <c r="A260" s="1"/>
      <c r="B260" s="1">
        <v>4.0</v>
      </c>
      <c r="C260" s="1">
        <v>1.0</v>
      </c>
      <c r="D260" s="1">
        <v>1.0</v>
      </c>
      <c r="E260" s="1">
        <v>1.0</v>
      </c>
      <c r="F260" s="1">
        <v>2.0</v>
      </c>
      <c r="G260" s="3">
        <v>1.0</v>
      </c>
      <c r="H260" s="1">
        <v>1.0</v>
      </c>
      <c r="I260" s="1">
        <v>2.0</v>
      </c>
      <c r="J260" s="1">
        <v>1.0</v>
      </c>
      <c r="K260" s="1">
        <v>2.0</v>
      </c>
      <c r="L260" s="1">
        <f t="shared" ref="L260:N260" si="756">SUMPRODUCT($B260:$J260, INDEX($B$2:$J$4, L$10, 0)) + INDEX($K$2:$K$4, L$10,1)</f>
        <v>8.253388692</v>
      </c>
      <c r="M260" s="1">
        <f t="shared" si="756"/>
        <v>7.880829322</v>
      </c>
      <c r="N260" s="1">
        <f t="shared" si="756"/>
        <v>8.016714526</v>
      </c>
      <c r="O260" s="1">
        <f t="shared" ref="O260:Q260" si="757">(L260-L$7)/(L$6-L$7)</f>
        <v>0.006451966764</v>
      </c>
      <c r="P260" s="1">
        <f t="shared" si="757"/>
        <v>0.006015619563</v>
      </c>
      <c r="Q260" s="1">
        <f t="shared" si="757"/>
        <v>0.005581729276</v>
      </c>
      <c r="R260" s="1">
        <f t="shared" ref="R260:T260" si="758">1/(1+EXP(-O260))</f>
        <v>0.5016129861</v>
      </c>
      <c r="S260" s="1">
        <f t="shared" si="758"/>
        <v>0.5015039004</v>
      </c>
      <c r="T260" s="1">
        <f t="shared" si="758"/>
        <v>0.5013954287</v>
      </c>
      <c r="U260" s="1">
        <f t="shared" si="11"/>
        <v>2.481826273</v>
      </c>
      <c r="V260" s="1">
        <f t="shared" si="12"/>
        <v>0.2321565571</v>
      </c>
      <c r="W260" s="1">
        <f t="shared" si="13"/>
        <v>2</v>
      </c>
      <c r="X260" s="1">
        <f t="shared" si="14"/>
        <v>0</v>
      </c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ht="15.75" customHeight="1">
      <c r="A261" s="1"/>
      <c r="B261" s="1">
        <v>1.0</v>
      </c>
      <c r="C261" s="1">
        <v>1.0</v>
      </c>
      <c r="D261" s="1">
        <v>1.0</v>
      </c>
      <c r="E261" s="1">
        <v>3.0</v>
      </c>
      <c r="F261" s="1">
        <v>1.0</v>
      </c>
      <c r="G261" s="3">
        <v>3.0</v>
      </c>
      <c r="H261" s="1">
        <v>1.0</v>
      </c>
      <c r="I261" s="1">
        <v>1.0</v>
      </c>
      <c r="J261" s="1">
        <v>1.0</v>
      </c>
      <c r="K261" s="1">
        <v>2.0</v>
      </c>
      <c r="L261" s="1">
        <f t="shared" ref="L261:N261" si="759">SUMPRODUCT($B261:$J261, INDEX($B$2:$J$4, L$10, 0)) + INDEX($K$2:$K$4, L$10,1)</f>
        <v>14.41464221</v>
      </c>
      <c r="M261" s="1">
        <f t="shared" si="759"/>
        <v>14.04163807</v>
      </c>
      <c r="N261" s="1">
        <f t="shared" si="759"/>
        <v>14.36260624</v>
      </c>
      <c r="O261" s="1">
        <f t="shared" ref="O261:Q261" si="760">(L261-L$7)/(L$6-L$7)</f>
        <v>0.1072028407</v>
      </c>
      <c r="P261" s="1">
        <f t="shared" si="760"/>
        <v>0.1115130547</v>
      </c>
      <c r="Q261" s="1">
        <f t="shared" si="760"/>
        <v>0.1128949508</v>
      </c>
      <c r="R261" s="1">
        <f t="shared" ref="R261:T261" si="761">1/(1+EXP(-O261))</f>
        <v>0.5267750725</v>
      </c>
      <c r="S261" s="1">
        <f t="shared" si="761"/>
        <v>0.5278494103</v>
      </c>
      <c r="T261" s="1">
        <f t="shared" si="761"/>
        <v>0.5281937993</v>
      </c>
      <c r="U261" s="1">
        <f t="shared" si="11"/>
        <v>2.61110883</v>
      </c>
      <c r="V261" s="1">
        <f t="shared" si="12"/>
        <v>0.3734540026</v>
      </c>
      <c r="W261" s="1">
        <f t="shared" si="13"/>
        <v>2</v>
      </c>
      <c r="X261" s="1">
        <f t="shared" si="14"/>
        <v>0</v>
      </c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ht="15.75" customHeight="1">
      <c r="A262" s="1"/>
      <c r="B262" s="1">
        <v>3.0</v>
      </c>
      <c r="C262" s="1">
        <v>3.0</v>
      </c>
      <c r="D262" s="1">
        <v>1.0</v>
      </c>
      <c r="E262" s="1">
        <v>1.0</v>
      </c>
      <c r="F262" s="1">
        <v>2.0</v>
      </c>
      <c r="G262" s="3">
        <v>1.0</v>
      </c>
      <c r="H262" s="1">
        <v>1.0</v>
      </c>
      <c r="I262" s="1">
        <v>1.0</v>
      </c>
      <c r="J262" s="1">
        <v>1.0</v>
      </c>
      <c r="K262" s="1">
        <v>2.0</v>
      </c>
      <c r="L262" s="1">
        <f t="shared" ref="L262:N262" si="762">SUMPRODUCT($B262:$J262, INDEX($B$2:$J$4, L$10, 0)) + INDEX($K$2:$K$4, L$10,1)</f>
        <v>11.14374016</v>
      </c>
      <c r="M262" s="1">
        <f t="shared" si="762"/>
        <v>10.86648164</v>
      </c>
      <c r="N262" s="1">
        <f t="shared" si="762"/>
        <v>10.51964349</v>
      </c>
      <c r="O262" s="1">
        <f t="shared" ref="O262:Q262" si="763">(L262-L$7)/(L$6-L$7)</f>
        <v>0.05371595874</v>
      </c>
      <c r="P262" s="1">
        <f t="shared" si="763"/>
        <v>0.05714180683</v>
      </c>
      <c r="Q262" s="1">
        <f t="shared" si="763"/>
        <v>0.04790791176</v>
      </c>
      <c r="R262" s="1">
        <f t="shared" ref="R262:T262" si="764">1/(1+EXP(-O262))</f>
        <v>0.5134257616</v>
      </c>
      <c r="S262" s="1">
        <f t="shared" si="764"/>
        <v>0.5142815659</v>
      </c>
      <c r="T262" s="1">
        <f t="shared" si="764"/>
        <v>0.5119746877</v>
      </c>
      <c r="U262" s="1">
        <f t="shared" si="11"/>
        <v>2.539760047</v>
      </c>
      <c r="V262" s="1">
        <f t="shared" si="12"/>
        <v>0.2913409081</v>
      </c>
      <c r="W262" s="1">
        <f t="shared" si="13"/>
        <v>2</v>
      </c>
      <c r="X262" s="1">
        <f t="shared" si="14"/>
        <v>0</v>
      </c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ht="15.75" customHeight="1">
      <c r="A263" s="1"/>
      <c r="B263" s="1">
        <v>1.0</v>
      </c>
      <c r="C263" s="1">
        <v>1.0</v>
      </c>
      <c r="D263" s="1">
        <v>1.0</v>
      </c>
      <c r="E263" s="1">
        <v>1.0</v>
      </c>
      <c r="F263" s="1">
        <v>2.0</v>
      </c>
      <c r="G263" s="3">
        <v>4.0</v>
      </c>
      <c r="H263" s="1">
        <v>1.0</v>
      </c>
      <c r="I263" s="1">
        <v>1.0</v>
      </c>
      <c r="J263" s="1">
        <v>1.0</v>
      </c>
      <c r="K263" s="1">
        <v>2.0</v>
      </c>
      <c r="L263" s="1">
        <f t="shared" ref="L263:N263" si="765">SUMPRODUCT($B263:$J263, INDEX($B$2:$J$4, L$10, 0)) + INDEX($K$2:$K$4, L$10,1)</f>
        <v>17.65866229</v>
      </c>
      <c r="M263" s="1">
        <f t="shared" si="765"/>
        <v>17.29769202</v>
      </c>
      <c r="N263" s="1">
        <f t="shared" si="765"/>
        <v>17.69219312</v>
      </c>
      <c r="O263" s="1">
        <f t="shared" ref="O263:Q263" si="766">(L263-L$7)/(L$6-L$7)</f>
        <v>0.1602501398</v>
      </c>
      <c r="P263" s="1">
        <f t="shared" si="766"/>
        <v>0.1672695882</v>
      </c>
      <c r="Q263" s="1">
        <f t="shared" si="766"/>
        <v>0.1692004648</v>
      </c>
      <c r="R263" s="1">
        <f t="shared" ref="R263:T263" si="767">1/(1+EXP(-O263))</f>
        <v>0.5399770204</v>
      </c>
      <c r="S263" s="1">
        <f t="shared" si="767"/>
        <v>0.5417201679</v>
      </c>
      <c r="T263" s="1">
        <f t="shared" si="767"/>
        <v>0.5421994875</v>
      </c>
      <c r="U263" s="1">
        <f t="shared" si="11"/>
        <v>2.678925311</v>
      </c>
      <c r="V263" s="1">
        <f t="shared" si="12"/>
        <v>0.4609395783</v>
      </c>
      <c r="W263" s="1">
        <f t="shared" si="13"/>
        <v>2</v>
      </c>
      <c r="X263" s="1">
        <f t="shared" si="14"/>
        <v>0</v>
      </c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ht="15.75" customHeight="1">
      <c r="A264" s="1"/>
      <c r="B264" s="1">
        <v>1.0</v>
      </c>
      <c r="C264" s="1">
        <v>1.0</v>
      </c>
      <c r="D264" s="1">
        <v>1.0</v>
      </c>
      <c r="E264" s="1">
        <v>1.0</v>
      </c>
      <c r="F264" s="1">
        <v>2.0</v>
      </c>
      <c r="G264" s="3">
        <v>1.0</v>
      </c>
      <c r="H264" s="1">
        <v>1.0</v>
      </c>
      <c r="I264" s="1">
        <v>1.0</v>
      </c>
      <c r="J264" s="1">
        <v>1.0</v>
      </c>
      <c r="K264" s="1">
        <v>2.0</v>
      </c>
      <c r="L264" s="1">
        <f t="shared" ref="L264:N264" si="768">SUMPRODUCT($B264:$J264, INDEX($B$2:$J$4, L$10, 0)) + INDEX($K$2:$K$4, L$10,1)</f>
        <v>7.921139731</v>
      </c>
      <c r="M264" s="1">
        <f t="shared" si="768"/>
        <v>7.529531272</v>
      </c>
      <c r="N264" s="1">
        <f t="shared" si="768"/>
        <v>7.6866429</v>
      </c>
      <c r="O264" s="1">
        <f t="shared" ref="O264:Q264" si="769">(L264-L$7)/(L$6-L$7)</f>
        <v>0.001018920854</v>
      </c>
      <c r="P264" s="1">
        <f t="shared" si="769"/>
        <v>0.000000006234892308</v>
      </c>
      <c r="Q264" s="1">
        <f t="shared" si="769"/>
        <v>0</v>
      </c>
      <c r="R264" s="1">
        <f t="shared" ref="R264:T264" si="770">1/(1+EXP(-O264))</f>
        <v>0.5002547302</v>
      </c>
      <c r="S264" s="1">
        <f t="shared" si="770"/>
        <v>0.5000000016</v>
      </c>
      <c r="T264" s="1">
        <f t="shared" si="770"/>
        <v>0.5</v>
      </c>
      <c r="U264" s="1">
        <f t="shared" si="11"/>
        <v>2.474800478</v>
      </c>
      <c r="V264" s="1">
        <f t="shared" si="12"/>
        <v>0.2254354935</v>
      </c>
      <c r="W264" s="1">
        <f t="shared" si="13"/>
        <v>2</v>
      </c>
      <c r="X264" s="1">
        <f t="shared" si="14"/>
        <v>0</v>
      </c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ht="15.75" customHeight="1">
      <c r="A265" s="1"/>
      <c r="B265" s="1">
        <v>2.0</v>
      </c>
      <c r="C265" s="1">
        <v>5.0</v>
      </c>
      <c r="D265" s="1">
        <v>7.0</v>
      </c>
      <c r="E265" s="1">
        <v>6.0</v>
      </c>
      <c r="F265" s="1">
        <v>4.0</v>
      </c>
      <c r="G265" s="3">
        <v>10.0</v>
      </c>
      <c r="H265" s="1">
        <v>7.0</v>
      </c>
      <c r="I265" s="1">
        <v>6.0</v>
      </c>
      <c r="J265" s="1">
        <v>1.0</v>
      </c>
      <c r="K265" s="1">
        <v>4.0</v>
      </c>
      <c r="L265" s="1">
        <f t="shared" ref="L265:N265" si="771">SUMPRODUCT($B265:$J265, INDEX($B$2:$J$4, L$10, 0)) + INDEX($K$2:$K$4, L$10,1)</f>
        <v>54.7168241</v>
      </c>
      <c r="M265" s="1">
        <f t="shared" si="771"/>
        <v>52.54124965</v>
      </c>
      <c r="N265" s="1">
        <f t="shared" si="771"/>
        <v>53.94918602</v>
      </c>
      <c r="O265" s="1">
        <f t="shared" ref="O265:Q265" si="772">(L265-L$7)/(L$6-L$7)</f>
        <v>0.7662375702</v>
      </c>
      <c r="P265" s="1">
        <f t="shared" si="772"/>
        <v>0.770778816</v>
      </c>
      <c r="Q265" s="1">
        <f t="shared" si="772"/>
        <v>0.78233017</v>
      </c>
      <c r="R265" s="1">
        <f t="shared" ref="R265:T265" si="773">1/(1+EXP(-O265))</f>
        <v>0.6827064432</v>
      </c>
      <c r="S265" s="1">
        <f t="shared" si="773"/>
        <v>0.6836893432</v>
      </c>
      <c r="T265" s="1">
        <f t="shared" si="773"/>
        <v>0.6861821015</v>
      </c>
      <c r="U265" s="1">
        <f t="shared" si="11"/>
        <v>3.386160493</v>
      </c>
      <c r="V265" s="1">
        <f t="shared" si="12"/>
        <v>0.3767989399</v>
      </c>
      <c r="W265" s="1">
        <f t="shared" si="13"/>
        <v>4</v>
      </c>
      <c r="X265" s="1">
        <f t="shared" si="14"/>
        <v>0</v>
      </c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ht="15.75" customHeight="1">
      <c r="A266" s="1"/>
      <c r="B266" s="1">
        <v>5.0</v>
      </c>
      <c r="C266" s="1">
        <v>1.0</v>
      </c>
      <c r="D266" s="1">
        <v>1.0</v>
      </c>
      <c r="E266" s="1">
        <v>1.0</v>
      </c>
      <c r="F266" s="1">
        <v>2.0</v>
      </c>
      <c r="G266" s="3">
        <v>1.0</v>
      </c>
      <c r="H266" s="1">
        <v>2.0</v>
      </c>
      <c r="I266" s="1">
        <v>1.0</v>
      </c>
      <c r="J266" s="1">
        <v>1.0</v>
      </c>
      <c r="K266" s="1">
        <v>2.0</v>
      </c>
      <c r="L266" s="1">
        <f t="shared" ref="L266:N266" si="774">SUMPRODUCT($B266:$J266, INDEX($B$2:$J$4, L$10, 0)) + INDEX($K$2:$K$4, L$10,1)</f>
        <v>8.016938721</v>
      </c>
      <c r="M266" s="1">
        <f t="shared" si="774"/>
        <v>7.607539277</v>
      </c>
      <c r="N266" s="1">
        <f t="shared" si="774"/>
        <v>7.726202954</v>
      </c>
      <c r="O266" s="1">
        <f t="shared" ref="O266:Q266" si="775">(L266-L$7)/(L$6-L$7)</f>
        <v>0.002585457921</v>
      </c>
      <c r="P266" s="1">
        <f t="shared" si="775"/>
        <v>0.001335812098</v>
      </c>
      <c r="Q266" s="1">
        <f t="shared" si="775"/>
        <v>0.0006689866505</v>
      </c>
      <c r="R266" s="1">
        <f t="shared" ref="R266:T266" si="776">1/(1+EXP(-O266))</f>
        <v>0.5006463641</v>
      </c>
      <c r="S266" s="1">
        <f t="shared" si="776"/>
        <v>0.500333953</v>
      </c>
      <c r="T266" s="1">
        <f t="shared" si="776"/>
        <v>0.5001672467</v>
      </c>
      <c r="U266" s="1">
        <f t="shared" si="11"/>
        <v>2.476258331</v>
      </c>
      <c r="V266" s="1">
        <f t="shared" si="12"/>
        <v>0.2268219982</v>
      </c>
      <c r="W266" s="1">
        <f t="shared" si="13"/>
        <v>2</v>
      </c>
      <c r="X266" s="1">
        <f t="shared" si="14"/>
        <v>0</v>
      </c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ht="15.75" customHeight="1">
      <c r="A267" s="1"/>
      <c r="B267" s="1">
        <v>3.0</v>
      </c>
      <c r="C267" s="1">
        <v>1.0</v>
      </c>
      <c r="D267" s="1">
        <v>1.0</v>
      </c>
      <c r="E267" s="1">
        <v>1.0</v>
      </c>
      <c r="F267" s="1">
        <v>2.0</v>
      </c>
      <c r="G267" s="3">
        <v>1.0</v>
      </c>
      <c r="H267" s="1">
        <v>2.0</v>
      </c>
      <c r="I267" s="1">
        <v>1.0</v>
      </c>
      <c r="J267" s="1">
        <v>1.0</v>
      </c>
      <c r="K267" s="1">
        <v>2.0</v>
      </c>
      <c r="L267" s="1">
        <f t="shared" ref="L267:N267" si="777">SUMPRODUCT($B267:$J267, INDEX($B$2:$J$4, L$10, 0)) + INDEX($K$2:$K$4, L$10,1)</f>
        <v>7.985185587</v>
      </c>
      <c r="M267" s="1">
        <f t="shared" si="777"/>
        <v>7.568535274</v>
      </c>
      <c r="N267" s="1">
        <f t="shared" si="777"/>
        <v>7.706424942</v>
      </c>
      <c r="O267" s="1">
        <f t="shared" ref="O267:Q267" si="778">(L267-L$7)/(L$6-L$7)</f>
        <v>0.00206622008</v>
      </c>
      <c r="P267" s="1">
        <f t="shared" si="778"/>
        <v>0.0006679091667</v>
      </c>
      <c r="Q267" s="1">
        <f t="shared" si="778"/>
        <v>0.0003345273907</v>
      </c>
      <c r="R267" s="1">
        <f t="shared" ref="R267:T267" si="779">1/(1+EXP(-O267))</f>
        <v>0.5005165548</v>
      </c>
      <c r="S267" s="1">
        <f t="shared" si="779"/>
        <v>0.5001669773</v>
      </c>
      <c r="T267" s="1">
        <f t="shared" si="779"/>
        <v>0.5000836318</v>
      </c>
      <c r="U267" s="1">
        <f t="shared" si="11"/>
        <v>2.475633899</v>
      </c>
      <c r="V267" s="1">
        <f t="shared" si="12"/>
        <v>0.226227606</v>
      </c>
      <c r="W267" s="1">
        <f t="shared" si="13"/>
        <v>2</v>
      </c>
      <c r="X267" s="1">
        <f t="shared" si="14"/>
        <v>0</v>
      </c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ht="15.75" customHeight="1">
      <c r="A268" s="1"/>
      <c r="B268" s="1">
        <v>4.0</v>
      </c>
      <c r="C268" s="1">
        <v>1.0</v>
      </c>
      <c r="D268" s="1">
        <v>4.0</v>
      </c>
      <c r="E268" s="1">
        <v>1.0</v>
      </c>
      <c r="F268" s="1">
        <v>2.0</v>
      </c>
      <c r="G268" s="3">
        <v>1.0</v>
      </c>
      <c r="H268" s="1">
        <v>1.0</v>
      </c>
      <c r="I268" s="1">
        <v>1.0</v>
      </c>
      <c r="J268" s="1">
        <v>1.0</v>
      </c>
      <c r="K268" s="1">
        <v>2.0</v>
      </c>
      <c r="L268" s="1">
        <f t="shared" ref="L268:N268" si="780">SUMPRODUCT($B268:$J268, INDEX($B$2:$J$4, L$10, 0)) + INDEX($K$2:$K$4, L$10,1)</f>
        <v>12.61064145</v>
      </c>
      <c r="M268" s="1">
        <f t="shared" si="780"/>
        <v>11.40197749</v>
      </c>
      <c r="N268" s="1">
        <f t="shared" si="780"/>
        <v>12.26306981</v>
      </c>
      <c r="O268" s="1">
        <f t="shared" ref="O268:Q268" si="781">(L268-L$7)/(L$6-L$7)</f>
        <v>0.07770321812</v>
      </c>
      <c r="P268" s="1">
        <f t="shared" si="781"/>
        <v>0.0663116156</v>
      </c>
      <c r="Q268" s="1">
        <f t="shared" si="781"/>
        <v>0.07739040277</v>
      </c>
      <c r="R268" s="1">
        <f t="shared" ref="R268:T268" si="782">1/(1+EXP(-O268))</f>
        <v>0.5194160364</v>
      </c>
      <c r="S268" s="1">
        <f t="shared" si="782"/>
        <v>0.5165718318</v>
      </c>
      <c r="T268" s="1">
        <f t="shared" si="782"/>
        <v>0.51933795</v>
      </c>
      <c r="U268" s="1">
        <f t="shared" si="11"/>
        <v>2.565657129</v>
      </c>
      <c r="V268" s="1">
        <f t="shared" si="12"/>
        <v>0.3199679881</v>
      </c>
      <c r="W268" s="1">
        <f t="shared" si="13"/>
        <v>2</v>
      </c>
      <c r="X268" s="1">
        <f t="shared" si="14"/>
        <v>0</v>
      </c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ht="15.75" customHeight="1">
      <c r="A269" s="1"/>
      <c r="B269" s="1">
        <v>10.0</v>
      </c>
      <c r="C269" s="1">
        <v>7.0</v>
      </c>
      <c r="D269" s="1">
        <v>7.0</v>
      </c>
      <c r="E269" s="1">
        <v>6.0</v>
      </c>
      <c r="F269" s="1">
        <v>4.0</v>
      </c>
      <c r="G269" s="3">
        <v>10.0</v>
      </c>
      <c r="H269" s="1">
        <v>4.0</v>
      </c>
      <c r="I269" s="1">
        <v>1.0</v>
      </c>
      <c r="J269" s="1">
        <v>2.0</v>
      </c>
      <c r="K269" s="1">
        <v>4.0</v>
      </c>
      <c r="L269" s="1">
        <f t="shared" ref="L269:N269" si="783">SUMPRODUCT($B269:$J269, INDEX($B$2:$J$4, L$10, 0)) + INDEX($K$2:$K$4, L$10,1)</f>
        <v>56.51470946</v>
      </c>
      <c r="M269" s="1">
        <f t="shared" si="783"/>
        <v>54.5312518</v>
      </c>
      <c r="N269" s="1">
        <f t="shared" si="783"/>
        <v>55.33948553</v>
      </c>
      <c r="O269" s="1">
        <f t="shared" ref="O269:Q269" si="784">(L269-L$7)/(L$6-L$7)</f>
        <v>0.7956371917</v>
      </c>
      <c r="P269" s="1">
        <f t="shared" si="784"/>
        <v>0.8048555308</v>
      </c>
      <c r="Q269" s="1">
        <f t="shared" si="784"/>
        <v>0.8058410532</v>
      </c>
      <c r="R269" s="1">
        <f t="shared" ref="R269:T269" si="785">1/(1+EXP(-O269))</f>
        <v>0.6890404615</v>
      </c>
      <c r="S269" s="1">
        <f t="shared" si="785"/>
        <v>0.691012167</v>
      </c>
      <c r="T269" s="1">
        <f t="shared" si="785"/>
        <v>0.6912225506</v>
      </c>
      <c r="U269" s="1">
        <f t="shared" si="11"/>
        <v>3.416917412</v>
      </c>
      <c r="V269" s="1">
        <f t="shared" si="12"/>
        <v>0.3399853043</v>
      </c>
      <c r="W269" s="1">
        <f t="shared" si="13"/>
        <v>4</v>
      </c>
      <c r="X269" s="1">
        <f t="shared" si="14"/>
        <v>0</v>
      </c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ht="15.75" customHeight="1">
      <c r="A270" s="1"/>
      <c r="B270" s="1">
        <v>2.0</v>
      </c>
      <c r="C270" s="1">
        <v>1.0</v>
      </c>
      <c r="D270" s="1">
        <v>1.0</v>
      </c>
      <c r="E270" s="1">
        <v>1.0</v>
      </c>
      <c r="F270" s="1">
        <v>2.0</v>
      </c>
      <c r="G270" s="3">
        <v>1.0</v>
      </c>
      <c r="H270" s="1">
        <v>3.0</v>
      </c>
      <c r="I270" s="1">
        <v>1.0</v>
      </c>
      <c r="J270" s="1">
        <v>1.0</v>
      </c>
      <c r="K270" s="1">
        <v>2.0</v>
      </c>
      <c r="L270" s="1">
        <f t="shared" ref="L270:N270" si="786">SUMPRODUCT($B270:$J270, INDEX($B$2:$J$4, L$10, 0)) + INDEX($K$2:$K$4, L$10,1)</f>
        <v>8.001601743</v>
      </c>
      <c r="M270" s="1">
        <f t="shared" si="786"/>
        <v>7.549033273</v>
      </c>
      <c r="N270" s="1">
        <f t="shared" si="786"/>
        <v>7.696539964</v>
      </c>
      <c r="O270" s="1">
        <f t="shared" ref="O270:Q270" si="787">(L270-L$7)/(L$6-L$7)</f>
        <v>0.002334662543</v>
      </c>
      <c r="P270" s="1">
        <f t="shared" si="787"/>
        <v>0.0003339577008</v>
      </c>
      <c r="Q270" s="1">
        <f t="shared" si="787"/>
        <v>0.0001673658917</v>
      </c>
      <c r="R270" s="1">
        <f t="shared" ref="R270:T270" si="788">1/(1+EXP(-O270))</f>
        <v>0.5005836654</v>
      </c>
      <c r="S270" s="1">
        <f t="shared" si="788"/>
        <v>0.5000834894</v>
      </c>
      <c r="T270" s="1">
        <f t="shared" si="788"/>
        <v>0.5000418415</v>
      </c>
      <c r="U270" s="1">
        <f t="shared" si="11"/>
        <v>2.475530672</v>
      </c>
      <c r="V270" s="1">
        <f t="shared" si="12"/>
        <v>0.2261294198</v>
      </c>
      <c r="W270" s="1">
        <f t="shared" si="13"/>
        <v>2</v>
      </c>
      <c r="X270" s="1">
        <f t="shared" si="14"/>
        <v>0</v>
      </c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ht="15.75" customHeight="1">
      <c r="A271" s="1"/>
      <c r="B271" s="1">
        <v>8.0</v>
      </c>
      <c r="C271" s="1">
        <v>3.0</v>
      </c>
      <c r="D271" s="1">
        <v>3.0</v>
      </c>
      <c r="E271" s="1">
        <v>1.0</v>
      </c>
      <c r="F271" s="1">
        <v>2.0</v>
      </c>
      <c r="G271" s="3">
        <v>2.0</v>
      </c>
      <c r="H271" s="1">
        <v>3.0</v>
      </c>
      <c r="I271" s="1">
        <v>2.0</v>
      </c>
      <c r="J271" s="1">
        <v>1.0</v>
      </c>
      <c r="K271" s="1">
        <v>2.0</v>
      </c>
      <c r="L271" s="1">
        <f t="shared" ref="L271:N271" si="789">SUMPRODUCT($B271:$J271, INDEX($B$2:$J$4, L$10, 0)) + INDEX($K$2:$K$4, L$10,1)</f>
        <v>17.91274991</v>
      </c>
      <c r="M271" s="1">
        <f t="shared" si="789"/>
        <v>17.05546409</v>
      </c>
      <c r="N271" s="1">
        <f t="shared" si="789"/>
        <v>17.23585786</v>
      </c>
      <c r="O271" s="1">
        <f t="shared" ref="O271:Q271" si="790">(L271-L$7)/(L$6-L$7)</f>
        <v>0.1644050653</v>
      </c>
      <c r="P271" s="1">
        <f t="shared" si="790"/>
        <v>0.1631216871</v>
      </c>
      <c r="Q271" s="1">
        <f t="shared" si="790"/>
        <v>0.1614835341</v>
      </c>
      <c r="R271" s="1">
        <f t="shared" ref="R271:T271" si="791">1/(1+EXP(-O271))</f>
        <v>0.5410089386</v>
      </c>
      <c r="S271" s="1">
        <f t="shared" si="791"/>
        <v>0.5406902356</v>
      </c>
      <c r="T271" s="1">
        <f t="shared" si="791"/>
        <v>0.5402833826</v>
      </c>
      <c r="U271" s="1">
        <f t="shared" si="11"/>
        <v>2.675571093</v>
      </c>
      <c r="V271" s="1">
        <f t="shared" si="12"/>
        <v>0.456396301</v>
      </c>
      <c r="W271" s="1">
        <f t="shared" si="13"/>
        <v>2</v>
      </c>
      <c r="X271" s="1">
        <f t="shared" si="14"/>
        <v>0</v>
      </c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ht="15.75" customHeight="1">
      <c r="A272" s="1"/>
      <c r="B272" s="1">
        <v>5.0</v>
      </c>
      <c r="C272" s="1">
        <v>8.0</v>
      </c>
      <c r="D272" s="1">
        <v>8.0</v>
      </c>
      <c r="E272" s="1">
        <v>8.0</v>
      </c>
      <c r="F272" s="1">
        <v>5.0</v>
      </c>
      <c r="G272" s="3">
        <v>10.0</v>
      </c>
      <c r="H272" s="1">
        <v>7.0</v>
      </c>
      <c r="I272" s="1">
        <v>8.0</v>
      </c>
      <c r="J272" s="1">
        <v>1.0</v>
      </c>
      <c r="K272" s="1">
        <v>4.0</v>
      </c>
      <c r="L272" s="1">
        <f t="shared" ref="L272:N272" si="792">SUMPRODUCT($B272:$J272, INDEX($B$2:$J$4, L$10, 0)) + INDEX($K$2:$K$4, L$10,1)</f>
        <v>61.79369556</v>
      </c>
      <c r="M272" s="1">
        <f t="shared" si="792"/>
        <v>59.40357307</v>
      </c>
      <c r="N272" s="1">
        <f t="shared" si="792"/>
        <v>60.32067928</v>
      </c>
      <c r="O272" s="1">
        <f t="shared" ref="O272:Q272" si="793">(L272-L$7)/(L$6-L$7)</f>
        <v>0.8819609344</v>
      </c>
      <c r="P272" s="1">
        <f t="shared" si="793"/>
        <v>0.8882889593</v>
      </c>
      <c r="Q272" s="1">
        <f t="shared" si="793"/>
        <v>0.8900763306</v>
      </c>
      <c r="R272" s="1">
        <f t="shared" ref="R272:T272" si="794">1/(1+EXP(-O272))</f>
        <v>0.70722841</v>
      </c>
      <c r="S272" s="1">
        <f t="shared" si="794"/>
        <v>0.7085369477</v>
      </c>
      <c r="T272" s="1">
        <f t="shared" si="794"/>
        <v>0.7089059243</v>
      </c>
      <c r="U272" s="1">
        <f t="shared" si="11"/>
        <v>3.504965827</v>
      </c>
      <c r="V272" s="1">
        <f t="shared" si="12"/>
        <v>0.2450588321</v>
      </c>
      <c r="W272" s="1">
        <f t="shared" si="13"/>
        <v>4</v>
      </c>
      <c r="X272" s="1">
        <f t="shared" si="14"/>
        <v>0</v>
      </c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ht="15.75" customHeight="1">
      <c r="A273" s="1"/>
      <c r="B273" s="1">
        <v>3.0</v>
      </c>
      <c r="C273" s="1">
        <v>1.0</v>
      </c>
      <c r="D273" s="1">
        <v>1.0</v>
      </c>
      <c r="E273" s="1">
        <v>1.0</v>
      </c>
      <c r="F273" s="1">
        <v>2.0</v>
      </c>
      <c r="G273" s="3">
        <v>1.0</v>
      </c>
      <c r="H273" s="1">
        <v>3.0</v>
      </c>
      <c r="I273" s="1">
        <v>1.0</v>
      </c>
      <c r="J273" s="1">
        <v>1.0</v>
      </c>
      <c r="K273" s="1">
        <v>2.0</v>
      </c>
      <c r="L273" s="1">
        <f t="shared" ref="L273:N273" si="795">SUMPRODUCT($B273:$J273, INDEX($B$2:$J$4, L$10, 0)) + INDEX($K$2:$K$4, L$10,1)</f>
        <v>8.01747831</v>
      </c>
      <c r="M273" s="1">
        <f t="shared" si="795"/>
        <v>7.568535274</v>
      </c>
      <c r="N273" s="1">
        <f t="shared" si="795"/>
        <v>7.70642897</v>
      </c>
      <c r="O273" s="1">
        <f t="shared" ref="O273:Q273" si="796">(L273-L$7)/(L$6-L$7)</f>
        <v>0.002594281464</v>
      </c>
      <c r="P273" s="1">
        <f t="shared" si="796"/>
        <v>0.0006679091667</v>
      </c>
      <c r="Q273" s="1">
        <f t="shared" si="796"/>
        <v>0.0003345955216</v>
      </c>
      <c r="R273" s="1">
        <f t="shared" ref="R273:T273" si="797">1/(1+EXP(-O273))</f>
        <v>0.50064857</v>
      </c>
      <c r="S273" s="1">
        <f t="shared" si="797"/>
        <v>0.5001669773</v>
      </c>
      <c r="T273" s="1">
        <f t="shared" si="797"/>
        <v>0.5000836489</v>
      </c>
      <c r="U273" s="1">
        <f t="shared" si="11"/>
        <v>2.475842888</v>
      </c>
      <c r="V273" s="1">
        <f t="shared" si="12"/>
        <v>0.226426454</v>
      </c>
      <c r="W273" s="1">
        <f t="shared" si="13"/>
        <v>2</v>
      </c>
      <c r="X273" s="1">
        <f t="shared" si="14"/>
        <v>0</v>
      </c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ht="15.75" customHeight="1">
      <c r="A274" s="1"/>
      <c r="B274" s="1">
        <v>3.0</v>
      </c>
      <c r="C274" s="1">
        <v>10.0</v>
      </c>
      <c r="D274" s="1">
        <v>3.0</v>
      </c>
      <c r="E274" s="1">
        <v>10.0</v>
      </c>
      <c r="F274" s="1">
        <v>6.0</v>
      </c>
      <c r="G274" s="3">
        <v>10.0</v>
      </c>
      <c r="H274" s="1">
        <v>5.0</v>
      </c>
      <c r="I274" s="1">
        <v>1.0</v>
      </c>
      <c r="J274" s="1">
        <v>4.0</v>
      </c>
      <c r="K274" s="1">
        <v>4.0</v>
      </c>
      <c r="L274" s="1">
        <f t="shared" ref="L274:N274" si="798">SUMPRODUCT($B274:$J274, INDEX($B$2:$J$4, L$10, 0)) + INDEX($K$2:$K$4, L$10,1)</f>
        <v>55.28585771</v>
      </c>
      <c r="M274" s="1">
        <f t="shared" si="798"/>
        <v>54.25640445</v>
      </c>
      <c r="N274" s="1">
        <f t="shared" si="798"/>
        <v>53.43894691</v>
      </c>
      <c r="O274" s="1">
        <f t="shared" ref="O274:Q274" si="799">(L274-L$7)/(L$6-L$7)</f>
        <v>0.7755425978</v>
      </c>
      <c r="P274" s="1">
        <f t="shared" si="799"/>
        <v>0.8001490562</v>
      </c>
      <c r="Q274" s="1">
        <f t="shared" si="799"/>
        <v>0.7737016894</v>
      </c>
      <c r="R274" s="1">
        <f t="shared" ref="R274:T274" si="800">1/(1+EXP(-O274))</f>
        <v>0.6847186475</v>
      </c>
      <c r="S274" s="1">
        <f t="shared" si="800"/>
        <v>0.6900063648</v>
      </c>
      <c r="T274" s="1">
        <f t="shared" si="800"/>
        <v>0.684321099</v>
      </c>
      <c r="U274" s="1">
        <f t="shared" si="11"/>
        <v>3.396572813</v>
      </c>
      <c r="V274" s="1">
        <f t="shared" si="12"/>
        <v>0.3641243696</v>
      </c>
      <c r="W274" s="1">
        <f t="shared" si="13"/>
        <v>4</v>
      </c>
      <c r="X274" s="1">
        <f t="shared" si="14"/>
        <v>0</v>
      </c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ht="15.75" customHeight="1">
      <c r="A275" s="1"/>
      <c r="B275" s="1">
        <v>1.0</v>
      </c>
      <c r="C275" s="1">
        <v>3.0</v>
      </c>
      <c r="D275" s="1">
        <v>1.0</v>
      </c>
      <c r="E275" s="1">
        <v>1.0</v>
      </c>
      <c r="F275" s="1">
        <v>2.0</v>
      </c>
      <c r="G275" s="3">
        <v>1.0</v>
      </c>
      <c r="H275" s="1">
        <v>2.0</v>
      </c>
      <c r="I275" s="1">
        <v>2.0</v>
      </c>
      <c r="J275" s="1">
        <v>1.0</v>
      </c>
      <c r="K275" s="1">
        <v>2.0</v>
      </c>
      <c r="L275" s="1">
        <f t="shared" ref="L275:N275" si="801">SUMPRODUCT($B275:$J275, INDEX($B$2:$J$4, L$10, 0)) + INDEX($K$2:$K$4, L$10,1)</f>
        <v>11.42889901</v>
      </c>
      <c r="M275" s="1">
        <f t="shared" si="801"/>
        <v>11.12026969</v>
      </c>
      <c r="N275" s="1">
        <f t="shared" si="801"/>
        <v>10.80027411</v>
      </c>
      <c r="O275" s="1">
        <f t="shared" ref="O275:Q275" si="802">(L275-L$7)/(L$6-L$7)</f>
        <v>0.05837897142</v>
      </c>
      <c r="P275" s="1">
        <f t="shared" si="802"/>
        <v>0.06148766283</v>
      </c>
      <c r="Q275" s="1">
        <f t="shared" si="802"/>
        <v>0.05265356102</v>
      </c>
      <c r="R275" s="1">
        <f t="shared" ref="R275:T275" si="803">1/(1+EXP(-O275))</f>
        <v>0.5145905992</v>
      </c>
      <c r="S275" s="1">
        <f t="shared" si="803"/>
        <v>0.5153670744</v>
      </c>
      <c r="T275" s="1">
        <f t="shared" si="803"/>
        <v>0.5131603499</v>
      </c>
      <c r="U275" s="1">
        <f t="shared" si="11"/>
        <v>2.545429459</v>
      </c>
      <c r="V275" s="1">
        <f t="shared" si="12"/>
        <v>0.2974932948</v>
      </c>
      <c r="W275" s="1">
        <f t="shared" si="13"/>
        <v>2</v>
      </c>
      <c r="X275" s="1">
        <f t="shared" si="14"/>
        <v>0</v>
      </c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ht="15.75" customHeight="1">
      <c r="A276" s="1"/>
      <c r="B276" s="1">
        <v>9.0</v>
      </c>
      <c r="C276" s="1">
        <v>10.0</v>
      </c>
      <c r="D276" s="1">
        <v>10.0</v>
      </c>
      <c r="E276" s="1">
        <v>10.0</v>
      </c>
      <c r="F276" s="1">
        <v>10.0</v>
      </c>
      <c r="G276" s="3">
        <v>5.0</v>
      </c>
      <c r="H276" s="1">
        <v>10.0</v>
      </c>
      <c r="I276" s="1">
        <v>10.0</v>
      </c>
      <c r="J276" s="1">
        <v>10.0</v>
      </c>
      <c r="K276" s="1">
        <v>4.0</v>
      </c>
      <c r="L276" s="1">
        <f t="shared" ref="L276:N276" si="804">SUMPRODUCT($B276:$J276, INDEX($B$2:$J$4, L$10, 0)) + INDEX($K$2:$K$4, L$10,1)</f>
        <v>52.9552262</v>
      </c>
      <c r="M276" s="1">
        <f t="shared" si="804"/>
        <v>49.62747225</v>
      </c>
      <c r="N276" s="1">
        <f t="shared" si="804"/>
        <v>50.13513195</v>
      </c>
      <c r="O276" s="1">
        <f t="shared" ref="O276:Q276" si="805">(L276-L$7)/(L$6-L$7)</f>
        <v>0.7374313335</v>
      </c>
      <c r="P276" s="1">
        <f t="shared" si="805"/>
        <v>0.7208834119</v>
      </c>
      <c r="Q276" s="1">
        <f t="shared" si="805"/>
        <v>0.7178319957</v>
      </c>
      <c r="R276" s="1">
        <f t="shared" ref="R276:T276" si="806">1/(1+EXP(-O276))</f>
        <v>0.6764339044</v>
      </c>
      <c r="S276" s="1">
        <f t="shared" si="806"/>
        <v>0.6728015207</v>
      </c>
      <c r="T276" s="1">
        <f t="shared" si="806"/>
        <v>0.6721294292</v>
      </c>
      <c r="U276" s="1">
        <f t="shared" si="11"/>
        <v>3.334152531</v>
      </c>
      <c r="V276" s="1">
        <f t="shared" si="12"/>
        <v>0.4433528514</v>
      </c>
      <c r="W276" s="1">
        <f t="shared" si="13"/>
        <v>4</v>
      </c>
      <c r="X276" s="1">
        <f t="shared" si="14"/>
        <v>0</v>
      </c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ht="15.75" customHeight="1">
      <c r="A277" s="1"/>
      <c r="B277" s="1">
        <v>5.0</v>
      </c>
      <c r="C277" s="1">
        <v>10.0</v>
      </c>
      <c r="D277" s="1">
        <v>10.0</v>
      </c>
      <c r="E277" s="1">
        <v>10.0</v>
      </c>
      <c r="F277" s="1">
        <v>6.0</v>
      </c>
      <c r="G277" s="3">
        <v>10.0</v>
      </c>
      <c r="H277" s="1">
        <v>6.0</v>
      </c>
      <c r="I277" s="1">
        <v>5.0</v>
      </c>
      <c r="J277" s="1">
        <v>2.0</v>
      </c>
      <c r="K277" s="1">
        <v>4.0</v>
      </c>
      <c r="L277" s="1">
        <f t="shared" ref="L277:N277" si="807">SUMPRODUCT($B277:$J277, INDEX($B$2:$J$4, L$10, 0)) + INDEX($K$2:$K$4, L$10,1)</f>
        <v>67.31941531</v>
      </c>
      <c r="M277" s="1">
        <f t="shared" si="807"/>
        <v>64.36577047</v>
      </c>
      <c r="N277" s="1">
        <f t="shared" si="807"/>
        <v>65.2694538</v>
      </c>
      <c r="O277" s="1">
        <f t="shared" ref="O277:Q277" si="808">(L277-L$7)/(L$6-L$7)</f>
        <v>0.9723193481</v>
      </c>
      <c r="P277" s="1">
        <f t="shared" si="808"/>
        <v>0.9732614231</v>
      </c>
      <c r="Q277" s="1">
        <f t="shared" si="808"/>
        <v>0.9737633774</v>
      </c>
      <c r="R277" s="1">
        <f t="shared" ref="R277:T277" si="809">1/(1+EXP(-O277))</f>
        <v>0.7255815516</v>
      </c>
      <c r="S277" s="1">
        <f t="shared" si="809"/>
        <v>0.7257690911</v>
      </c>
      <c r="T277" s="1">
        <f t="shared" si="809"/>
        <v>0.7258689829</v>
      </c>
      <c r="U277" s="1">
        <f t="shared" si="11"/>
        <v>3.591556717</v>
      </c>
      <c r="V277" s="1">
        <f t="shared" si="12"/>
        <v>0.1668259154</v>
      </c>
      <c r="W277" s="1">
        <f t="shared" si="13"/>
        <v>4</v>
      </c>
      <c r="X277" s="1">
        <f t="shared" si="14"/>
        <v>0</v>
      </c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ht="15.75" customHeight="1">
      <c r="A278" s="1"/>
      <c r="B278" s="1">
        <v>5.0</v>
      </c>
      <c r="C278" s="1">
        <v>1.0</v>
      </c>
      <c r="D278" s="1">
        <v>1.0</v>
      </c>
      <c r="E278" s="1">
        <v>1.0</v>
      </c>
      <c r="F278" s="1">
        <v>2.0</v>
      </c>
      <c r="G278" s="3">
        <v>1.0</v>
      </c>
      <c r="H278" s="1">
        <v>3.0</v>
      </c>
      <c r="I278" s="1">
        <v>1.0</v>
      </c>
      <c r="J278" s="1">
        <v>1.0</v>
      </c>
      <c r="K278" s="1">
        <v>2.0</v>
      </c>
      <c r="L278" s="1">
        <f t="shared" ref="L278:N278" si="810">SUMPRODUCT($B278:$J278, INDEX($B$2:$J$4, L$10, 0)) + INDEX($K$2:$K$4, L$10,1)</f>
        <v>8.049231444</v>
      </c>
      <c r="M278" s="1">
        <f t="shared" si="810"/>
        <v>7.607539277</v>
      </c>
      <c r="N278" s="1">
        <f t="shared" si="810"/>
        <v>7.726206983</v>
      </c>
      <c r="O278" s="1">
        <f t="shared" ref="O278:Q278" si="811">(L278-L$7)/(L$6-L$7)</f>
        <v>0.003113519306</v>
      </c>
      <c r="P278" s="1">
        <f t="shared" si="811"/>
        <v>0.001335812098</v>
      </c>
      <c r="Q278" s="1">
        <f t="shared" si="811"/>
        <v>0.0006690547814</v>
      </c>
      <c r="R278" s="1">
        <f t="shared" ref="R278:T278" si="812">1/(1+EXP(-O278))</f>
        <v>0.5007783792</v>
      </c>
      <c r="S278" s="1">
        <f t="shared" si="812"/>
        <v>0.500333953</v>
      </c>
      <c r="T278" s="1">
        <f t="shared" si="812"/>
        <v>0.5001672637</v>
      </c>
      <c r="U278" s="1">
        <f t="shared" si="11"/>
        <v>2.47646732</v>
      </c>
      <c r="V278" s="1">
        <f t="shared" si="12"/>
        <v>0.2270211071</v>
      </c>
      <c r="W278" s="1">
        <f t="shared" si="13"/>
        <v>2</v>
      </c>
      <c r="X278" s="1">
        <f t="shared" si="14"/>
        <v>0</v>
      </c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ht="15.75" customHeight="1">
      <c r="A279" s="1"/>
      <c r="B279" s="1">
        <v>5.0</v>
      </c>
      <c r="C279" s="1">
        <v>1.0</v>
      </c>
      <c r="D279" s="1">
        <v>1.0</v>
      </c>
      <c r="E279" s="1">
        <v>1.0</v>
      </c>
      <c r="F279" s="1">
        <v>2.0</v>
      </c>
      <c r="G279" s="3">
        <v>1.0</v>
      </c>
      <c r="H279" s="1">
        <v>3.0</v>
      </c>
      <c r="I279" s="1">
        <v>1.0</v>
      </c>
      <c r="J279" s="1">
        <v>1.0</v>
      </c>
      <c r="K279" s="1">
        <v>2.0</v>
      </c>
      <c r="L279" s="1">
        <f t="shared" ref="L279:N279" si="813">SUMPRODUCT($B279:$J279, INDEX($B$2:$J$4, L$10, 0)) + INDEX($K$2:$K$4, L$10,1)</f>
        <v>8.049231444</v>
      </c>
      <c r="M279" s="1">
        <f t="shared" si="813"/>
        <v>7.607539277</v>
      </c>
      <c r="N279" s="1">
        <f t="shared" si="813"/>
        <v>7.726206983</v>
      </c>
      <c r="O279" s="1">
        <f t="shared" ref="O279:Q279" si="814">(L279-L$7)/(L$6-L$7)</f>
        <v>0.003113519306</v>
      </c>
      <c r="P279" s="1">
        <f t="shared" si="814"/>
        <v>0.001335812098</v>
      </c>
      <c r="Q279" s="1">
        <f t="shared" si="814"/>
        <v>0.0006690547814</v>
      </c>
      <c r="R279" s="1">
        <f t="shared" ref="R279:T279" si="815">1/(1+EXP(-O279))</f>
        <v>0.5007783792</v>
      </c>
      <c r="S279" s="1">
        <f t="shared" si="815"/>
        <v>0.500333953</v>
      </c>
      <c r="T279" s="1">
        <f t="shared" si="815"/>
        <v>0.5001672637</v>
      </c>
      <c r="U279" s="1">
        <f t="shared" si="11"/>
        <v>2.47646732</v>
      </c>
      <c r="V279" s="1">
        <f t="shared" si="12"/>
        <v>0.2270211071</v>
      </c>
      <c r="W279" s="1">
        <f t="shared" si="13"/>
        <v>2</v>
      </c>
      <c r="X279" s="1">
        <f t="shared" si="14"/>
        <v>0</v>
      </c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ht="15.75" customHeight="1">
      <c r="A280" s="1"/>
      <c r="B280" s="1">
        <v>2.0</v>
      </c>
      <c r="C280" s="1">
        <v>1.0</v>
      </c>
      <c r="D280" s="1">
        <v>1.0</v>
      </c>
      <c r="E280" s="1">
        <v>1.0</v>
      </c>
      <c r="F280" s="1">
        <v>2.0</v>
      </c>
      <c r="G280" s="3">
        <v>5.0</v>
      </c>
      <c r="H280" s="1">
        <v>1.0</v>
      </c>
      <c r="I280" s="1">
        <v>1.0</v>
      </c>
      <c r="J280" s="1">
        <v>1.0</v>
      </c>
      <c r="K280" s="1">
        <v>2.0</v>
      </c>
      <c r="L280" s="1">
        <f t="shared" ref="L280:N280" si="816">SUMPRODUCT($B280:$J280, INDEX($B$2:$J$4, L$10, 0)) + INDEX($K$2:$K$4, L$10,1)</f>
        <v>20.92037972</v>
      </c>
      <c r="M280" s="1">
        <f t="shared" si="816"/>
        <v>20.57324761</v>
      </c>
      <c r="N280" s="1">
        <f t="shared" si="816"/>
        <v>21.03726553</v>
      </c>
      <c r="O280" s="1">
        <f t="shared" ref="O280:Q280" si="817">(L280-L$7)/(L$6-L$7)</f>
        <v>0.2135868317</v>
      </c>
      <c r="P280" s="1">
        <f t="shared" si="817"/>
        <v>0.223360067</v>
      </c>
      <c r="Q280" s="1">
        <f t="shared" si="817"/>
        <v>0.2257678494</v>
      </c>
      <c r="R280" s="1">
        <f t="shared" ref="R280:T280" si="818">1/(1+EXP(-O280))</f>
        <v>0.5531946362</v>
      </c>
      <c r="S280" s="1">
        <f t="shared" si="818"/>
        <v>0.5556090156</v>
      </c>
      <c r="T280" s="1">
        <f t="shared" si="818"/>
        <v>0.5562034356</v>
      </c>
      <c r="U280" s="1">
        <f t="shared" si="11"/>
        <v>2.746793449</v>
      </c>
      <c r="V280" s="1">
        <f t="shared" si="12"/>
        <v>0.5577004551</v>
      </c>
      <c r="W280" s="1">
        <f t="shared" si="13"/>
        <v>2</v>
      </c>
      <c r="X280" s="1">
        <f t="shared" si="14"/>
        <v>0</v>
      </c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ht="15.75" customHeight="1">
      <c r="A281" s="1"/>
      <c r="B281" s="1">
        <v>4.0</v>
      </c>
      <c r="C281" s="1">
        <v>8.0</v>
      </c>
      <c r="D281" s="1">
        <v>6.0</v>
      </c>
      <c r="E281" s="1">
        <v>4.0</v>
      </c>
      <c r="F281" s="1">
        <v>3.0</v>
      </c>
      <c r="G281" s="3">
        <v>4.0</v>
      </c>
      <c r="H281" s="1">
        <v>10.0</v>
      </c>
      <c r="I281" s="1">
        <v>6.0</v>
      </c>
      <c r="J281" s="1">
        <v>1.0</v>
      </c>
      <c r="K281" s="1">
        <v>4.0</v>
      </c>
      <c r="L281" s="1">
        <f t="shared" ref="L281:N281" si="819">SUMPRODUCT($B281:$J281, INDEX($B$2:$J$4, L$10, 0)) + INDEX($K$2:$K$4, L$10,1)</f>
        <v>38.48294893</v>
      </c>
      <c r="M281" s="1">
        <f t="shared" si="819"/>
        <v>36.71953794</v>
      </c>
      <c r="N281" s="1">
        <f t="shared" si="819"/>
        <v>36.6565264</v>
      </c>
      <c r="O281" s="1">
        <f t="shared" ref="O281:Q281" si="820">(L281-L$7)/(L$6-L$7)</f>
        <v>0.5007758253</v>
      </c>
      <c r="P281" s="1">
        <f t="shared" si="820"/>
        <v>0.4998484769</v>
      </c>
      <c r="Q281" s="1">
        <f t="shared" si="820"/>
        <v>0.4898998705</v>
      </c>
      <c r="R281" s="1">
        <f t="shared" ref="R281:T281" si="821">1/(1+EXP(-O281))</f>
        <v>0.6226416357</v>
      </c>
      <c r="S281" s="1">
        <f t="shared" si="821"/>
        <v>0.6224237221</v>
      </c>
      <c r="T281" s="1">
        <f t="shared" si="821"/>
        <v>0.6200828441</v>
      </c>
      <c r="U281" s="1">
        <f t="shared" si="11"/>
        <v>3.076574538</v>
      </c>
      <c r="V281" s="1">
        <f t="shared" si="12"/>
        <v>0.8527145844</v>
      </c>
      <c r="W281" s="1">
        <f t="shared" si="13"/>
        <v>4</v>
      </c>
      <c r="X281" s="1">
        <f t="shared" si="14"/>
        <v>0</v>
      </c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ht="15.75" customHeight="1">
      <c r="A282" s="1"/>
      <c r="B282" s="1">
        <v>10.0</v>
      </c>
      <c r="C282" s="1">
        <v>5.0</v>
      </c>
      <c r="D282" s="1">
        <v>5.0</v>
      </c>
      <c r="E282" s="1">
        <v>6.0</v>
      </c>
      <c r="F282" s="1">
        <v>8.0</v>
      </c>
      <c r="G282" s="3">
        <v>8.0</v>
      </c>
      <c r="H282" s="1">
        <v>7.0</v>
      </c>
      <c r="I282" s="1">
        <v>1.0</v>
      </c>
      <c r="J282" s="1">
        <v>1.0</v>
      </c>
      <c r="K282" s="1">
        <v>4.0</v>
      </c>
      <c r="L282" s="1">
        <f t="shared" ref="L282:N282" si="822">SUMPRODUCT($B282:$J282, INDEX($B$2:$J$4, L$10, 0)) + INDEX($K$2:$K$4, L$10,1)</f>
        <v>44.08371897</v>
      </c>
      <c r="M282" s="1">
        <f t="shared" si="822"/>
        <v>42.17857291</v>
      </c>
      <c r="N282" s="1">
        <f t="shared" si="822"/>
        <v>42.82473497</v>
      </c>
      <c r="O282" s="1">
        <f t="shared" ref="O282:Q282" si="823">(L282-L$7)/(L$6-L$7)</f>
        <v>0.5923614863</v>
      </c>
      <c r="P282" s="1">
        <f t="shared" si="823"/>
        <v>0.5933287667</v>
      </c>
      <c r="Q282" s="1">
        <f t="shared" si="823"/>
        <v>0.5942083526</v>
      </c>
      <c r="R282" s="1">
        <f t="shared" ref="R282:T282" si="824">1/(1+EXP(-O282))</f>
        <v>0.6439067967</v>
      </c>
      <c r="S282" s="1">
        <f t="shared" si="824"/>
        <v>0.6441285543</v>
      </c>
      <c r="T282" s="1">
        <f t="shared" si="824"/>
        <v>0.6443301536</v>
      </c>
      <c r="U282" s="1">
        <f t="shared" si="11"/>
        <v>3.187654866</v>
      </c>
      <c r="V282" s="1">
        <f t="shared" si="12"/>
        <v>0.6599046169</v>
      </c>
      <c r="W282" s="1">
        <f t="shared" si="13"/>
        <v>4</v>
      </c>
      <c r="X282" s="1">
        <f t="shared" si="14"/>
        <v>0</v>
      </c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ht="15.75" customHeight="1">
      <c r="A283" s="1"/>
      <c r="B283" s="1">
        <v>4.0</v>
      </c>
      <c r="C283" s="1">
        <v>1.0</v>
      </c>
      <c r="D283" s="1">
        <v>2.0</v>
      </c>
      <c r="E283" s="1">
        <v>1.0</v>
      </c>
      <c r="F283" s="1">
        <v>2.0</v>
      </c>
      <c r="G283" s="3">
        <v>1.0</v>
      </c>
      <c r="H283" s="1">
        <v>3.0</v>
      </c>
      <c r="I283" s="1">
        <v>1.0</v>
      </c>
      <c r="J283" s="1">
        <v>1.0</v>
      </c>
      <c r="K283" s="1">
        <v>2.0</v>
      </c>
      <c r="L283" s="1">
        <f t="shared" ref="L283:N283" si="825">SUMPRODUCT($B283:$J283, INDEX($B$2:$J$4, L$10, 0)) + INDEX($K$2:$K$4, L$10,1)</f>
        <v>9.58064555</v>
      </c>
      <c r="M283" s="1">
        <f t="shared" si="825"/>
        <v>8.85935068</v>
      </c>
      <c r="N283" s="1">
        <f t="shared" si="825"/>
        <v>9.231904608</v>
      </c>
      <c r="O283" s="1">
        <f t="shared" ref="O283:Q283" si="826">(L283-L$7)/(L$6-L$7)</f>
        <v>0.02815571389</v>
      </c>
      <c r="P283" s="1">
        <f t="shared" si="826"/>
        <v>0.02277177895</v>
      </c>
      <c r="Q283" s="1">
        <f t="shared" si="826"/>
        <v>0.02613139644</v>
      </c>
      <c r="R283" s="1">
        <f t="shared" ref="R283:T283" si="827">1/(1+EXP(-O283))</f>
        <v>0.5070384635</v>
      </c>
      <c r="S283" s="1">
        <f t="shared" si="827"/>
        <v>0.5056926987</v>
      </c>
      <c r="T283" s="1">
        <f t="shared" si="827"/>
        <v>0.5065324774</v>
      </c>
      <c r="U283" s="1">
        <f t="shared" si="11"/>
        <v>2.506140673</v>
      </c>
      <c r="V283" s="1">
        <f t="shared" si="12"/>
        <v>0.2561783811</v>
      </c>
      <c r="W283" s="1">
        <f t="shared" si="13"/>
        <v>2</v>
      </c>
      <c r="X283" s="1">
        <f t="shared" si="14"/>
        <v>0</v>
      </c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ht="15.75" customHeight="1">
      <c r="A284" s="1"/>
      <c r="B284" s="1">
        <v>1.0</v>
      </c>
      <c r="C284" s="1">
        <v>1.0</v>
      </c>
      <c r="D284" s="1">
        <v>1.0</v>
      </c>
      <c r="E284" s="1">
        <v>1.0</v>
      </c>
      <c r="F284" s="1">
        <v>2.0</v>
      </c>
      <c r="G284" s="3">
        <v>1.0</v>
      </c>
      <c r="H284" s="1">
        <v>2.0</v>
      </c>
      <c r="I284" s="1">
        <v>1.0</v>
      </c>
      <c r="J284" s="1">
        <v>1.0</v>
      </c>
      <c r="K284" s="1">
        <v>2.0</v>
      </c>
      <c r="L284" s="1">
        <f t="shared" ref="L284:N284" si="828">SUMPRODUCT($B284:$J284, INDEX($B$2:$J$4, L$10, 0)) + INDEX($K$2:$K$4, L$10,1)</f>
        <v>7.953432454</v>
      </c>
      <c r="M284" s="1">
        <f t="shared" si="828"/>
        <v>7.529531272</v>
      </c>
      <c r="N284" s="1">
        <f t="shared" si="828"/>
        <v>7.686646929</v>
      </c>
      <c r="O284" s="1">
        <f t="shared" ref="O284:Q284" si="829">(L284-L$7)/(L$6-L$7)</f>
        <v>0.001546982238</v>
      </c>
      <c r="P284" s="1">
        <f t="shared" si="829"/>
        <v>0.000000006234892308</v>
      </c>
      <c r="Q284" s="1">
        <f t="shared" si="829"/>
        <v>0.00000006813089816</v>
      </c>
      <c r="R284" s="1">
        <f t="shared" ref="R284:T284" si="830">1/(1+EXP(-O284))</f>
        <v>0.5003867455</v>
      </c>
      <c r="S284" s="1">
        <f t="shared" si="830"/>
        <v>0.5000000016</v>
      </c>
      <c r="T284" s="1">
        <f t="shared" si="830"/>
        <v>0.500000017</v>
      </c>
      <c r="U284" s="1">
        <f t="shared" si="11"/>
        <v>2.475009467</v>
      </c>
      <c r="V284" s="1">
        <f t="shared" si="12"/>
        <v>0.2256339933</v>
      </c>
      <c r="W284" s="1">
        <f t="shared" si="13"/>
        <v>2</v>
      </c>
      <c r="X284" s="1">
        <f t="shared" si="14"/>
        <v>0</v>
      </c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ht="15.75" customHeight="1">
      <c r="A285" s="1"/>
      <c r="B285" s="1">
        <v>8.0</v>
      </c>
      <c r="C285" s="1">
        <v>3.0</v>
      </c>
      <c r="D285" s="1">
        <v>5.0</v>
      </c>
      <c r="E285" s="1">
        <v>4.0</v>
      </c>
      <c r="F285" s="1">
        <v>5.0</v>
      </c>
      <c r="G285" s="3">
        <v>10.0</v>
      </c>
      <c r="H285" s="1">
        <v>1.0</v>
      </c>
      <c r="I285" s="1">
        <v>6.0</v>
      </c>
      <c r="J285" s="1">
        <v>2.0</v>
      </c>
      <c r="K285" s="1">
        <v>4.0</v>
      </c>
      <c r="L285" s="1">
        <f t="shared" ref="L285:N285" si="831">SUMPRODUCT($B285:$J285, INDEX($B$2:$J$4, L$10, 0)) + INDEX($K$2:$K$4, L$10,1)</f>
        <v>48.33107775</v>
      </c>
      <c r="M285" s="1">
        <f t="shared" si="831"/>
        <v>46.81768884</v>
      </c>
      <c r="N285" s="1">
        <f t="shared" si="831"/>
        <v>48.15850352</v>
      </c>
      <c r="O285" s="1">
        <f t="shared" ref="O285:Q285" si="832">(L285-L$7)/(L$6-L$7)</f>
        <v>0.6618157146</v>
      </c>
      <c r="P285" s="1">
        <f t="shared" si="832"/>
        <v>0.6727687967</v>
      </c>
      <c r="Q285" s="1">
        <f t="shared" si="832"/>
        <v>0.6844059029</v>
      </c>
      <c r="R285" s="1">
        <f t="shared" ref="R285:T285" si="833">1/(1+EXP(-O285))</f>
        <v>0.6596681455</v>
      </c>
      <c r="S285" s="1">
        <f t="shared" si="833"/>
        <v>0.6621228616</v>
      </c>
      <c r="T285" s="1">
        <f t="shared" si="833"/>
        <v>0.6647213388</v>
      </c>
      <c r="U285" s="1">
        <f t="shared" si="11"/>
        <v>3.277284189</v>
      </c>
      <c r="V285" s="1">
        <f t="shared" si="12"/>
        <v>0.522318144</v>
      </c>
      <c r="W285" s="1">
        <f t="shared" si="13"/>
        <v>4</v>
      </c>
      <c r="X285" s="1">
        <f t="shared" si="14"/>
        <v>0</v>
      </c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ht="15.75" customHeight="1">
      <c r="A286" s="1"/>
      <c r="B286" s="1">
        <v>5.0</v>
      </c>
      <c r="C286" s="1">
        <v>1.0</v>
      </c>
      <c r="D286" s="1">
        <v>1.0</v>
      </c>
      <c r="E286" s="1">
        <v>1.0</v>
      </c>
      <c r="F286" s="1">
        <v>1.0</v>
      </c>
      <c r="G286" s="3">
        <v>1.0</v>
      </c>
      <c r="H286" s="1">
        <v>3.0</v>
      </c>
      <c r="I286" s="1">
        <v>1.0</v>
      </c>
      <c r="J286" s="1">
        <v>1.0</v>
      </c>
      <c r="K286" s="1">
        <v>2.0</v>
      </c>
      <c r="L286" s="1">
        <f t="shared" ref="L286:N286" si="834">SUMPRODUCT($B286:$J286, INDEX($B$2:$J$4, L$10, 0)) + INDEX($K$2:$K$4, L$10,1)</f>
        <v>7.98692102</v>
      </c>
      <c r="M286" s="1">
        <f t="shared" si="834"/>
        <v>7.607538913</v>
      </c>
      <c r="N286" s="1">
        <f t="shared" si="834"/>
        <v>7.726206983</v>
      </c>
      <c r="O286" s="1">
        <f t="shared" ref="O286:Q286" si="835">(L286-L$7)/(L$6-L$7)</f>
        <v>0.002094598452</v>
      </c>
      <c r="P286" s="1">
        <f t="shared" si="835"/>
        <v>0.001335805864</v>
      </c>
      <c r="Q286" s="1">
        <f t="shared" si="835"/>
        <v>0.0006690547814</v>
      </c>
      <c r="R286" s="1">
        <f t="shared" ref="R286:T286" si="836">1/(1+EXP(-O286))</f>
        <v>0.5005236494</v>
      </c>
      <c r="S286" s="1">
        <f t="shared" si="836"/>
        <v>0.5003339514</v>
      </c>
      <c r="T286" s="1">
        <f t="shared" si="836"/>
        <v>0.5001672637</v>
      </c>
      <c r="U286" s="1">
        <f t="shared" si="11"/>
        <v>2.47606412</v>
      </c>
      <c r="V286" s="1">
        <f t="shared" si="12"/>
        <v>0.2266370461</v>
      </c>
      <c r="W286" s="1">
        <f t="shared" si="13"/>
        <v>2</v>
      </c>
      <c r="X286" s="1">
        <f t="shared" si="14"/>
        <v>0</v>
      </c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ht="15.75" customHeight="1">
      <c r="A287" s="1"/>
      <c r="B287" s="1">
        <v>2.0</v>
      </c>
      <c r="C287" s="1">
        <v>1.0</v>
      </c>
      <c r="D287" s="1">
        <v>1.0</v>
      </c>
      <c r="E287" s="1">
        <v>1.0</v>
      </c>
      <c r="F287" s="1">
        <v>2.0</v>
      </c>
      <c r="G287" s="3">
        <v>1.0</v>
      </c>
      <c r="H287" s="1">
        <v>1.0</v>
      </c>
      <c r="I287" s="1">
        <v>1.0</v>
      </c>
      <c r="J287" s="1">
        <v>1.0</v>
      </c>
      <c r="K287" s="1">
        <v>2.0</v>
      </c>
      <c r="L287" s="1">
        <f t="shared" ref="L287:N287" si="837">SUMPRODUCT($B287:$J287, INDEX($B$2:$J$4, L$10, 0)) + INDEX($K$2:$K$4, L$10,1)</f>
        <v>7.937016298</v>
      </c>
      <c r="M287" s="1">
        <f t="shared" si="837"/>
        <v>7.549033273</v>
      </c>
      <c r="N287" s="1">
        <f t="shared" si="837"/>
        <v>7.696531906</v>
      </c>
      <c r="O287" s="1">
        <f t="shared" ref="O287:Q287" si="838">(L287-L$7)/(L$6-L$7)</f>
        <v>0.001278539775</v>
      </c>
      <c r="P287" s="1">
        <f t="shared" si="838"/>
        <v>0.0003339577008</v>
      </c>
      <c r="Q287" s="1">
        <f t="shared" si="838"/>
        <v>0.0001672296299</v>
      </c>
      <c r="R287" s="1">
        <f t="shared" ref="R287:T287" si="839">1/(1+EXP(-O287))</f>
        <v>0.5003196349</v>
      </c>
      <c r="S287" s="1">
        <f t="shared" si="839"/>
        <v>0.5000834894</v>
      </c>
      <c r="T287" s="1">
        <f t="shared" si="839"/>
        <v>0.5000418074</v>
      </c>
      <c r="U287" s="1">
        <f t="shared" si="11"/>
        <v>2.475112694</v>
      </c>
      <c r="V287" s="1">
        <f t="shared" si="12"/>
        <v>0.2257320719</v>
      </c>
      <c r="W287" s="1">
        <f t="shared" si="13"/>
        <v>2</v>
      </c>
      <c r="X287" s="1">
        <f t="shared" si="14"/>
        <v>0</v>
      </c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ht="15.75" customHeight="1">
      <c r="A288" s="1"/>
      <c r="B288" s="1">
        <v>5.0</v>
      </c>
      <c r="C288" s="1">
        <v>1.0</v>
      </c>
      <c r="D288" s="1">
        <v>1.0</v>
      </c>
      <c r="E288" s="1">
        <v>3.0</v>
      </c>
      <c r="F288" s="1">
        <v>2.0</v>
      </c>
      <c r="G288" s="3">
        <v>1.0</v>
      </c>
      <c r="H288" s="1">
        <v>1.0</v>
      </c>
      <c r="I288" s="1">
        <v>1.0</v>
      </c>
      <c r="J288" s="1">
        <v>1.0</v>
      </c>
      <c r="K288" s="1">
        <v>2.0</v>
      </c>
      <c r="L288" s="1">
        <f t="shared" ref="L288:N288" si="840">SUMPRODUCT($B288:$J288, INDEX($B$2:$J$4, L$10, 0)) + INDEX($K$2:$K$4, L$10,1)</f>
        <v>8.048777191</v>
      </c>
      <c r="M288" s="1">
        <f t="shared" si="840"/>
        <v>7.607539277</v>
      </c>
      <c r="N288" s="1">
        <f t="shared" si="840"/>
        <v>7.731795452</v>
      </c>
      <c r="O288" s="1">
        <f t="shared" ref="O288:Q288" si="841">(L288-L$7)/(L$6-L$7)</f>
        <v>0.003106091205</v>
      </c>
      <c r="P288" s="1">
        <f t="shared" si="841"/>
        <v>0.001335812098</v>
      </c>
      <c r="Q288" s="1">
        <f t="shared" si="841"/>
        <v>0.000763559479</v>
      </c>
      <c r="R288" s="1">
        <f t="shared" ref="R288:T288" si="842">1/(1+EXP(-O288))</f>
        <v>0.5007765222</v>
      </c>
      <c r="S288" s="1">
        <f t="shared" si="842"/>
        <v>0.500333953</v>
      </c>
      <c r="T288" s="1">
        <f t="shared" si="842"/>
        <v>0.5001908899</v>
      </c>
      <c r="U288" s="1">
        <f t="shared" si="11"/>
        <v>2.476504929</v>
      </c>
      <c r="V288" s="1">
        <f t="shared" si="12"/>
        <v>0.2270569473</v>
      </c>
      <c r="W288" s="1">
        <f t="shared" si="13"/>
        <v>2</v>
      </c>
      <c r="X288" s="1">
        <f t="shared" si="14"/>
        <v>0</v>
      </c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ht="15.75" customHeight="1">
      <c r="A289" s="1"/>
      <c r="B289" s="1">
        <v>6.0</v>
      </c>
      <c r="C289" s="1">
        <v>3.0</v>
      </c>
      <c r="D289" s="1">
        <v>2.0</v>
      </c>
      <c r="E289" s="1">
        <v>1.0</v>
      </c>
      <c r="F289" s="1">
        <v>3.0</v>
      </c>
      <c r="G289" s="3">
        <v>4.0</v>
      </c>
      <c r="H289" s="1">
        <v>4.0</v>
      </c>
      <c r="I289" s="1">
        <v>1.0</v>
      </c>
      <c r="J289" s="1">
        <v>1.0</v>
      </c>
      <c r="K289" s="1">
        <v>4.0</v>
      </c>
      <c r="L289" s="1">
        <f t="shared" ref="L289:N289" si="843">SUMPRODUCT($B289:$J289, INDEX($B$2:$J$4, L$10, 0)) + INDEX($K$2:$K$4, L$10,1)</f>
        <v>22.63537169</v>
      </c>
      <c r="M289" s="1">
        <f t="shared" si="843"/>
        <v>21.96446217</v>
      </c>
      <c r="N289" s="1">
        <f t="shared" si="843"/>
        <v>22.07045944</v>
      </c>
      <c r="O289" s="1">
        <f t="shared" ref="O289:Q289" si="844">(L289-L$7)/(L$6-L$7)</f>
        <v>0.241630953</v>
      </c>
      <c r="P289" s="1">
        <f t="shared" si="844"/>
        <v>0.2471831678</v>
      </c>
      <c r="Q289" s="1">
        <f t="shared" si="844"/>
        <v>0.2432398412</v>
      </c>
      <c r="R289" s="1">
        <f t="shared" ref="R289:T289" si="845">1/(1+EXP(-O289))</f>
        <v>0.5601155328</v>
      </c>
      <c r="S289" s="1">
        <f t="shared" si="845"/>
        <v>0.5614830615</v>
      </c>
      <c r="T289" s="1">
        <f t="shared" si="845"/>
        <v>0.5605119021</v>
      </c>
      <c r="U289" s="1">
        <f t="shared" si="11"/>
        <v>2.774832986</v>
      </c>
      <c r="V289" s="1">
        <f t="shared" si="12"/>
        <v>1.501034212</v>
      </c>
      <c r="W289" s="1">
        <f t="shared" si="13"/>
        <v>2</v>
      </c>
      <c r="X289" s="1">
        <f t="shared" si="14"/>
        <v>1</v>
      </c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ht="15.75" customHeight="1">
      <c r="A290" s="1"/>
      <c r="B290" s="1">
        <v>4.0</v>
      </c>
      <c r="C290" s="1">
        <v>1.0</v>
      </c>
      <c r="D290" s="1">
        <v>1.0</v>
      </c>
      <c r="E290" s="1">
        <v>2.0</v>
      </c>
      <c r="F290" s="1">
        <v>2.0</v>
      </c>
      <c r="G290" s="3">
        <v>1.0</v>
      </c>
      <c r="H290" s="1">
        <v>1.0</v>
      </c>
      <c r="I290" s="1">
        <v>1.0</v>
      </c>
      <c r="J290" s="1">
        <v>1.0</v>
      </c>
      <c r="K290" s="1">
        <v>2.0</v>
      </c>
      <c r="L290" s="1">
        <f t="shared" ref="L290:N290" si="846">SUMPRODUCT($B290:$J290, INDEX($B$2:$J$4, L$10, 0)) + INDEX($K$2:$K$4, L$10,1)</f>
        <v>8.000835028</v>
      </c>
      <c r="M290" s="1">
        <f t="shared" si="846"/>
        <v>7.588037275</v>
      </c>
      <c r="N290" s="1">
        <f t="shared" si="846"/>
        <v>7.719108182</v>
      </c>
      <c r="O290" s="1">
        <f t="shared" ref="O290:Q290" si="847">(L290-L$7)/(L$6-L$7)</f>
        <v>0.00232212495</v>
      </c>
      <c r="P290" s="1">
        <f t="shared" si="847"/>
        <v>0.001001860633</v>
      </c>
      <c r="Q290" s="1">
        <f t="shared" si="847"/>
        <v>0.0005490093694</v>
      </c>
      <c r="R290" s="1">
        <f t="shared" ref="R290:T290" si="848">1/(1+EXP(-O290))</f>
        <v>0.500580531</v>
      </c>
      <c r="S290" s="1">
        <f t="shared" si="848"/>
        <v>0.5002504651</v>
      </c>
      <c r="T290" s="1">
        <f t="shared" si="848"/>
        <v>0.5001372523</v>
      </c>
      <c r="U290" s="1">
        <f t="shared" si="11"/>
        <v>2.47596492</v>
      </c>
      <c r="V290" s="1">
        <f t="shared" si="12"/>
        <v>0.2265426048</v>
      </c>
      <c r="W290" s="1">
        <f t="shared" si="13"/>
        <v>2</v>
      </c>
      <c r="X290" s="1">
        <f t="shared" si="14"/>
        <v>0</v>
      </c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ht="15.75" customHeight="1">
      <c r="A291" s="1"/>
      <c r="B291" s="1">
        <v>3.0</v>
      </c>
      <c r="C291" s="1">
        <v>1.0</v>
      </c>
      <c r="D291" s="1">
        <v>1.0</v>
      </c>
      <c r="E291" s="1">
        <v>1.0</v>
      </c>
      <c r="F291" s="1">
        <v>2.0</v>
      </c>
      <c r="G291" s="3">
        <v>1.0</v>
      </c>
      <c r="H291" s="1">
        <v>2.0</v>
      </c>
      <c r="I291" s="1">
        <v>1.0</v>
      </c>
      <c r="J291" s="1">
        <v>1.0</v>
      </c>
      <c r="K291" s="1">
        <v>2.0</v>
      </c>
      <c r="L291" s="1">
        <f t="shared" ref="L291:N291" si="849">SUMPRODUCT($B291:$J291, INDEX($B$2:$J$4, L$10, 0)) + INDEX($K$2:$K$4, L$10,1)</f>
        <v>7.985185587</v>
      </c>
      <c r="M291" s="1">
        <f t="shared" si="849"/>
        <v>7.568535274</v>
      </c>
      <c r="N291" s="1">
        <f t="shared" si="849"/>
        <v>7.706424942</v>
      </c>
      <c r="O291" s="1">
        <f t="shared" ref="O291:Q291" si="850">(L291-L$7)/(L$6-L$7)</f>
        <v>0.00206622008</v>
      </c>
      <c r="P291" s="1">
        <f t="shared" si="850"/>
        <v>0.0006679091667</v>
      </c>
      <c r="Q291" s="1">
        <f t="shared" si="850"/>
        <v>0.0003345273907</v>
      </c>
      <c r="R291" s="1">
        <f t="shared" ref="R291:T291" si="851">1/(1+EXP(-O291))</f>
        <v>0.5005165548</v>
      </c>
      <c r="S291" s="1">
        <f t="shared" si="851"/>
        <v>0.5001669773</v>
      </c>
      <c r="T291" s="1">
        <f t="shared" si="851"/>
        <v>0.5000836318</v>
      </c>
      <c r="U291" s="1">
        <f t="shared" si="11"/>
        <v>2.475633899</v>
      </c>
      <c r="V291" s="1">
        <f t="shared" si="12"/>
        <v>0.226227606</v>
      </c>
      <c r="W291" s="1">
        <f t="shared" si="13"/>
        <v>2</v>
      </c>
      <c r="X291" s="1">
        <f t="shared" si="14"/>
        <v>0</v>
      </c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ht="15.75" customHeight="1">
      <c r="A292" s="1"/>
      <c r="B292" s="1">
        <v>5.0</v>
      </c>
      <c r="C292" s="1">
        <v>1.0</v>
      </c>
      <c r="D292" s="1">
        <v>1.0</v>
      </c>
      <c r="E292" s="1">
        <v>3.0</v>
      </c>
      <c r="F292" s="1">
        <v>2.0</v>
      </c>
      <c r="G292" s="3">
        <v>1.0</v>
      </c>
      <c r="H292" s="1">
        <v>1.0</v>
      </c>
      <c r="I292" s="1">
        <v>1.0</v>
      </c>
      <c r="J292" s="1">
        <v>1.0</v>
      </c>
      <c r="K292" s="1">
        <v>2.0</v>
      </c>
      <c r="L292" s="1">
        <f t="shared" ref="L292:N292" si="852">SUMPRODUCT($B292:$J292, INDEX($B$2:$J$4, L$10, 0)) + INDEX($K$2:$K$4, L$10,1)</f>
        <v>8.048777191</v>
      </c>
      <c r="M292" s="1">
        <f t="shared" si="852"/>
        <v>7.607539277</v>
      </c>
      <c r="N292" s="1">
        <f t="shared" si="852"/>
        <v>7.731795452</v>
      </c>
      <c r="O292" s="1">
        <f t="shared" ref="O292:Q292" si="853">(L292-L$7)/(L$6-L$7)</f>
        <v>0.003106091205</v>
      </c>
      <c r="P292" s="1">
        <f t="shared" si="853"/>
        <v>0.001335812098</v>
      </c>
      <c r="Q292" s="1">
        <f t="shared" si="853"/>
        <v>0.000763559479</v>
      </c>
      <c r="R292" s="1">
        <f t="shared" ref="R292:T292" si="854">1/(1+EXP(-O292))</f>
        <v>0.5007765222</v>
      </c>
      <c r="S292" s="1">
        <f t="shared" si="854"/>
        <v>0.500333953</v>
      </c>
      <c r="T292" s="1">
        <f t="shared" si="854"/>
        <v>0.5001908899</v>
      </c>
      <c r="U292" s="1">
        <f t="shared" si="11"/>
        <v>2.476504929</v>
      </c>
      <c r="V292" s="1">
        <f t="shared" si="12"/>
        <v>0.2270569473</v>
      </c>
      <c r="W292" s="1">
        <f t="shared" si="13"/>
        <v>2</v>
      </c>
      <c r="X292" s="1">
        <f t="shared" si="14"/>
        <v>0</v>
      </c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ht="15.75" customHeight="1">
      <c r="A293" s="1"/>
      <c r="B293" s="1">
        <v>4.0</v>
      </c>
      <c r="C293" s="1">
        <v>1.0</v>
      </c>
      <c r="D293" s="1">
        <v>1.0</v>
      </c>
      <c r="E293" s="1">
        <v>1.0</v>
      </c>
      <c r="F293" s="1">
        <v>2.0</v>
      </c>
      <c r="G293" s="3">
        <v>1.0</v>
      </c>
      <c r="H293" s="1">
        <v>2.0</v>
      </c>
      <c r="I293" s="1">
        <v>1.0</v>
      </c>
      <c r="J293" s="1">
        <v>1.0</v>
      </c>
      <c r="K293" s="1">
        <v>2.0</v>
      </c>
      <c r="L293" s="1">
        <f t="shared" ref="L293:N293" si="855">SUMPRODUCT($B293:$J293, INDEX($B$2:$J$4, L$10, 0)) + INDEX($K$2:$K$4, L$10,1)</f>
        <v>8.001062154</v>
      </c>
      <c r="M293" s="1">
        <f t="shared" si="855"/>
        <v>7.588037275</v>
      </c>
      <c r="N293" s="1">
        <f t="shared" si="855"/>
        <v>7.716313948</v>
      </c>
      <c r="O293" s="1">
        <f t="shared" ref="O293:Q293" si="856">(L293-L$7)/(L$6-L$7)</f>
        <v>0.002325839001</v>
      </c>
      <c r="P293" s="1">
        <f t="shared" si="856"/>
        <v>0.001001860633</v>
      </c>
      <c r="Q293" s="1">
        <f t="shared" si="856"/>
        <v>0.0005017570206</v>
      </c>
      <c r="R293" s="1">
        <f t="shared" ref="R293:T293" si="857">1/(1+EXP(-O293))</f>
        <v>0.5005814595</v>
      </c>
      <c r="S293" s="1">
        <f t="shared" si="857"/>
        <v>0.5002504651</v>
      </c>
      <c r="T293" s="1">
        <f t="shared" si="857"/>
        <v>0.5001254393</v>
      </c>
      <c r="U293" s="1">
        <f t="shared" si="11"/>
        <v>2.475946115</v>
      </c>
      <c r="V293" s="1">
        <f t="shared" si="12"/>
        <v>0.2265247046</v>
      </c>
      <c r="W293" s="1">
        <f t="shared" si="13"/>
        <v>2</v>
      </c>
      <c r="X293" s="1">
        <f t="shared" si="14"/>
        <v>0</v>
      </c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ht="15.75" customHeight="1">
      <c r="A294" s="1"/>
      <c r="B294" s="1">
        <v>8.0</v>
      </c>
      <c r="C294" s="1">
        <v>10.0</v>
      </c>
      <c r="D294" s="1">
        <v>10.0</v>
      </c>
      <c r="E294" s="1">
        <v>8.0</v>
      </c>
      <c r="F294" s="1">
        <v>7.0</v>
      </c>
      <c r="G294" s="3">
        <v>10.0</v>
      </c>
      <c r="H294" s="1">
        <v>9.0</v>
      </c>
      <c r="I294" s="1">
        <v>7.0</v>
      </c>
      <c r="J294" s="1">
        <v>1.0</v>
      </c>
      <c r="K294" s="1">
        <v>4.0</v>
      </c>
      <c r="L294" s="1">
        <f t="shared" ref="L294:N294" si="858">SUMPRODUCT($B294:$J294, INDEX($B$2:$J$4, L$10, 0)) + INDEX($K$2:$K$4, L$10,1)</f>
        <v>68.03134094</v>
      </c>
      <c r="M294" s="1">
        <f t="shared" si="858"/>
        <v>65.00986093</v>
      </c>
      <c r="N294" s="1">
        <f t="shared" si="858"/>
        <v>65.89434559</v>
      </c>
      <c r="O294" s="1">
        <f t="shared" ref="O294:Q294" si="859">(L294-L$7)/(L$6-L$7)</f>
        <v>0.9839609935</v>
      </c>
      <c r="P294" s="1">
        <f t="shared" si="859"/>
        <v>0.9842908016</v>
      </c>
      <c r="Q294" s="1">
        <f t="shared" si="859"/>
        <v>0.9843307105</v>
      </c>
      <c r="R294" s="1">
        <f t="shared" ref="R294:T294" si="860">1/(1+EXP(-O294))</f>
        <v>0.7278934566</v>
      </c>
      <c r="S294" s="1">
        <f t="shared" si="860"/>
        <v>0.727958775</v>
      </c>
      <c r="T294" s="1">
        <f t="shared" si="860"/>
        <v>0.7279666783</v>
      </c>
      <c r="U294" s="1">
        <f t="shared" si="11"/>
        <v>3.602428596</v>
      </c>
      <c r="V294" s="1">
        <f t="shared" si="12"/>
        <v>0.1580630216</v>
      </c>
      <c r="W294" s="1">
        <f t="shared" si="13"/>
        <v>4</v>
      </c>
      <c r="X294" s="1">
        <f t="shared" si="14"/>
        <v>0</v>
      </c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ht="15.75" customHeight="1">
      <c r="A295" s="1"/>
      <c r="B295" s="1">
        <v>10.0</v>
      </c>
      <c r="C295" s="1">
        <v>5.0</v>
      </c>
      <c r="D295" s="1">
        <v>5.0</v>
      </c>
      <c r="E295" s="1">
        <v>3.0</v>
      </c>
      <c r="F295" s="1">
        <v>6.0</v>
      </c>
      <c r="G295" s="3">
        <v>7.0</v>
      </c>
      <c r="H295" s="1">
        <v>7.0</v>
      </c>
      <c r="I295" s="1">
        <v>10.0</v>
      </c>
      <c r="J295" s="1">
        <v>1.0</v>
      </c>
      <c r="K295" s="1">
        <v>4.0</v>
      </c>
      <c r="L295" s="1">
        <f t="shared" ref="L295:N295" si="861">SUMPRODUCT($B295:$J295, INDEX($B$2:$J$4, L$10, 0)) + INDEX($K$2:$K$4, L$10,1)</f>
        <v>43.17863382</v>
      </c>
      <c r="M295" s="1">
        <f t="shared" si="861"/>
        <v>41.55764701</v>
      </c>
      <c r="N295" s="1">
        <f t="shared" si="861"/>
        <v>42.18479824</v>
      </c>
      <c r="O295" s="1">
        <f t="shared" ref="O295:Q295" si="862">(L295-L$7)/(L$6-L$7)</f>
        <v>0.5775612319</v>
      </c>
      <c r="P295" s="1">
        <f t="shared" si="862"/>
        <v>0.5826960573</v>
      </c>
      <c r="Q295" s="1">
        <f t="shared" si="862"/>
        <v>0.5833865997</v>
      </c>
      <c r="R295" s="1">
        <f t="shared" ref="R295:T295" si="863">1/(1+EXP(-O295))</f>
        <v>0.640506053</v>
      </c>
      <c r="S295" s="1">
        <f t="shared" si="863"/>
        <v>0.6416875329</v>
      </c>
      <c r="T295" s="1">
        <f t="shared" si="863"/>
        <v>0.64184629</v>
      </c>
      <c r="U295" s="1">
        <f t="shared" si="11"/>
        <v>3.173982133</v>
      </c>
      <c r="V295" s="1">
        <f t="shared" si="12"/>
        <v>0.6823055166</v>
      </c>
      <c r="W295" s="1">
        <f t="shared" si="13"/>
        <v>4</v>
      </c>
      <c r="X295" s="1">
        <f t="shared" si="14"/>
        <v>0</v>
      </c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ht="15.75" customHeight="1">
      <c r="A296" s="1"/>
      <c r="B296" s="1">
        <v>3.0</v>
      </c>
      <c r="C296" s="1">
        <v>1.0</v>
      </c>
      <c r="D296" s="1">
        <v>1.0</v>
      </c>
      <c r="E296" s="1">
        <v>1.0</v>
      </c>
      <c r="F296" s="1">
        <v>2.0</v>
      </c>
      <c r="G296" s="3">
        <v>1.0</v>
      </c>
      <c r="H296" s="1">
        <v>2.0</v>
      </c>
      <c r="I296" s="1">
        <v>1.0</v>
      </c>
      <c r="J296" s="1">
        <v>1.0</v>
      </c>
      <c r="K296" s="1">
        <v>2.0</v>
      </c>
      <c r="L296" s="1">
        <f t="shared" ref="L296:N296" si="864">SUMPRODUCT($B296:$J296, INDEX($B$2:$J$4, L$10, 0)) + INDEX($K$2:$K$4, L$10,1)</f>
        <v>7.985185587</v>
      </c>
      <c r="M296" s="1">
        <f t="shared" si="864"/>
        <v>7.568535274</v>
      </c>
      <c r="N296" s="1">
        <f t="shared" si="864"/>
        <v>7.706424942</v>
      </c>
      <c r="O296" s="1">
        <f t="shared" ref="O296:Q296" si="865">(L296-L$7)/(L$6-L$7)</f>
        <v>0.00206622008</v>
      </c>
      <c r="P296" s="1">
        <f t="shared" si="865"/>
        <v>0.0006679091667</v>
      </c>
      <c r="Q296" s="1">
        <f t="shared" si="865"/>
        <v>0.0003345273907</v>
      </c>
      <c r="R296" s="1">
        <f t="shared" ref="R296:T296" si="866">1/(1+EXP(-O296))</f>
        <v>0.5005165548</v>
      </c>
      <c r="S296" s="1">
        <f t="shared" si="866"/>
        <v>0.5001669773</v>
      </c>
      <c r="T296" s="1">
        <f t="shared" si="866"/>
        <v>0.5000836318</v>
      </c>
      <c r="U296" s="1">
        <f t="shared" si="11"/>
        <v>2.475633899</v>
      </c>
      <c r="V296" s="1">
        <f t="shared" si="12"/>
        <v>0.226227606</v>
      </c>
      <c r="W296" s="1">
        <f t="shared" si="13"/>
        <v>2</v>
      </c>
      <c r="X296" s="1">
        <f t="shared" si="14"/>
        <v>0</v>
      </c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ht="15.75" customHeight="1">
      <c r="A297" s="1"/>
      <c r="B297" s="1">
        <v>3.0</v>
      </c>
      <c r="C297" s="1">
        <v>1.0</v>
      </c>
      <c r="D297" s="1">
        <v>1.0</v>
      </c>
      <c r="E297" s="1">
        <v>1.0</v>
      </c>
      <c r="F297" s="1">
        <v>1.0</v>
      </c>
      <c r="G297" s="3">
        <v>1.0</v>
      </c>
      <c r="H297" s="1">
        <v>2.0</v>
      </c>
      <c r="I297" s="1">
        <v>1.0</v>
      </c>
      <c r="J297" s="1">
        <v>1.0</v>
      </c>
      <c r="K297" s="1">
        <v>2.0</v>
      </c>
      <c r="L297" s="1">
        <f t="shared" ref="L297:N297" si="867">SUMPRODUCT($B297:$J297, INDEX($B$2:$J$4, L$10, 0)) + INDEX($K$2:$K$4, L$10,1)</f>
        <v>7.922875163</v>
      </c>
      <c r="M297" s="1">
        <f t="shared" si="867"/>
        <v>7.56853491</v>
      </c>
      <c r="N297" s="1">
        <f t="shared" si="867"/>
        <v>7.706424942</v>
      </c>
      <c r="O297" s="1">
        <f t="shared" ref="O297:Q297" si="868">(L297-L$7)/(L$6-L$7)</f>
        <v>0.001047299226</v>
      </c>
      <c r="P297" s="1">
        <f t="shared" si="868"/>
        <v>0.0006679029318</v>
      </c>
      <c r="Q297" s="1">
        <f t="shared" si="868"/>
        <v>0.0003345273907</v>
      </c>
      <c r="R297" s="1">
        <f t="shared" ref="R297:T297" si="869">1/(1+EXP(-O297))</f>
        <v>0.5002618248</v>
      </c>
      <c r="S297" s="1">
        <f t="shared" si="869"/>
        <v>0.5001669757</v>
      </c>
      <c r="T297" s="1">
        <f t="shared" si="869"/>
        <v>0.5000836318</v>
      </c>
      <c r="U297" s="1">
        <f t="shared" si="11"/>
        <v>2.475230698</v>
      </c>
      <c r="V297" s="1">
        <f t="shared" si="12"/>
        <v>0.2258442165</v>
      </c>
      <c r="W297" s="1">
        <f t="shared" si="13"/>
        <v>2</v>
      </c>
      <c r="X297" s="1">
        <f t="shared" si="14"/>
        <v>0</v>
      </c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ht="15.75" customHeight="1">
      <c r="A298" s="1"/>
      <c r="B298" s="1">
        <v>10.0</v>
      </c>
      <c r="C298" s="1">
        <v>6.0</v>
      </c>
      <c r="D298" s="1">
        <v>4.0</v>
      </c>
      <c r="E298" s="1">
        <v>1.0</v>
      </c>
      <c r="F298" s="1">
        <v>3.0</v>
      </c>
      <c r="G298" s="3">
        <v>4.0</v>
      </c>
      <c r="H298" s="1">
        <v>3.0</v>
      </c>
      <c r="I298" s="1">
        <v>2.0</v>
      </c>
      <c r="J298" s="1">
        <v>3.0</v>
      </c>
      <c r="K298" s="1">
        <v>4.0</v>
      </c>
      <c r="L298" s="1">
        <f t="shared" ref="L298:N298" si="870">SUMPRODUCT($B298:$J298, INDEX($B$2:$J$4, L$10, 0)) + INDEX($K$2:$K$4, L$10,1)</f>
        <v>30.8320568</v>
      </c>
      <c r="M298" s="1">
        <f t="shared" si="870"/>
        <v>29.82480858</v>
      </c>
      <c r="N298" s="1">
        <f t="shared" si="870"/>
        <v>29.66142318</v>
      </c>
      <c r="O298" s="1">
        <f t="shared" ref="O298:Q298" si="871">(L298-L$7)/(L$6-L$7)</f>
        <v>0.3756658835</v>
      </c>
      <c r="P298" s="1">
        <f t="shared" si="871"/>
        <v>0.3817834157</v>
      </c>
      <c r="Q298" s="1">
        <f t="shared" si="871"/>
        <v>0.3716080533</v>
      </c>
      <c r="R298" s="1">
        <f t="shared" ref="R298:T298" si="872">1/(1+EXP(-O298))</f>
        <v>0.5928273429</v>
      </c>
      <c r="S298" s="1">
        <f t="shared" si="872"/>
        <v>0.594303169</v>
      </c>
      <c r="T298" s="1">
        <f t="shared" si="872"/>
        <v>0.5918474836</v>
      </c>
      <c r="U298" s="1">
        <f t="shared" si="11"/>
        <v>2.934533733</v>
      </c>
      <c r="V298" s="1">
        <f t="shared" si="12"/>
        <v>1.135218367</v>
      </c>
      <c r="W298" s="1">
        <f t="shared" si="13"/>
        <v>4</v>
      </c>
      <c r="X298" s="1">
        <f t="shared" si="14"/>
        <v>0</v>
      </c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ht="15.75" customHeight="1">
      <c r="A299" s="1"/>
      <c r="B299" s="1">
        <v>7.0</v>
      </c>
      <c r="C299" s="1">
        <v>5.0</v>
      </c>
      <c r="D299" s="1">
        <v>3.0</v>
      </c>
      <c r="E299" s="1">
        <v>7.0</v>
      </c>
      <c r="F299" s="1">
        <v>4.0</v>
      </c>
      <c r="G299" s="3">
        <v>10.0</v>
      </c>
      <c r="H299" s="1">
        <v>7.0</v>
      </c>
      <c r="I299" s="1">
        <v>5.0</v>
      </c>
      <c r="J299" s="1">
        <v>5.0</v>
      </c>
      <c r="K299" s="1">
        <v>4.0</v>
      </c>
      <c r="L299" s="1">
        <f t="shared" ref="L299:N299" si="873">SUMPRODUCT($B299:$J299, INDEX($B$2:$J$4, L$10, 0)) + INDEX($K$2:$K$4, L$10,1)</f>
        <v>48.35449058</v>
      </c>
      <c r="M299" s="1">
        <f t="shared" si="873"/>
        <v>47.26071399</v>
      </c>
      <c r="N299" s="1">
        <f t="shared" si="873"/>
        <v>47.63867819</v>
      </c>
      <c r="O299" s="1">
        <f t="shared" ref="O299:Q299" si="874">(L299-L$7)/(L$6-L$7)</f>
        <v>0.662198569</v>
      </c>
      <c r="P299" s="1">
        <f t="shared" si="874"/>
        <v>0.6803551411</v>
      </c>
      <c r="Q299" s="1">
        <f t="shared" si="874"/>
        <v>0.675615313</v>
      </c>
      <c r="R299" s="1">
        <f t="shared" ref="R299:T299" si="875">1/(1+EXP(-O299))</f>
        <v>0.6597540934</v>
      </c>
      <c r="S299" s="1">
        <f t="shared" si="875"/>
        <v>0.6638179566</v>
      </c>
      <c r="T299" s="1">
        <f t="shared" si="875"/>
        <v>0.6627593792</v>
      </c>
      <c r="U299" s="1">
        <f t="shared" si="11"/>
        <v>3.276849447</v>
      </c>
      <c r="V299" s="1">
        <f t="shared" si="12"/>
        <v>0.5229467228</v>
      </c>
      <c r="W299" s="1">
        <f t="shared" si="13"/>
        <v>4</v>
      </c>
      <c r="X299" s="1">
        <f t="shared" si="14"/>
        <v>0</v>
      </c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ht="15.75" customHeight="1">
      <c r="A300" s="1"/>
      <c r="B300" s="1">
        <v>2.0</v>
      </c>
      <c r="C300" s="1">
        <v>1.0</v>
      </c>
      <c r="D300" s="1">
        <v>1.0</v>
      </c>
      <c r="E300" s="1">
        <v>1.0</v>
      </c>
      <c r="F300" s="1">
        <v>2.0</v>
      </c>
      <c r="G300" s="3">
        <v>1.0</v>
      </c>
      <c r="H300" s="1">
        <v>3.0</v>
      </c>
      <c r="I300" s="1">
        <v>1.0</v>
      </c>
      <c r="J300" s="1">
        <v>1.0</v>
      </c>
      <c r="K300" s="1">
        <v>2.0</v>
      </c>
      <c r="L300" s="1">
        <f t="shared" ref="L300:N300" si="876">SUMPRODUCT($B300:$J300, INDEX($B$2:$J$4, L$10, 0)) + INDEX($K$2:$K$4, L$10,1)</f>
        <v>8.001601743</v>
      </c>
      <c r="M300" s="1">
        <f t="shared" si="876"/>
        <v>7.549033273</v>
      </c>
      <c r="N300" s="1">
        <f t="shared" si="876"/>
        <v>7.696539964</v>
      </c>
      <c r="O300" s="1">
        <f t="shared" ref="O300:Q300" si="877">(L300-L$7)/(L$6-L$7)</f>
        <v>0.002334662543</v>
      </c>
      <c r="P300" s="1">
        <f t="shared" si="877"/>
        <v>0.0003339577008</v>
      </c>
      <c r="Q300" s="1">
        <f t="shared" si="877"/>
        <v>0.0001673658917</v>
      </c>
      <c r="R300" s="1">
        <f t="shared" ref="R300:T300" si="878">1/(1+EXP(-O300))</f>
        <v>0.5005836654</v>
      </c>
      <c r="S300" s="1">
        <f t="shared" si="878"/>
        <v>0.5000834894</v>
      </c>
      <c r="T300" s="1">
        <f t="shared" si="878"/>
        <v>0.5000418415</v>
      </c>
      <c r="U300" s="1">
        <f t="shared" si="11"/>
        <v>2.475530672</v>
      </c>
      <c r="V300" s="1">
        <f t="shared" si="12"/>
        <v>0.2261294198</v>
      </c>
      <c r="W300" s="1">
        <f t="shared" si="13"/>
        <v>2</v>
      </c>
      <c r="X300" s="1">
        <f t="shared" si="14"/>
        <v>0</v>
      </c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ht="15.75" customHeight="1">
      <c r="A301" s="1"/>
      <c r="B301" s="1">
        <v>10.0</v>
      </c>
      <c r="C301" s="1">
        <v>10.0</v>
      </c>
      <c r="D301" s="1">
        <v>10.0</v>
      </c>
      <c r="E301" s="1">
        <v>3.0</v>
      </c>
      <c r="F301" s="1">
        <v>10.0</v>
      </c>
      <c r="G301" s="3">
        <v>10.0</v>
      </c>
      <c r="H301" s="1">
        <v>9.0</v>
      </c>
      <c r="I301" s="1">
        <v>10.0</v>
      </c>
      <c r="J301" s="1">
        <v>1.0</v>
      </c>
      <c r="K301" s="1">
        <v>4.0</v>
      </c>
      <c r="L301" s="1">
        <f t="shared" ref="L301:N301" si="879">SUMPRODUCT($B301:$J301, INDEX($B$2:$J$4, L$10, 0)) + INDEX($K$2:$K$4, L$10,1)</f>
        <v>68.94355514</v>
      </c>
      <c r="M301" s="1">
        <f t="shared" si="879"/>
        <v>65.92724216</v>
      </c>
      <c r="N301" s="1">
        <f t="shared" si="879"/>
        <v>66.80134611</v>
      </c>
      <c r="O301" s="1">
        <f t="shared" ref="O301:Q301" si="880">(L301-L$7)/(L$6-L$7)</f>
        <v>0.9988778247</v>
      </c>
      <c r="P301" s="1">
        <f t="shared" si="880"/>
        <v>1</v>
      </c>
      <c r="Q301" s="1">
        <f t="shared" si="880"/>
        <v>0.9996686885</v>
      </c>
      <c r="R301" s="1">
        <f t="shared" ref="R301:T301" si="881">1/(1+EXP(-O301))</f>
        <v>0.7308378884</v>
      </c>
      <c r="S301" s="1">
        <f t="shared" si="881"/>
        <v>0.7310585786</v>
      </c>
      <c r="T301" s="1">
        <f t="shared" si="881"/>
        <v>0.7309934339</v>
      </c>
      <c r="U301" s="1">
        <f t="shared" si="11"/>
        <v>3.617397589</v>
      </c>
      <c r="V301" s="1">
        <f t="shared" si="12"/>
        <v>0.1463846048</v>
      </c>
      <c r="W301" s="1">
        <f t="shared" si="13"/>
        <v>4</v>
      </c>
      <c r="X301" s="1">
        <f t="shared" si="14"/>
        <v>0</v>
      </c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ht="15.75" customHeight="1">
      <c r="A302" s="1"/>
      <c r="B302" s="1">
        <v>3.0</v>
      </c>
      <c r="C302" s="1">
        <v>3.0</v>
      </c>
      <c r="D302" s="1">
        <v>5.0</v>
      </c>
      <c r="E302" s="1">
        <v>2.0</v>
      </c>
      <c r="F302" s="1">
        <v>3.0</v>
      </c>
      <c r="G302" s="3">
        <v>10.0</v>
      </c>
      <c r="H302" s="1">
        <v>7.0</v>
      </c>
      <c r="I302" s="1">
        <v>1.0</v>
      </c>
      <c r="J302" s="1">
        <v>1.0</v>
      </c>
      <c r="K302" s="1">
        <v>4.0</v>
      </c>
      <c r="L302" s="1">
        <f t="shared" ref="L302:N302" si="882">SUMPRODUCT($B302:$J302, INDEX($B$2:$J$4, L$10, 0)) + INDEX($K$2:$K$4, L$10,1)</f>
        <v>46.8336029</v>
      </c>
      <c r="M302" s="1">
        <f t="shared" si="882"/>
        <v>45.25621787</v>
      </c>
      <c r="N302" s="1">
        <f t="shared" si="882"/>
        <v>46.6014631</v>
      </c>
      <c r="O302" s="1">
        <f t="shared" ref="O302:Q302" si="883">(L302-L$7)/(L$6-L$7)</f>
        <v>0.6373285062</v>
      </c>
      <c r="P302" s="1">
        <f t="shared" si="883"/>
        <v>0.6460302323</v>
      </c>
      <c r="Q302" s="1">
        <f t="shared" si="883"/>
        <v>0.6580753207</v>
      </c>
      <c r="R302" s="1">
        <f t="shared" ref="R302:T302" si="884">1/(1+EXP(-O302))</f>
        <v>0.6541493164</v>
      </c>
      <c r="S302" s="1">
        <f t="shared" si="884"/>
        <v>0.6561153278</v>
      </c>
      <c r="T302" s="1">
        <f t="shared" si="884"/>
        <v>0.6588279035</v>
      </c>
      <c r="U302" s="1">
        <f t="shared" si="11"/>
        <v>3.248523503</v>
      </c>
      <c r="V302" s="1">
        <f t="shared" si="12"/>
        <v>0.5647169262</v>
      </c>
      <c r="W302" s="1">
        <f t="shared" si="13"/>
        <v>4</v>
      </c>
      <c r="X302" s="1">
        <f t="shared" si="14"/>
        <v>0</v>
      </c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ht="15.75" customHeight="1">
      <c r="A303" s="1"/>
      <c r="B303" s="1">
        <v>8.0</v>
      </c>
      <c r="C303" s="1">
        <v>10.0</v>
      </c>
      <c r="D303" s="1">
        <v>10.0</v>
      </c>
      <c r="E303" s="1">
        <v>10.0</v>
      </c>
      <c r="F303" s="1">
        <v>8.0</v>
      </c>
      <c r="G303" s="3">
        <v>10.0</v>
      </c>
      <c r="H303" s="1">
        <v>10.0</v>
      </c>
      <c r="I303" s="1">
        <v>7.0</v>
      </c>
      <c r="J303" s="1">
        <v>3.0</v>
      </c>
      <c r="K303" s="1">
        <v>4.0</v>
      </c>
      <c r="L303" s="1">
        <f t="shared" ref="L303:N303" si="885">SUMPRODUCT($B303:$J303, INDEX($B$2:$J$4, L$10, 0)) + INDEX($K$2:$K$4, L$10,1)</f>
        <v>68.19007528</v>
      </c>
      <c r="M303" s="1">
        <f t="shared" si="885"/>
        <v>65.00986129</v>
      </c>
      <c r="N303" s="1">
        <f t="shared" si="885"/>
        <v>65.89994615</v>
      </c>
      <c r="O303" s="1">
        <f t="shared" ref="O303:Q303" si="886">(L303-L$7)/(L$6-L$7)</f>
        <v>0.9865566704</v>
      </c>
      <c r="P303" s="1">
        <f t="shared" si="886"/>
        <v>0.9842908078</v>
      </c>
      <c r="Q303" s="1">
        <f t="shared" si="886"/>
        <v>0.9844254196</v>
      </c>
      <c r="R303" s="1">
        <f t="shared" ref="R303:T303" si="887">1/(1+EXP(-O303))</f>
        <v>0.728407264</v>
      </c>
      <c r="S303" s="1">
        <f t="shared" si="887"/>
        <v>0.7279587762</v>
      </c>
      <c r="T303" s="1">
        <f t="shared" si="887"/>
        <v>0.7279854332</v>
      </c>
      <c r="U303" s="1">
        <f t="shared" si="11"/>
        <v>3.603274063</v>
      </c>
      <c r="V303" s="1">
        <f t="shared" si="12"/>
        <v>0.1573914689</v>
      </c>
      <c r="W303" s="1">
        <f t="shared" si="13"/>
        <v>4</v>
      </c>
      <c r="X303" s="1">
        <f t="shared" si="14"/>
        <v>0</v>
      </c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ht="15.75" customHeight="1">
      <c r="A304" s="1"/>
      <c r="B304" s="1">
        <v>1.0</v>
      </c>
      <c r="C304" s="1">
        <v>1.0</v>
      </c>
      <c r="D304" s="1">
        <v>1.0</v>
      </c>
      <c r="E304" s="1">
        <v>1.0</v>
      </c>
      <c r="F304" s="1">
        <v>2.0</v>
      </c>
      <c r="G304" s="3">
        <v>1.0</v>
      </c>
      <c r="H304" s="1">
        <v>3.0</v>
      </c>
      <c r="I304" s="1">
        <v>1.0</v>
      </c>
      <c r="J304" s="1">
        <v>1.0</v>
      </c>
      <c r="K304" s="1">
        <v>2.0</v>
      </c>
      <c r="L304" s="1">
        <f t="shared" ref="L304:N304" si="888">SUMPRODUCT($B304:$J304, INDEX($B$2:$J$4, L$10, 0)) + INDEX($K$2:$K$4, L$10,1)</f>
        <v>7.985725177</v>
      </c>
      <c r="M304" s="1">
        <f t="shared" si="888"/>
        <v>7.529531272</v>
      </c>
      <c r="N304" s="1">
        <f t="shared" si="888"/>
        <v>7.686650958</v>
      </c>
      <c r="O304" s="1">
        <f t="shared" ref="O304:Q304" si="889">(L304-L$7)/(L$6-L$7)</f>
        <v>0.002075043622</v>
      </c>
      <c r="P304" s="1">
        <f t="shared" si="889"/>
        <v>0.000000006234892308</v>
      </c>
      <c r="Q304" s="1">
        <f t="shared" si="889"/>
        <v>0.0000001362617963</v>
      </c>
      <c r="R304" s="1">
        <f t="shared" ref="R304:T304" si="890">1/(1+EXP(-O304))</f>
        <v>0.5005187607</v>
      </c>
      <c r="S304" s="1">
        <f t="shared" si="890"/>
        <v>0.5000000016</v>
      </c>
      <c r="T304" s="1">
        <f t="shared" si="890"/>
        <v>0.5000000341</v>
      </c>
      <c r="U304" s="1">
        <f t="shared" si="11"/>
        <v>2.475218456</v>
      </c>
      <c r="V304" s="1">
        <f t="shared" si="12"/>
        <v>0.2258325805</v>
      </c>
      <c r="W304" s="1">
        <f t="shared" si="13"/>
        <v>2</v>
      </c>
      <c r="X304" s="1">
        <f t="shared" si="14"/>
        <v>0</v>
      </c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ht="15.75" customHeight="1">
      <c r="A305" s="1"/>
      <c r="B305" s="1">
        <v>8.0</v>
      </c>
      <c r="C305" s="1">
        <v>10.0</v>
      </c>
      <c r="D305" s="1">
        <v>10.0</v>
      </c>
      <c r="E305" s="1">
        <v>7.0</v>
      </c>
      <c r="F305" s="1">
        <v>10.0</v>
      </c>
      <c r="G305" s="3">
        <v>10.0</v>
      </c>
      <c r="H305" s="1">
        <v>7.0</v>
      </c>
      <c r="I305" s="1">
        <v>3.0</v>
      </c>
      <c r="J305" s="1">
        <v>8.0</v>
      </c>
      <c r="K305" s="1">
        <v>4.0</v>
      </c>
      <c r="L305" s="1">
        <f t="shared" ref="L305:N305" si="891">SUMPRODUCT($B305:$J305, INDEX($B$2:$J$4, L$10, 0)) + INDEX($K$2:$K$4, L$10,1)</f>
        <v>66.98314412</v>
      </c>
      <c r="M305" s="1">
        <f t="shared" si="891"/>
        <v>63.83869384</v>
      </c>
      <c r="N305" s="1">
        <f t="shared" si="891"/>
        <v>64.68992085</v>
      </c>
      <c r="O305" s="1">
        <f t="shared" ref="O305:Q305" si="892">(L305-L$7)/(L$6-L$7)</f>
        <v>0.9668205294</v>
      </c>
      <c r="P305" s="1">
        <f t="shared" si="892"/>
        <v>0.9642357846</v>
      </c>
      <c r="Q305" s="1">
        <f t="shared" si="892"/>
        <v>0.9639630922</v>
      </c>
      <c r="R305" s="1">
        <f t="shared" ref="R305:T305" si="893">1/(1+EXP(-O305))</f>
        <v>0.7244853085</v>
      </c>
      <c r="S305" s="1">
        <f t="shared" si="893"/>
        <v>0.7239690777</v>
      </c>
      <c r="T305" s="1">
        <f t="shared" si="893"/>
        <v>0.7239145802</v>
      </c>
      <c r="U305" s="1">
        <f t="shared" si="11"/>
        <v>3.583497811</v>
      </c>
      <c r="V305" s="1">
        <f t="shared" si="12"/>
        <v>0.1734740736</v>
      </c>
      <c r="W305" s="1">
        <f t="shared" si="13"/>
        <v>4</v>
      </c>
      <c r="X305" s="1">
        <f t="shared" si="14"/>
        <v>0</v>
      </c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ht="15.75" customHeight="1">
      <c r="A306" s="1"/>
      <c r="B306" s="1">
        <v>4.0</v>
      </c>
      <c r="C306" s="1">
        <v>8.0</v>
      </c>
      <c r="D306" s="1">
        <v>7.0</v>
      </c>
      <c r="E306" s="1">
        <v>10.0</v>
      </c>
      <c r="F306" s="1">
        <v>4.0</v>
      </c>
      <c r="G306" s="3">
        <v>10.0</v>
      </c>
      <c r="H306" s="1">
        <v>7.0</v>
      </c>
      <c r="I306" s="1">
        <v>5.0</v>
      </c>
      <c r="J306" s="1">
        <v>1.0</v>
      </c>
      <c r="K306" s="1">
        <v>4.0</v>
      </c>
      <c r="L306" s="1">
        <f t="shared" ref="L306:N306" si="894">SUMPRODUCT($B306:$J306, INDEX($B$2:$J$4, L$10, 0)) + INDEX($K$2:$K$4, L$10,1)</f>
        <v>59.3784913</v>
      </c>
      <c r="M306" s="1">
        <f t="shared" si="894"/>
        <v>57.23438116</v>
      </c>
      <c r="N306" s="1">
        <f t="shared" si="894"/>
        <v>57.89958635</v>
      </c>
      <c r="O306" s="1">
        <f t="shared" ref="O306:Q306" si="895">(L306-L$7)/(L$6-L$7)</f>
        <v>0.8424667083</v>
      </c>
      <c r="P306" s="1">
        <f t="shared" si="895"/>
        <v>0.8511438065</v>
      </c>
      <c r="Q306" s="1">
        <f t="shared" si="895"/>
        <v>0.8491340495</v>
      </c>
      <c r="R306" s="1">
        <f t="shared" ref="R306:T306" si="896">1/(1+EXP(-O306))</f>
        <v>0.6989844788</v>
      </c>
      <c r="S306" s="1">
        <f t="shared" si="896"/>
        <v>0.7008070269</v>
      </c>
      <c r="T306" s="1">
        <f t="shared" si="896"/>
        <v>0.7003854581</v>
      </c>
      <c r="U306" s="1">
        <f t="shared" si="11"/>
        <v>3.464541672</v>
      </c>
      <c r="V306" s="1">
        <f t="shared" si="12"/>
        <v>0.2867156212</v>
      </c>
      <c r="W306" s="1">
        <f t="shared" si="13"/>
        <v>4</v>
      </c>
      <c r="X306" s="1">
        <f t="shared" si="14"/>
        <v>0</v>
      </c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ht="15.75" customHeight="1">
      <c r="A307" s="1"/>
      <c r="B307" s="1">
        <v>8.0</v>
      </c>
      <c r="C307" s="1">
        <v>7.0</v>
      </c>
      <c r="D307" s="1">
        <v>8.0</v>
      </c>
      <c r="E307" s="1">
        <v>5.0</v>
      </c>
      <c r="F307" s="1">
        <v>5.0</v>
      </c>
      <c r="G307" s="3">
        <v>10.0</v>
      </c>
      <c r="H307" s="1">
        <v>9.0</v>
      </c>
      <c r="I307" s="1">
        <v>10.0</v>
      </c>
      <c r="J307" s="1">
        <v>1.0</v>
      </c>
      <c r="K307" s="1">
        <v>4.0</v>
      </c>
      <c r="L307" s="1">
        <f t="shared" ref="L307:N307" si="897">SUMPRODUCT($B307:$J307, INDEX($B$2:$J$4, L$10, 0)) + INDEX($K$2:$K$4, L$10,1)</f>
        <v>60.78352879</v>
      </c>
      <c r="M307" s="1">
        <f t="shared" si="897"/>
        <v>58.39868998</v>
      </c>
      <c r="N307" s="1">
        <f t="shared" si="897"/>
        <v>59.5361575</v>
      </c>
      <c r="O307" s="1">
        <f t="shared" ref="O307:Q307" si="898">(L307-L$7)/(L$6-L$7)</f>
        <v>0.8654423502</v>
      </c>
      <c r="P307" s="1">
        <f t="shared" si="898"/>
        <v>0.8710813828</v>
      </c>
      <c r="Q307" s="1">
        <f t="shared" si="898"/>
        <v>0.8768095489</v>
      </c>
      <c r="R307" s="1">
        <f t="shared" ref="R307:T307" si="899">1/(1+EXP(-O307))</f>
        <v>0.7037964617</v>
      </c>
      <c r="S307" s="1">
        <f t="shared" si="899"/>
        <v>0.7049706614</v>
      </c>
      <c r="T307" s="1">
        <f t="shared" si="899"/>
        <v>0.7061606453</v>
      </c>
      <c r="U307" s="1">
        <f t="shared" si="11"/>
        <v>3.488938692</v>
      </c>
      <c r="V307" s="1">
        <f t="shared" si="12"/>
        <v>0.2611836605</v>
      </c>
      <c r="W307" s="1">
        <f t="shared" si="13"/>
        <v>4</v>
      </c>
      <c r="X307" s="1">
        <f t="shared" si="14"/>
        <v>0</v>
      </c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ht="15.75" customHeight="1">
      <c r="A308" s="1"/>
      <c r="B308" s="1">
        <v>1.0</v>
      </c>
      <c r="C308" s="1">
        <v>1.0</v>
      </c>
      <c r="D308" s="1">
        <v>1.0</v>
      </c>
      <c r="E308" s="1">
        <v>1.0</v>
      </c>
      <c r="F308" s="1">
        <v>1.0</v>
      </c>
      <c r="G308" s="3">
        <v>1.0</v>
      </c>
      <c r="H308" s="1">
        <v>2.0</v>
      </c>
      <c r="I308" s="1">
        <v>1.0</v>
      </c>
      <c r="J308" s="1">
        <v>1.0</v>
      </c>
      <c r="K308" s="1">
        <v>2.0</v>
      </c>
      <c r="L308" s="1">
        <f t="shared" ref="L308:N308" si="900">SUMPRODUCT($B308:$J308, INDEX($B$2:$J$4, L$10, 0)) + INDEX($K$2:$K$4, L$10,1)</f>
        <v>7.891122029</v>
      </c>
      <c r="M308" s="1">
        <f t="shared" si="900"/>
        <v>7.529530907</v>
      </c>
      <c r="N308" s="1">
        <f t="shared" si="900"/>
        <v>7.686646929</v>
      </c>
      <c r="O308" s="1">
        <f t="shared" ref="O308:Q308" si="901">(L308-L$7)/(L$6-L$7)</f>
        <v>0.0005280613841</v>
      </c>
      <c r="P308" s="1">
        <f t="shared" si="901"/>
        <v>0</v>
      </c>
      <c r="Q308" s="1">
        <f t="shared" si="901"/>
        <v>0.00000006813089816</v>
      </c>
      <c r="R308" s="1">
        <f t="shared" ref="R308:T308" si="902">1/(1+EXP(-O308))</f>
        <v>0.5001320153</v>
      </c>
      <c r="S308" s="1">
        <f t="shared" si="902"/>
        <v>0.5</v>
      </c>
      <c r="T308" s="1">
        <f t="shared" si="902"/>
        <v>0.500000017</v>
      </c>
      <c r="U308" s="1">
        <f t="shared" si="11"/>
        <v>2.474606266</v>
      </c>
      <c r="V308" s="1">
        <f t="shared" si="12"/>
        <v>0.2252511073</v>
      </c>
      <c r="W308" s="1">
        <f t="shared" si="13"/>
        <v>2</v>
      </c>
      <c r="X308" s="1">
        <f t="shared" si="14"/>
        <v>0</v>
      </c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ht="15.75" customHeight="1">
      <c r="A309" s="1"/>
      <c r="B309" s="1">
        <v>5.0</v>
      </c>
      <c r="C309" s="1">
        <v>1.0</v>
      </c>
      <c r="D309" s="1">
        <v>1.0</v>
      </c>
      <c r="E309" s="1">
        <v>2.0</v>
      </c>
      <c r="F309" s="1">
        <v>1.0</v>
      </c>
      <c r="G309" s="3">
        <v>1.0</v>
      </c>
      <c r="H309" s="1">
        <v>2.0</v>
      </c>
      <c r="I309" s="1">
        <v>1.0</v>
      </c>
      <c r="J309" s="1">
        <v>1.0</v>
      </c>
      <c r="K309" s="1">
        <v>2.0</v>
      </c>
      <c r="L309" s="1">
        <f t="shared" ref="L309:N309" si="903">SUMPRODUCT($B309:$J309, INDEX($B$2:$J$4, L$10, 0)) + INDEX($K$2:$K$4, L$10,1)</f>
        <v>7.986693893</v>
      </c>
      <c r="M309" s="1">
        <f t="shared" si="903"/>
        <v>7.607538913</v>
      </c>
      <c r="N309" s="1">
        <f t="shared" si="903"/>
        <v>7.729001217</v>
      </c>
      <c r="O309" s="1">
        <f t="shared" ref="O309:Q309" si="904">(L309-L$7)/(L$6-L$7)</f>
        <v>0.002090884401</v>
      </c>
      <c r="P309" s="1">
        <f t="shared" si="904"/>
        <v>0.001335805864</v>
      </c>
      <c r="Q309" s="1">
        <f t="shared" si="904"/>
        <v>0.0007163071302</v>
      </c>
      <c r="R309" s="1">
        <f t="shared" ref="R309:T309" si="905">1/(1+EXP(-O309))</f>
        <v>0.5005227209</v>
      </c>
      <c r="S309" s="1">
        <f t="shared" si="905"/>
        <v>0.5003339514</v>
      </c>
      <c r="T309" s="1">
        <f t="shared" si="905"/>
        <v>0.5001790768</v>
      </c>
      <c r="U309" s="1">
        <f t="shared" si="11"/>
        <v>2.476082924</v>
      </c>
      <c r="V309" s="1">
        <f t="shared" si="12"/>
        <v>0.2266549506</v>
      </c>
      <c r="W309" s="1">
        <f t="shared" si="13"/>
        <v>2</v>
      </c>
      <c r="X309" s="1">
        <f t="shared" si="14"/>
        <v>0</v>
      </c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ht="15.75" customHeight="1">
      <c r="A310" s="1"/>
      <c r="B310" s="1">
        <v>3.0</v>
      </c>
      <c r="C310" s="1">
        <v>1.0</v>
      </c>
      <c r="D310" s="1">
        <v>1.0</v>
      </c>
      <c r="E310" s="1">
        <v>1.0</v>
      </c>
      <c r="F310" s="1">
        <v>2.0</v>
      </c>
      <c r="G310" s="3">
        <v>1.0</v>
      </c>
      <c r="H310" s="1">
        <v>3.0</v>
      </c>
      <c r="I310" s="1">
        <v>1.0</v>
      </c>
      <c r="J310" s="1">
        <v>1.0</v>
      </c>
      <c r="K310" s="1">
        <v>2.0</v>
      </c>
      <c r="L310" s="1">
        <f t="shared" ref="L310:N310" si="906">SUMPRODUCT($B310:$J310, INDEX($B$2:$J$4, L$10, 0)) + INDEX($K$2:$K$4, L$10,1)</f>
        <v>8.01747831</v>
      </c>
      <c r="M310" s="1">
        <f t="shared" si="906"/>
        <v>7.568535274</v>
      </c>
      <c r="N310" s="1">
        <f t="shared" si="906"/>
        <v>7.70642897</v>
      </c>
      <c r="O310" s="1">
        <f t="shared" ref="O310:Q310" si="907">(L310-L$7)/(L$6-L$7)</f>
        <v>0.002594281464</v>
      </c>
      <c r="P310" s="1">
        <f t="shared" si="907"/>
        <v>0.0006679091667</v>
      </c>
      <c r="Q310" s="1">
        <f t="shared" si="907"/>
        <v>0.0003345955216</v>
      </c>
      <c r="R310" s="1">
        <f t="shared" ref="R310:T310" si="908">1/(1+EXP(-O310))</f>
        <v>0.50064857</v>
      </c>
      <c r="S310" s="1">
        <f t="shared" si="908"/>
        <v>0.5001669773</v>
      </c>
      <c r="T310" s="1">
        <f t="shared" si="908"/>
        <v>0.5000836489</v>
      </c>
      <c r="U310" s="1">
        <f t="shared" si="11"/>
        <v>2.475842888</v>
      </c>
      <c r="V310" s="1">
        <f t="shared" si="12"/>
        <v>0.226426454</v>
      </c>
      <c r="W310" s="1">
        <f t="shared" si="13"/>
        <v>2</v>
      </c>
      <c r="X310" s="1">
        <f t="shared" si="14"/>
        <v>0</v>
      </c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ht="15.75" customHeight="1">
      <c r="A311" s="1"/>
      <c r="B311" s="1">
        <v>4.0</v>
      </c>
      <c r="C311" s="1">
        <v>1.0</v>
      </c>
      <c r="D311" s="1">
        <v>1.0</v>
      </c>
      <c r="E311" s="1">
        <v>1.0</v>
      </c>
      <c r="F311" s="1">
        <v>2.0</v>
      </c>
      <c r="G311" s="3">
        <v>1.0</v>
      </c>
      <c r="H311" s="1">
        <v>3.0</v>
      </c>
      <c r="I311" s="1">
        <v>1.0</v>
      </c>
      <c r="J311" s="1">
        <v>1.0</v>
      </c>
      <c r="K311" s="1">
        <v>2.0</v>
      </c>
      <c r="L311" s="1">
        <f t="shared" ref="L311:N311" si="909">SUMPRODUCT($B311:$J311, INDEX($B$2:$J$4, L$10, 0)) + INDEX($K$2:$K$4, L$10,1)</f>
        <v>8.033354877</v>
      </c>
      <c r="M311" s="1">
        <f t="shared" si="909"/>
        <v>7.588037275</v>
      </c>
      <c r="N311" s="1">
        <f t="shared" si="909"/>
        <v>7.716317977</v>
      </c>
      <c r="O311" s="1">
        <f t="shared" ref="O311:Q311" si="910">(L311-L$7)/(L$6-L$7)</f>
        <v>0.002853900385</v>
      </c>
      <c r="P311" s="1">
        <f t="shared" si="910"/>
        <v>0.001001860633</v>
      </c>
      <c r="Q311" s="1">
        <f t="shared" si="910"/>
        <v>0.0005018251515</v>
      </c>
      <c r="R311" s="1">
        <f t="shared" ref="R311:T311" si="911">1/(1+EXP(-O311))</f>
        <v>0.5007134746</v>
      </c>
      <c r="S311" s="1">
        <f t="shared" si="911"/>
        <v>0.5002504651</v>
      </c>
      <c r="T311" s="1">
        <f t="shared" si="911"/>
        <v>0.5001254563</v>
      </c>
      <c r="U311" s="1">
        <f t="shared" si="11"/>
        <v>2.476155104</v>
      </c>
      <c r="V311" s="1">
        <f t="shared" si="12"/>
        <v>0.2267236831</v>
      </c>
      <c r="W311" s="1">
        <f t="shared" si="13"/>
        <v>2</v>
      </c>
      <c r="X311" s="1">
        <f t="shared" si="14"/>
        <v>0</v>
      </c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ht="15.75" customHeight="1">
      <c r="A312" s="1"/>
      <c r="B312" s="1">
        <v>5.0</v>
      </c>
      <c r="C312" s="1">
        <v>4.0</v>
      </c>
      <c r="D312" s="1">
        <v>4.0</v>
      </c>
      <c r="E312" s="1">
        <v>9.0</v>
      </c>
      <c r="F312" s="1">
        <v>2.0</v>
      </c>
      <c r="G312" s="3">
        <v>10.0</v>
      </c>
      <c r="H312" s="1">
        <v>5.0</v>
      </c>
      <c r="I312" s="1">
        <v>6.0</v>
      </c>
      <c r="J312" s="1">
        <v>1.0</v>
      </c>
      <c r="K312" s="1">
        <v>4.0</v>
      </c>
      <c r="L312" s="1">
        <f t="shared" ref="L312:N312" si="912">SUMPRODUCT($B312:$J312, INDEX($B$2:$J$4, L$10, 0)) + INDEX($K$2:$K$4, L$10,1)</f>
        <v>48.43414862</v>
      </c>
      <c r="M312" s="1">
        <f t="shared" si="912"/>
        <v>47.13684153</v>
      </c>
      <c r="N312" s="1">
        <f t="shared" si="912"/>
        <v>48.03386859</v>
      </c>
      <c r="O312" s="1">
        <f t="shared" ref="O312:Q312" si="913">(L312-L$7)/(L$6-L$7)</f>
        <v>0.663501164</v>
      </c>
      <c r="P312" s="1">
        <f t="shared" si="913"/>
        <v>0.6782339541</v>
      </c>
      <c r="Q312" s="1">
        <f t="shared" si="913"/>
        <v>0.6822982439</v>
      </c>
      <c r="R312" s="1">
        <f t="shared" ref="R312:T312" si="914">1/(1+EXP(-O312))</f>
        <v>0.6600464373</v>
      </c>
      <c r="S312" s="1">
        <f t="shared" si="914"/>
        <v>0.6633444204</v>
      </c>
      <c r="T312" s="1">
        <f t="shared" si="914"/>
        <v>0.6642514485</v>
      </c>
      <c r="U312" s="1">
        <f t="shared" si="11"/>
        <v>3.279091736</v>
      </c>
      <c r="V312" s="1">
        <f t="shared" si="12"/>
        <v>0.5197087251</v>
      </c>
      <c r="W312" s="1">
        <f t="shared" si="13"/>
        <v>4</v>
      </c>
      <c r="X312" s="1">
        <f t="shared" si="14"/>
        <v>0</v>
      </c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ht="15.75" customHeight="1">
      <c r="A313" s="1"/>
      <c r="B313" s="1">
        <v>2.0</v>
      </c>
      <c r="C313" s="1">
        <v>5.0</v>
      </c>
      <c r="D313" s="1">
        <v>3.0</v>
      </c>
      <c r="E313" s="1">
        <v>3.0</v>
      </c>
      <c r="F313" s="1">
        <v>6.0</v>
      </c>
      <c r="G313" s="3">
        <v>7.0</v>
      </c>
      <c r="H313" s="1">
        <v>7.0</v>
      </c>
      <c r="I313" s="1">
        <v>5.0</v>
      </c>
      <c r="J313" s="1">
        <v>1.0</v>
      </c>
      <c r="K313" s="1">
        <v>4.0</v>
      </c>
      <c r="L313" s="1">
        <f t="shared" ref="L313:N313" si="915">SUMPRODUCT($B313:$J313, INDEX($B$2:$J$4, L$10, 0)) + INDEX($K$2:$K$4, L$10,1)</f>
        <v>38.53394364</v>
      </c>
      <c r="M313" s="1">
        <f t="shared" si="915"/>
        <v>37.39504396</v>
      </c>
      <c r="N313" s="1">
        <f t="shared" si="915"/>
        <v>37.57248989</v>
      </c>
      <c r="O313" s="1">
        <f t="shared" ref="O313:Q313" si="916">(L313-L$7)/(L$6-L$7)</f>
        <v>0.5016097078</v>
      </c>
      <c r="P313" s="1">
        <f t="shared" si="916"/>
        <v>0.5114158143</v>
      </c>
      <c r="Q313" s="1">
        <f t="shared" si="916"/>
        <v>0.5053894182</v>
      </c>
      <c r="R313" s="1">
        <f t="shared" ref="R313:T313" si="917">1/(1+EXP(-O313))</f>
        <v>0.6228375439</v>
      </c>
      <c r="S313" s="1">
        <f t="shared" si="917"/>
        <v>0.6251383157</v>
      </c>
      <c r="T313" s="1">
        <f t="shared" si="917"/>
        <v>0.6237250261</v>
      </c>
      <c r="U313" s="1">
        <f t="shared" si="11"/>
        <v>3.08761378</v>
      </c>
      <c r="V313" s="1">
        <f t="shared" si="12"/>
        <v>0.8324486151</v>
      </c>
      <c r="W313" s="1">
        <f t="shared" si="13"/>
        <v>4</v>
      </c>
      <c r="X313" s="1">
        <f t="shared" si="14"/>
        <v>0</v>
      </c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ht="15.75" customHeight="1">
      <c r="A314" s="1"/>
      <c r="B314" s="1">
        <v>5.0</v>
      </c>
      <c r="C314" s="1">
        <v>1.0</v>
      </c>
      <c r="D314" s="1">
        <v>3.0</v>
      </c>
      <c r="E314" s="1">
        <v>1.0</v>
      </c>
      <c r="F314" s="1">
        <v>2.0</v>
      </c>
      <c r="G314" s="3">
        <v>1.0</v>
      </c>
      <c r="H314" s="1">
        <v>2.0</v>
      </c>
      <c r="I314" s="1">
        <v>1.0</v>
      </c>
      <c r="J314" s="1">
        <v>1.0</v>
      </c>
      <c r="K314" s="1">
        <v>2.0</v>
      </c>
      <c r="L314" s="1">
        <f t="shared" ref="L314:N314" si="918">SUMPRODUCT($B314:$J314, INDEX($B$2:$J$4, L$10, 0)) + INDEX($K$2:$K$4, L$10,1)</f>
        <v>11.11152007</v>
      </c>
      <c r="M314" s="1">
        <f t="shared" si="918"/>
        <v>10.15016609</v>
      </c>
      <c r="N314" s="1">
        <f t="shared" si="918"/>
        <v>10.75737622</v>
      </c>
      <c r="O314" s="1">
        <f t="shared" ref="O314:Q314" si="919">(L314-L$7)/(L$6-L$7)</f>
        <v>0.05318908492</v>
      </c>
      <c r="P314" s="1">
        <f t="shared" si="919"/>
        <v>0.04487564874</v>
      </c>
      <c r="Q314" s="1">
        <f t="shared" si="919"/>
        <v>0.05192812924</v>
      </c>
      <c r="R314" s="1">
        <f t="shared" ref="R314:T314" si="920">1/(1+EXP(-O314))</f>
        <v>0.5132941372</v>
      </c>
      <c r="S314" s="1">
        <f t="shared" si="920"/>
        <v>0.5112170298</v>
      </c>
      <c r="T314" s="1">
        <f t="shared" si="920"/>
        <v>0.5129791159</v>
      </c>
      <c r="U314" s="1">
        <f t="shared" si="11"/>
        <v>2.536219957</v>
      </c>
      <c r="V314" s="1">
        <f t="shared" si="12"/>
        <v>0.2875318424</v>
      </c>
      <c r="W314" s="1">
        <f t="shared" si="13"/>
        <v>2</v>
      </c>
      <c r="X314" s="1">
        <f t="shared" si="14"/>
        <v>0</v>
      </c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ht="15.75" customHeight="1">
      <c r="A315" s="1"/>
      <c r="B315" s="1">
        <v>7.0</v>
      </c>
      <c r="C315" s="1">
        <v>2.0</v>
      </c>
      <c r="D315" s="1">
        <v>4.0</v>
      </c>
      <c r="E315" s="1">
        <v>1.0</v>
      </c>
      <c r="F315" s="1">
        <v>6.0</v>
      </c>
      <c r="G315" s="3">
        <v>10.0</v>
      </c>
      <c r="H315" s="1">
        <v>5.0</v>
      </c>
      <c r="I315" s="1">
        <v>4.0</v>
      </c>
      <c r="J315" s="1">
        <v>3.0</v>
      </c>
      <c r="K315" s="1">
        <v>4.0</v>
      </c>
      <c r="L315" s="1">
        <f t="shared" ref="L315:N315" si="921">SUMPRODUCT($B315:$J315, INDEX($B$2:$J$4, L$10, 0)) + INDEX($K$2:$K$4, L$10,1)</f>
        <v>44.69853286</v>
      </c>
      <c r="M315" s="1">
        <f t="shared" si="921"/>
        <v>43.29231652</v>
      </c>
      <c r="N315" s="1">
        <f t="shared" si="921"/>
        <v>44.61722871</v>
      </c>
      <c r="O315" s="1">
        <f t="shared" ref="O315:Q315" si="922">(L315-L$7)/(L$6-L$7)</f>
        <v>0.6024151282</v>
      </c>
      <c r="P315" s="1">
        <f t="shared" si="922"/>
        <v>0.6124004665</v>
      </c>
      <c r="Q315" s="1">
        <f t="shared" si="922"/>
        <v>0.6245206061</v>
      </c>
      <c r="R315" s="1">
        <f t="shared" ref="R315:T315" si="923">1/(1+EXP(-O315))</f>
        <v>0.6462086549</v>
      </c>
      <c r="S315" s="1">
        <f t="shared" si="923"/>
        <v>0.6484881863</v>
      </c>
      <c r="T315" s="1">
        <f t="shared" si="923"/>
        <v>0.6512459904</v>
      </c>
      <c r="U315" s="1">
        <f t="shared" si="11"/>
        <v>3.210359715</v>
      </c>
      <c r="V315" s="1">
        <f t="shared" si="12"/>
        <v>0.6235317791</v>
      </c>
      <c r="W315" s="1">
        <f t="shared" si="13"/>
        <v>4</v>
      </c>
      <c r="X315" s="1">
        <f t="shared" si="14"/>
        <v>0</v>
      </c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ht="15.75" customHeight="1">
      <c r="A316" s="1"/>
      <c r="B316" s="1">
        <v>1.0</v>
      </c>
      <c r="C316" s="1">
        <v>1.0</v>
      </c>
      <c r="D316" s="1">
        <v>1.0</v>
      </c>
      <c r="E316" s="1">
        <v>1.0</v>
      </c>
      <c r="F316" s="1">
        <v>2.0</v>
      </c>
      <c r="G316" s="3">
        <v>1.0</v>
      </c>
      <c r="H316" s="1">
        <v>3.0</v>
      </c>
      <c r="I316" s="1">
        <v>1.0</v>
      </c>
      <c r="J316" s="1">
        <v>1.0</v>
      </c>
      <c r="K316" s="1">
        <v>2.0</v>
      </c>
      <c r="L316" s="1">
        <f t="shared" ref="L316:N316" si="924">SUMPRODUCT($B316:$J316, INDEX($B$2:$J$4, L$10, 0)) + INDEX($K$2:$K$4, L$10,1)</f>
        <v>7.985725177</v>
      </c>
      <c r="M316" s="1">
        <f t="shared" si="924"/>
        <v>7.529531272</v>
      </c>
      <c r="N316" s="1">
        <f t="shared" si="924"/>
        <v>7.686650958</v>
      </c>
      <c r="O316" s="1">
        <f t="shared" ref="O316:Q316" si="925">(L316-L$7)/(L$6-L$7)</f>
        <v>0.002075043622</v>
      </c>
      <c r="P316" s="1">
        <f t="shared" si="925"/>
        <v>0.000000006234892308</v>
      </c>
      <c r="Q316" s="1">
        <f t="shared" si="925"/>
        <v>0.0000001362617963</v>
      </c>
      <c r="R316" s="1">
        <f t="shared" ref="R316:T316" si="926">1/(1+EXP(-O316))</f>
        <v>0.5005187607</v>
      </c>
      <c r="S316" s="1">
        <f t="shared" si="926"/>
        <v>0.5000000016</v>
      </c>
      <c r="T316" s="1">
        <f t="shared" si="926"/>
        <v>0.5000000341</v>
      </c>
      <c r="U316" s="1">
        <f t="shared" si="11"/>
        <v>2.475218456</v>
      </c>
      <c r="V316" s="1">
        <f t="shared" si="12"/>
        <v>0.2258325805</v>
      </c>
      <c r="W316" s="1">
        <f t="shared" si="13"/>
        <v>2</v>
      </c>
      <c r="X316" s="1">
        <f t="shared" si="14"/>
        <v>0</v>
      </c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ht="15.75" customHeight="1">
      <c r="A317" s="1"/>
      <c r="B317" s="1">
        <v>5.0</v>
      </c>
      <c r="C317" s="1">
        <v>1.0</v>
      </c>
      <c r="D317" s="1">
        <v>1.0</v>
      </c>
      <c r="E317" s="1">
        <v>1.0</v>
      </c>
      <c r="F317" s="1">
        <v>2.0</v>
      </c>
      <c r="G317" s="3">
        <v>1.0</v>
      </c>
      <c r="H317" s="1">
        <v>2.0</v>
      </c>
      <c r="I317" s="1">
        <v>1.0</v>
      </c>
      <c r="J317" s="1">
        <v>1.0</v>
      </c>
      <c r="K317" s="1">
        <v>2.0</v>
      </c>
      <c r="L317" s="1">
        <f t="shared" ref="L317:N317" si="927">SUMPRODUCT($B317:$J317, INDEX($B$2:$J$4, L$10, 0)) + INDEX($K$2:$K$4, L$10,1)</f>
        <v>8.016938721</v>
      </c>
      <c r="M317" s="1">
        <f t="shared" si="927"/>
        <v>7.607539277</v>
      </c>
      <c r="N317" s="1">
        <f t="shared" si="927"/>
        <v>7.726202954</v>
      </c>
      <c r="O317" s="1">
        <f t="shared" ref="O317:Q317" si="928">(L317-L$7)/(L$6-L$7)</f>
        <v>0.002585457921</v>
      </c>
      <c r="P317" s="1">
        <f t="shared" si="928"/>
        <v>0.001335812098</v>
      </c>
      <c r="Q317" s="1">
        <f t="shared" si="928"/>
        <v>0.0006689866505</v>
      </c>
      <c r="R317" s="1">
        <f t="shared" ref="R317:T317" si="929">1/(1+EXP(-O317))</f>
        <v>0.5006463641</v>
      </c>
      <c r="S317" s="1">
        <f t="shared" si="929"/>
        <v>0.500333953</v>
      </c>
      <c r="T317" s="1">
        <f t="shared" si="929"/>
        <v>0.5001672467</v>
      </c>
      <c r="U317" s="1">
        <f t="shared" si="11"/>
        <v>2.476258331</v>
      </c>
      <c r="V317" s="1">
        <f t="shared" si="12"/>
        <v>0.2268219982</v>
      </c>
      <c r="W317" s="1">
        <f t="shared" si="13"/>
        <v>2</v>
      </c>
      <c r="X317" s="1">
        <f t="shared" si="14"/>
        <v>0</v>
      </c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ht="15.75" customHeight="1">
      <c r="A318" s="1"/>
      <c r="B318" s="1">
        <v>4.0</v>
      </c>
      <c r="C318" s="1">
        <v>1.0</v>
      </c>
      <c r="D318" s="1">
        <v>1.0</v>
      </c>
      <c r="E318" s="1">
        <v>1.0</v>
      </c>
      <c r="F318" s="1">
        <v>2.0</v>
      </c>
      <c r="G318" s="3">
        <v>1.0</v>
      </c>
      <c r="H318" s="1">
        <v>3.0</v>
      </c>
      <c r="I318" s="1">
        <v>6.0</v>
      </c>
      <c r="J318" s="1">
        <v>1.0</v>
      </c>
      <c r="K318" s="1">
        <v>2.0</v>
      </c>
      <c r="L318" s="1">
        <f t="shared" ref="L318:N318" si="930">SUMPRODUCT($B318:$J318, INDEX($B$2:$J$4, L$10, 0)) + INDEX($K$2:$K$4, L$10,1)</f>
        <v>9.456451181</v>
      </c>
      <c r="M318" s="1">
        <f t="shared" si="930"/>
        <v>9.051997507</v>
      </c>
      <c r="N318" s="1">
        <f t="shared" si="930"/>
        <v>9.218341013</v>
      </c>
      <c r="O318" s="1">
        <f t="shared" ref="O318:Q318" si="931">(L318-L$7)/(L$6-L$7)</f>
        <v>0.02612484612</v>
      </c>
      <c r="P318" s="1">
        <f t="shared" si="931"/>
        <v>0.02607065528</v>
      </c>
      <c r="Q318" s="1">
        <f t="shared" si="931"/>
        <v>0.02590202708</v>
      </c>
      <c r="R318" s="1">
        <f t="shared" ref="R318:T318" si="932">1/(1+EXP(-O318))</f>
        <v>0.5065308401</v>
      </c>
      <c r="S318" s="1">
        <f t="shared" si="932"/>
        <v>0.5065172947</v>
      </c>
      <c r="T318" s="1">
        <f t="shared" si="932"/>
        <v>0.5064751448</v>
      </c>
      <c r="U318" s="1">
        <f t="shared" si="11"/>
        <v>2.50659913</v>
      </c>
      <c r="V318" s="1">
        <f t="shared" si="12"/>
        <v>0.2566426783</v>
      </c>
      <c r="W318" s="1">
        <f t="shared" si="13"/>
        <v>2</v>
      </c>
      <c r="X318" s="1">
        <f t="shared" si="14"/>
        <v>0</v>
      </c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ht="15.75" customHeight="1">
      <c r="A319" s="1"/>
      <c r="B319" s="1">
        <v>5.0</v>
      </c>
      <c r="C319" s="1">
        <v>4.0</v>
      </c>
      <c r="D319" s="1">
        <v>6.0</v>
      </c>
      <c r="E319" s="1">
        <v>6.0</v>
      </c>
      <c r="F319" s="1">
        <v>4.0</v>
      </c>
      <c r="G319" s="3">
        <v>10.0</v>
      </c>
      <c r="H319" s="1">
        <v>4.0</v>
      </c>
      <c r="I319" s="1">
        <v>3.0</v>
      </c>
      <c r="J319" s="1">
        <v>1.0</v>
      </c>
      <c r="K319" s="1">
        <v>4.0</v>
      </c>
      <c r="L319" s="1">
        <f t="shared" ref="L319:N319" si="933">SUMPRODUCT($B319:$J319, INDEX($B$2:$J$4, L$10, 0)) + INDEX($K$2:$K$4, L$10,1)</f>
        <v>50.67100352</v>
      </c>
      <c r="M319" s="1">
        <f t="shared" si="933"/>
        <v>48.80109292</v>
      </c>
      <c r="N319" s="1">
        <f t="shared" si="933"/>
        <v>50.15542921</v>
      </c>
      <c r="O319" s="1">
        <f t="shared" ref="O319:Q319" si="934">(L319-L$7)/(L$6-L$7)</f>
        <v>0.7000789619</v>
      </c>
      <c r="P319" s="1">
        <f t="shared" si="934"/>
        <v>0.7067325265</v>
      </c>
      <c r="Q319" s="1">
        <f t="shared" si="934"/>
        <v>0.7181752358</v>
      </c>
      <c r="R319" s="1">
        <f t="shared" ref="R319:T319" si="935">1/(1+EXP(-O319))</f>
        <v>0.6682052788</v>
      </c>
      <c r="S319" s="1">
        <f t="shared" si="935"/>
        <v>0.669678766</v>
      </c>
      <c r="T319" s="1">
        <f t="shared" si="935"/>
        <v>0.6722050651</v>
      </c>
      <c r="U319" s="1">
        <f t="shared" si="11"/>
        <v>3.316106066</v>
      </c>
      <c r="V319" s="1">
        <f t="shared" si="12"/>
        <v>0.4677109134</v>
      </c>
      <c r="W319" s="1">
        <f t="shared" si="13"/>
        <v>4</v>
      </c>
      <c r="X319" s="1">
        <f t="shared" si="14"/>
        <v>0</v>
      </c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ht="15.75" customHeight="1">
      <c r="A320" s="1"/>
      <c r="B320" s="1">
        <v>1.0</v>
      </c>
      <c r="C320" s="1">
        <v>1.0</v>
      </c>
      <c r="D320" s="1">
        <v>1.0</v>
      </c>
      <c r="E320" s="1">
        <v>3.0</v>
      </c>
      <c r="F320" s="1">
        <v>2.0</v>
      </c>
      <c r="G320" s="3">
        <v>3.0</v>
      </c>
      <c r="H320" s="1">
        <v>1.0</v>
      </c>
      <c r="I320" s="1">
        <v>1.0</v>
      </c>
      <c r="J320" s="1">
        <v>1.0</v>
      </c>
      <c r="K320" s="1">
        <v>2.0</v>
      </c>
      <c r="L320" s="1">
        <f t="shared" ref="L320:N320" si="936">SUMPRODUCT($B320:$J320, INDEX($B$2:$J$4, L$10, 0)) + INDEX($K$2:$K$4, L$10,1)</f>
        <v>14.47695263</v>
      </c>
      <c r="M320" s="1">
        <f t="shared" si="936"/>
        <v>14.04163844</v>
      </c>
      <c r="N320" s="1">
        <f t="shared" si="936"/>
        <v>14.36260624</v>
      </c>
      <c r="O320" s="1">
        <f t="shared" ref="O320:Q320" si="937">(L320-L$7)/(L$6-L$7)</f>
        <v>0.1082217615</v>
      </c>
      <c r="P320" s="1">
        <f t="shared" si="937"/>
        <v>0.1115130609</v>
      </c>
      <c r="Q320" s="1">
        <f t="shared" si="937"/>
        <v>0.1128949508</v>
      </c>
      <c r="R320" s="1">
        <f t="shared" ref="R320:T320" si="938">1/(1+EXP(-O320))</f>
        <v>0.5270290653</v>
      </c>
      <c r="S320" s="1">
        <f t="shared" si="938"/>
        <v>0.5278494119</v>
      </c>
      <c r="T320" s="1">
        <f t="shared" si="938"/>
        <v>0.5281937993</v>
      </c>
      <c r="U320" s="1">
        <f t="shared" si="11"/>
        <v>2.611510864</v>
      </c>
      <c r="V320" s="1">
        <f t="shared" si="12"/>
        <v>0.3739455371</v>
      </c>
      <c r="W320" s="1">
        <f t="shared" si="13"/>
        <v>2</v>
      </c>
      <c r="X320" s="1">
        <f t="shared" si="14"/>
        <v>0</v>
      </c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ht="15.75" customHeight="1">
      <c r="A321" s="1"/>
      <c r="B321" s="1">
        <v>4.0</v>
      </c>
      <c r="C321" s="1">
        <v>1.0</v>
      </c>
      <c r="D321" s="1">
        <v>1.0</v>
      </c>
      <c r="E321" s="1">
        <v>1.0</v>
      </c>
      <c r="F321" s="1">
        <v>2.0</v>
      </c>
      <c r="G321" s="3">
        <v>1.0</v>
      </c>
      <c r="H321" s="1">
        <v>2.0</v>
      </c>
      <c r="I321" s="1">
        <v>1.0</v>
      </c>
      <c r="J321" s="1">
        <v>1.0</v>
      </c>
      <c r="K321" s="1">
        <v>2.0</v>
      </c>
      <c r="L321" s="1">
        <f t="shared" ref="L321:N321" si="939">SUMPRODUCT($B321:$J321, INDEX($B$2:$J$4, L$10, 0)) + INDEX($K$2:$K$4, L$10,1)</f>
        <v>8.001062154</v>
      </c>
      <c r="M321" s="1">
        <f t="shared" si="939"/>
        <v>7.588037275</v>
      </c>
      <c r="N321" s="1">
        <f t="shared" si="939"/>
        <v>7.716313948</v>
      </c>
      <c r="O321" s="1">
        <f t="shared" ref="O321:Q321" si="940">(L321-L$7)/(L$6-L$7)</f>
        <v>0.002325839001</v>
      </c>
      <c r="P321" s="1">
        <f t="shared" si="940"/>
        <v>0.001001860633</v>
      </c>
      <c r="Q321" s="1">
        <f t="shared" si="940"/>
        <v>0.0005017570206</v>
      </c>
      <c r="R321" s="1">
        <f t="shared" ref="R321:T321" si="941">1/(1+EXP(-O321))</f>
        <v>0.5005814595</v>
      </c>
      <c r="S321" s="1">
        <f t="shared" si="941"/>
        <v>0.5002504651</v>
      </c>
      <c r="T321" s="1">
        <f t="shared" si="941"/>
        <v>0.5001254393</v>
      </c>
      <c r="U321" s="1">
        <f t="shared" si="11"/>
        <v>2.475946115</v>
      </c>
      <c r="V321" s="1">
        <f t="shared" si="12"/>
        <v>0.2265247046</v>
      </c>
      <c r="W321" s="1">
        <f t="shared" si="13"/>
        <v>2</v>
      </c>
      <c r="X321" s="1">
        <f t="shared" si="14"/>
        <v>0</v>
      </c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ht="15.75" customHeight="1">
      <c r="A322" s="1"/>
      <c r="B322" s="1">
        <v>4.0</v>
      </c>
      <c r="C322" s="1">
        <v>1.0</v>
      </c>
      <c r="D322" s="1">
        <v>1.0</v>
      </c>
      <c r="E322" s="1">
        <v>2.0</v>
      </c>
      <c r="F322" s="1">
        <v>2.0</v>
      </c>
      <c r="G322" s="3">
        <v>1.0</v>
      </c>
      <c r="H322" s="1">
        <v>2.0</v>
      </c>
      <c r="I322" s="1">
        <v>1.0</v>
      </c>
      <c r="J322" s="1">
        <v>1.0</v>
      </c>
      <c r="K322" s="1">
        <v>2.0</v>
      </c>
      <c r="L322" s="1">
        <f t="shared" ref="L322:N322" si="942">SUMPRODUCT($B322:$J322, INDEX($B$2:$J$4, L$10, 0)) + INDEX($K$2:$K$4, L$10,1)</f>
        <v>8.033127751</v>
      </c>
      <c r="M322" s="1">
        <f t="shared" si="942"/>
        <v>7.588037275</v>
      </c>
      <c r="N322" s="1">
        <f t="shared" si="942"/>
        <v>7.719112211</v>
      </c>
      <c r="O322" s="1">
        <f t="shared" ref="O322:Q322" si="943">(L322-L$7)/(L$6-L$7)</f>
        <v>0.002850186334</v>
      </c>
      <c r="P322" s="1">
        <f t="shared" si="943"/>
        <v>0.001001860633</v>
      </c>
      <c r="Q322" s="1">
        <f t="shared" si="943"/>
        <v>0.0005490775003</v>
      </c>
      <c r="R322" s="1">
        <f t="shared" ref="R322:T322" si="944">1/(1+EXP(-O322))</f>
        <v>0.5007125461</v>
      </c>
      <c r="S322" s="1">
        <f t="shared" si="944"/>
        <v>0.5002504651</v>
      </c>
      <c r="T322" s="1">
        <f t="shared" si="944"/>
        <v>0.5001372694</v>
      </c>
      <c r="U322" s="1">
        <f t="shared" si="11"/>
        <v>2.476173908</v>
      </c>
      <c r="V322" s="1">
        <f t="shared" si="12"/>
        <v>0.2267415911</v>
      </c>
      <c r="W322" s="1">
        <f t="shared" si="13"/>
        <v>2</v>
      </c>
      <c r="X322" s="1">
        <f t="shared" si="14"/>
        <v>0</v>
      </c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ht="15.75" customHeight="1">
      <c r="A323" s="1"/>
      <c r="B323" s="1">
        <v>1.0</v>
      </c>
      <c r="C323" s="1">
        <v>1.0</v>
      </c>
      <c r="D323" s="1">
        <v>1.0</v>
      </c>
      <c r="E323" s="1">
        <v>1.0</v>
      </c>
      <c r="F323" s="1">
        <v>2.0</v>
      </c>
      <c r="G323" s="3">
        <v>1.0</v>
      </c>
      <c r="H323" s="1">
        <v>3.0</v>
      </c>
      <c r="I323" s="1">
        <v>1.0</v>
      </c>
      <c r="J323" s="1">
        <v>1.0</v>
      </c>
      <c r="K323" s="1">
        <v>2.0</v>
      </c>
      <c r="L323" s="1">
        <f t="shared" ref="L323:N323" si="945">SUMPRODUCT($B323:$J323, INDEX($B$2:$J$4, L$10, 0)) + INDEX($K$2:$K$4, L$10,1)</f>
        <v>7.985725177</v>
      </c>
      <c r="M323" s="1">
        <f t="shared" si="945"/>
        <v>7.529531272</v>
      </c>
      <c r="N323" s="1">
        <f t="shared" si="945"/>
        <v>7.686650958</v>
      </c>
      <c r="O323" s="1">
        <f t="shared" ref="O323:Q323" si="946">(L323-L$7)/(L$6-L$7)</f>
        <v>0.002075043622</v>
      </c>
      <c r="P323" s="1">
        <f t="shared" si="946"/>
        <v>0.000000006234892308</v>
      </c>
      <c r="Q323" s="1">
        <f t="shared" si="946"/>
        <v>0.0000001362617963</v>
      </c>
      <c r="R323" s="1">
        <f t="shared" ref="R323:T323" si="947">1/(1+EXP(-O323))</f>
        <v>0.5005187607</v>
      </c>
      <c r="S323" s="1">
        <f t="shared" si="947"/>
        <v>0.5000000016</v>
      </c>
      <c r="T323" s="1">
        <f t="shared" si="947"/>
        <v>0.5000000341</v>
      </c>
      <c r="U323" s="1">
        <f t="shared" si="11"/>
        <v>2.475218456</v>
      </c>
      <c r="V323" s="1">
        <f t="shared" si="12"/>
        <v>0.2258325805</v>
      </c>
      <c r="W323" s="1">
        <f t="shared" si="13"/>
        <v>2</v>
      </c>
      <c r="X323" s="1">
        <f t="shared" si="14"/>
        <v>0</v>
      </c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ht="15.75" customHeight="1">
      <c r="A324" s="1"/>
      <c r="B324" s="1">
        <v>5.0</v>
      </c>
      <c r="C324" s="1">
        <v>10.0</v>
      </c>
      <c r="D324" s="1">
        <v>10.0</v>
      </c>
      <c r="E324" s="1">
        <v>8.0</v>
      </c>
      <c r="F324" s="1">
        <v>5.0</v>
      </c>
      <c r="G324" s="3">
        <v>5.0</v>
      </c>
      <c r="H324" s="1">
        <v>7.0</v>
      </c>
      <c r="I324" s="1">
        <v>10.0</v>
      </c>
      <c r="J324" s="1">
        <v>1.0</v>
      </c>
      <c r="K324" s="1">
        <v>4.0</v>
      </c>
      <c r="L324" s="1">
        <f t="shared" ref="L324:N324" si="948">SUMPRODUCT($B324:$J324, INDEX($B$2:$J$4, L$10, 0)) + INDEX($K$2:$K$4, L$10,1)</f>
        <v>52.41915845</v>
      </c>
      <c r="M324" s="1">
        <f t="shared" si="948"/>
        <v>49.54946242</v>
      </c>
      <c r="N324" s="1">
        <f t="shared" si="948"/>
        <v>50.08996731</v>
      </c>
      <c r="O324" s="1">
        <f t="shared" ref="O324:Q324" si="949">(L324-L$7)/(L$6-L$7)</f>
        <v>0.7286653747</v>
      </c>
      <c r="P324" s="1">
        <f t="shared" si="949"/>
        <v>0.7195475749</v>
      </c>
      <c r="Q324" s="1">
        <f t="shared" si="949"/>
        <v>0.7170682318</v>
      </c>
      <c r="R324" s="1">
        <f t="shared" ref="R324:T324" si="950">1/(1+EXP(-O324))</f>
        <v>0.67451233</v>
      </c>
      <c r="S324" s="1">
        <f t="shared" si="950"/>
        <v>0.6725073822</v>
      </c>
      <c r="T324" s="1">
        <f t="shared" si="950"/>
        <v>0.6719610953</v>
      </c>
      <c r="U324" s="1">
        <f t="shared" si="11"/>
        <v>3.330336832</v>
      </c>
      <c r="V324" s="1">
        <f t="shared" si="12"/>
        <v>0.4484487586</v>
      </c>
      <c r="W324" s="1">
        <f t="shared" si="13"/>
        <v>4</v>
      </c>
      <c r="X324" s="1">
        <f t="shared" si="14"/>
        <v>0</v>
      </c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ht="15.75" customHeight="1">
      <c r="A325" s="1"/>
      <c r="B325" s="1">
        <v>3.0</v>
      </c>
      <c r="C325" s="1">
        <v>10.0</v>
      </c>
      <c r="D325" s="1">
        <v>7.0</v>
      </c>
      <c r="E325" s="1">
        <v>8.0</v>
      </c>
      <c r="F325" s="1">
        <v>5.0</v>
      </c>
      <c r="G325" s="3">
        <v>8.0</v>
      </c>
      <c r="H325" s="1">
        <v>7.0</v>
      </c>
      <c r="I325" s="1">
        <v>4.0</v>
      </c>
      <c r="J325" s="1">
        <v>1.0</v>
      </c>
      <c r="K325" s="1">
        <v>4.0</v>
      </c>
      <c r="L325" s="1">
        <f t="shared" ref="L325:N325" si="951">SUMPRODUCT($B325:$J325, INDEX($B$2:$J$4, L$10, 0)) + INDEX($K$2:$K$4, L$10,1)</f>
        <v>55.7753403</v>
      </c>
      <c r="M325" s="1">
        <f t="shared" si="951"/>
        <v>53.70792668</v>
      </c>
      <c r="N325" s="1">
        <f t="shared" si="951"/>
        <v>53.72655198</v>
      </c>
      <c r="O325" s="1">
        <f t="shared" ref="O325:Q325" si="952">(L325-L$7)/(L$6-L$7)</f>
        <v>0.7835467805</v>
      </c>
      <c r="P325" s="1">
        <f t="shared" si="952"/>
        <v>0.7907569454</v>
      </c>
      <c r="Q325" s="1">
        <f t="shared" si="952"/>
        <v>0.7785652812</v>
      </c>
      <c r="R325" s="1">
        <f t="shared" ref="R325:T325" si="953">1/(1+EXP(-O325))</f>
        <v>0.6864440225</v>
      </c>
      <c r="S325" s="1">
        <f t="shared" si="953"/>
        <v>0.6879938383</v>
      </c>
      <c r="T325" s="1">
        <f t="shared" si="953"/>
        <v>0.6853708168</v>
      </c>
      <c r="U325" s="1">
        <f t="shared" si="11"/>
        <v>3.397785303</v>
      </c>
      <c r="V325" s="1">
        <f t="shared" si="12"/>
        <v>0.3626625412</v>
      </c>
      <c r="W325" s="1">
        <f t="shared" si="13"/>
        <v>4</v>
      </c>
      <c r="X325" s="1">
        <f t="shared" si="14"/>
        <v>0</v>
      </c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ht="15.75" customHeight="1">
      <c r="A326" s="1"/>
      <c r="B326" s="1">
        <v>2.0</v>
      </c>
      <c r="C326" s="1">
        <v>2.0</v>
      </c>
      <c r="D326" s="1">
        <v>2.0</v>
      </c>
      <c r="E326" s="1">
        <v>1.0</v>
      </c>
      <c r="F326" s="1">
        <v>1.0</v>
      </c>
      <c r="G326" s="3">
        <v>1.0</v>
      </c>
      <c r="H326" s="1">
        <v>7.0</v>
      </c>
      <c r="I326" s="1">
        <v>1.0</v>
      </c>
      <c r="J326" s="1">
        <v>1.0</v>
      </c>
      <c r="K326" s="1">
        <v>2.0</v>
      </c>
      <c r="L326" s="1">
        <f t="shared" ref="L326:N326" si="954">SUMPRODUCT($B326:$J326, INDEX($B$2:$J$4, L$10, 0)) + INDEX($K$2:$K$4, L$10,1)</f>
        <v>11.21117653</v>
      </c>
      <c r="M326" s="1">
        <f t="shared" si="954"/>
        <v>10.4693195</v>
      </c>
      <c r="N326" s="1">
        <f t="shared" si="954"/>
        <v>10.618754</v>
      </c>
      <c r="O326" s="1">
        <f t="shared" ref="O326:Q326" si="955">(L326-L$7)/(L$6-L$7)</f>
        <v>0.05481870075</v>
      </c>
      <c r="P326" s="1">
        <f t="shared" si="955"/>
        <v>0.05034081862</v>
      </c>
      <c r="Q326" s="1">
        <f t="shared" si="955"/>
        <v>0.04958393596</v>
      </c>
      <c r="R326" s="1">
        <f t="shared" ref="R326:T326" si="956">1/(1+EXP(-O326))</f>
        <v>0.5137012442</v>
      </c>
      <c r="S326" s="1">
        <f t="shared" si="956"/>
        <v>0.5125825475</v>
      </c>
      <c r="T326" s="1">
        <f t="shared" si="956"/>
        <v>0.5123934449</v>
      </c>
      <c r="U326" s="1">
        <f t="shared" si="11"/>
        <v>2.538111897</v>
      </c>
      <c r="V326" s="1">
        <f t="shared" si="12"/>
        <v>0.2895644141</v>
      </c>
      <c r="W326" s="1">
        <f t="shared" si="13"/>
        <v>2</v>
      </c>
      <c r="X326" s="1">
        <f t="shared" si="14"/>
        <v>0</v>
      </c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ht="15.75" customHeight="1">
      <c r="A327" s="1"/>
      <c r="B327" s="1">
        <v>8.0</v>
      </c>
      <c r="C327" s="1">
        <v>7.0</v>
      </c>
      <c r="D327" s="1">
        <v>6.0</v>
      </c>
      <c r="E327" s="1">
        <v>4.0</v>
      </c>
      <c r="F327" s="1">
        <v>4.0</v>
      </c>
      <c r="G327" s="3">
        <v>10.0</v>
      </c>
      <c r="H327" s="1">
        <v>5.0</v>
      </c>
      <c r="I327" s="1">
        <v>1.0</v>
      </c>
      <c r="J327" s="1">
        <v>1.0</v>
      </c>
      <c r="K327" s="1">
        <v>4.0</v>
      </c>
      <c r="L327" s="1">
        <f t="shared" ref="L327:N327" si="957">SUMPRODUCT($B327:$J327, INDEX($B$2:$J$4, L$10, 0)) + INDEX($K$2:$K$4, L$10,1)</f>
        <v>54.90382718</v>
      </c>
      <c r="M327" s="1">
        <f t="shared" si="957"/>
        <v>53.22093439</v>
      </c>
      <c r="N327" s="1">
        <f t="shared" si="957"/>
        <v>53.79852839</v>
      </c>
      <c r="O327" s="1">
        <f t="shared" ref="O327:Q327" si="958">(L327-L$7)/(L$6-L$7)</f>
        <v>0.7692955071</v>
      </c>
      <c r="P327" s="1">
        <f t="shared" si="958"/>
        <v>0.7824177095</v>
      </c>
      <c r="Q327" s="1">
        <f t="shared" si="958"/>
        <v>0.7797824498</v>
      </c>
      <c r="R327" s="1">
        <f t="shared" ref="R327:T327" si="959">1/(1+EXP(-O327))</f>
        <v>0.6833684781</v>
      </c>
      <c r="S327" s="1">
        <f t="shared" si="959"/>
        <v>0.6862009516</v>
      </c>
      <c r="T327" s="1">
        <f t="shared" si="959"/>
        <v>0.685633225</v>
      </c>
      <c r="U327" s="1">
        <f t="shared" si="11"/>
        <v>3.390409808</v>
      </c>
      <c r="V327" s="1">
        <f t="shared" si="12"/>
        <v>0.3716002019</v>
      </c>
      <c r="W327" s="1">
        <f t="shared" si="13"/>
        <v>4</v>
      </c>
      <c r="X327" s="1">
        <f t="shared" si="14"/>
        <v>0</v>
      </c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ht="15.75" customHeight="1">
      <c r="A328" s="1"/>
      <c r="B328" s="1">
        <v>4.0</v>
      </c>
      <c r="C328" s="1">
        <v>1.0</v>
      </c>
      <c r="D328" s="1">
        <v>1.0</v>
      </c>
      <c r="E328" s="1">
        <v>3.0</v>
      </c>
      <c r="F328" s="1">
        <v>1.0</v>
      </c>
      <c r="G328" s="3">
        <v>5.0</v>
      </c>
      <c r="H328" s="1">
        <v>2.0</v>
      </c>
      <c r="I328" s="1">
        <v>1.0</v>
      </c>
      <c r="J328" s="1">
        <v>1.0</v>
      </c>
      <c r="K328" s="1">
        <v>4.0</v>
      </c>
      <c r="L328" s="1">
        <f t="shared" ref="L328:N328" si="960">SUMPRODUCT($B328:$J328, INDEX($B$2:$J$4, L$10, 0)) + INDEX($K$2:$K$4, L$10,1)</f>
        <v>20.98624634</v>
      </c>
      <c r="M328" s="1">
        <f t="shared" si="960"/>
        <v>20.61225124</v>
      </c>
      <c r="N328" s="1">
        <f t="shared" si="960"/>
        <v>21.06264409</v>
      </c>
      <c r="O328" s="1">
        <f t="shared" ref="O328:Q328" si="961">(L328-L$7)/(L$6-L$7)</f>
        <v>0.2146639048</v>
      </c>
      <c r="P328" s="1">
        <f t="shared" si="961"/>
        <v>0.2240279637</v>
      </c>
      <c r="Q328" s="1">
        <f t="shared" si="961"/>
        <v>0.2261970177</v>
      </c>
      <c r="R328" s="1">
        <f t="shared" ref="R328:T328" si="962">1/(1+EXP(-O328))</f>
        <v>0.5534608414</v>
      </c>
      <c r="S328" s="1">
        <f t="shared" si="962"/>
        <v>0.5557739182</v>
      </c>
      <c r="T328" s="1">
        <f t="shared" si="962"/>
        <v>0.5563093694</v>
      </c>
      <c r="U328" s="1">
        <f t="shared" si="11"/>
        <v>2.74766866</v>
      </c>
      <c r="V328" s="1">
        <f t="shared" si="12"/>
        <v>1.568333786</v>
      </c>
      <c r="W328" s="1">
        <f t="shared" si="13"/>
        <v>2</v>
      </c>
      <c r="X328" s="1">
        <f t="shared" si="14"/>
        <v>1</v>
      </c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ht="15.75" customHeight="1">
      <c r="A329" s="1"/>
      <c r="B329" s="1">
        <v>5.0</v>
      </c>
      <c r="C329" s="1">
        <v>1.0</v>
      </c>
      <c r="D329" s="1">
        <v>3.0</v>
      </c>
      <c r="E329" s="1">
        <v>3.0</v>
      </c>
      <c r="F329" s="1">
        <v>2.0</v>
      </c>
      <c r="G329" s="3">
        <v>2.0</v>
      </c>
      <c r="H329" s="1">
        <v>2.0</v>
      </c>
      <c r="I329" s="1">
        <v>3.0</v>
      </c>
      <c r="J329" s="1">
        <v>1.0</v>
      </c>
      <c r="K329" s="1">
        <v>2.0</v>
      </c>
      <c r="L329" s="1">
        <f t="shared" ref="L329:N329" si="963">SUMPRODUCT($B329:$J329, INDEX($B$2:$J$4, L$10, 0)) + INDEX($K$2:$K$4, L$10,1)</f>
        <v>14.99073063</v>
      </c>
      <c r="M329" s="1">
        <f t="shared" si="963"/>
        <v>13.99180376</v>
      </c>
      <c r="N329" s="1">
        <f t="shared" si="963"/>
        <v>14.69896536</v>
      </c>
      <c r="O329" s="1">
        <f t="shared" ref="O329:Q329" si="964">(L329-L$7)/(L$6-L$7)</f>
        <v>0.1166232309</v>
      </c>
      <c r="P329" s="1">
        <f t="shared" si="964"/>
        <v>0.1106596939</v>
      </c>
      <c r="Q329" s="1">
        <f t="shared" si="964"/>
        <v>0.1185830059</v>
      </c>
      <c r="R329" s="1">
        <f t="shared" ref="R329:T329" si="965">1/(1+EXP(-O329))</f>
        <v>0.529122807</v>
      </c>
      <c r="S329" s="1">
        <f t="shared" si="965"/>
        <v>0.527636727</v>
      </c>
      <c r="T329" s="1">
        <f t="shared" si="965"/>
        <v>0.5296110606</v>
      </c>
      <c r="U329" s="1">
        <f t="shared" si="11"/>
        <v>2.616906428</v>
      </c>
      <c r="V329" s="1">
        <f t="shared" si="12"/>
        <v>0.3805735407</v>
      </c>
      <c r="W329" s="1">
        <f t="shared" si="13"/>
        <v>2</v>
      </c>
      <c r="X329" s="1">
        <f t="shared" si="14"/>
        <v>0</v>
      </c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ht="15.75" customHeight="1">
      <c r="A330" s="1"/>
      <c r="B330" s="1">
        <v>9.0</v>
      </c>
      <c r="C330" s="1">
        <v>10.0</v>
      </c>
      <c r="D330" s="1">
        <v>10.0</v>
      </c>
      <c r="E330" s="1">
        <v>1.0</v>
      </c>
      <c r="F330" s="1">
        <v>10.0</v>
      </c>
      <c r="G330" s="3">
        <v>8.0</v>
      </c>
      <c r="H330" s="1">
        <v>3.0</v>
      </c>
      <c r="I330" s="1">
        <v>3.0</v>
      </c>
      <c r="J330" s="1">
        <v>1.0</v>
      </c>
      <c r="K330" s="1">
        <v>4.0</v>
      </c>
      <c r="L330" s="1">
        <f t="shared" ref="L330:N330" si="966">SUMPRODUCT($B330:$J330, INDEX($B$2:$J$4, L$10, 0)) + INDEX($K$2:$K$4, L$10,1)</f>
        <v>60.18577451</v>
      </c>
      <c r="M330" s="1">
        <f t="shared" si="966"/>
        <v>57.34608867</v>
      </c>
      <c r="N330" s="1">
        <f t="shared" si="966"/>
        <v>58.01263735</v>
      </c>
      <c r="O330" s="1">
        <f t="shared" ref="O330:Q330" si="967">(L330-L$7)/(L$6-L$7)</f>
        <v>0.8556676728</v>
      </c>
      <c r="P330" s="1">
        <f t="shared" si="967"/>
        <v>0.8530566814</v>
      </c>
      <c r="Q330" s="1">
        <f t="shared" si="967"/>
        <v>0.8510458166</v>
      </c>
      <c r="R330" s="1">
        <f t="shared" ref="R330:T330" si="968">1/(1+EXP(-O330))</f>
        <v>0.701754713</v>
      </c>
      <c r="S330" s="1">
        <f t="shared" si="968"/>
        <v>0.7012079578</v>
      </c>
      <c r="T330" s="1">
        <f t="shared" si="968"/>
        <v>0.7007864803</v>
      </c>
      <c r="U330" s="1">
        <f t="shared" si="11"/>
        <v>3.470276194</v>
      </c>
      <c r="V330" s="1">
        <f t="shared" si="12"/>
        <v>0.2806073106</v>
      </c>
      <c r="W330" s="1">
        <f t="shared" si="13"/>
        <v>4</v>
      </c>
      <c r="X330" s="1">
        <f t="shared" si="14"/>
        <v>0</v>
      </c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ht="15.75" customHeight="1">
      <c r="A331" s="1"/>
      <c r="B331" s="1">
        <v>5.0</v>
      </c>
      <c r="C331" s="1">
        <v>6.0</v>
      </c>
      <c r="D331" s="1">
        <v>6.0</v>
      </c>
      <c r="E331" s="1">
        <v>2.0</v>
      </c>
      <c r="F331" s="1">
        <v>4.0</v>
      </c>
      <c r="G331" s="3">
        <v>10.0</v>
      </c>
      <c r="H331" s="1">
        <v>3.0</v>
      </c>
      <c r="I331" s="1">
        <v>6.0</v>
      </c>
      <c r="J331" s="1">
        <v>1.0</v>
      </c>
      <c r="K331" s="1">
        <v>4.0</v>
      </c>
      <c r="L331" s="1">
        <f t="shared" ref="L331:N331" si="969">SUMPRODUCT($B331:$J331, INDEX($B$2:$J$4, L$10, 0)) + INDEX($K$2:$K$4, L$10,1)</f>
        <v>54.5551535</v>
      </c>
      <c r="M331" s="1">
        <f t="shared" si="969"/>
        <v>52.97741543</v>
      </c>
      <c r="N331" s="1">
        <f t="shared" si="969"/>
        <v>53.85866853</v>
      </c>
      <c r="O331" s="1">
        <f t="shared" ref="O331:Q331" si="970">(L331-L$7)/(L$6-L$7)</f>
        <v>0.7635938786</v>
      </c>
      <c r="P331" s="1">
        <f t="shared" si="970"/>
        <v>0.7782477009</v>
      </c>
      <c r="Q331" s="1">
        <f t="shared" si="970"/>
        <v>0.7807994594</v>
      </c>
      <c r="R331" s="1">
        <f t="shared" ref="R331:T331" si="971">1/(1+EXP(-O331))</f>
        <v>0.6821334947</v>
      </c>
      <c r="S331" s="1">
        <f t="shared" si="971"/>
        <v>0.6853023305</v>
      </c>
      <c r="T331" s="1">
        <f t="shared" si="971"/>
        <v>0.6858523902</v>
      </c>
      <c r="U331" s="1">
        <f t="shared" si="11"/>
        <v>3.387348698</v>
      </c>
      <c r="V331" s="1">
        <f t="shared" si="12"/>
        <v>0.3753416174</v>
      </c>
      <c r="W331" s="1">
        <f t="shared" si="13"/>
        <v>4</v>
      </c>
      <c r="X331" s="1">
        <f t="shared" si="14"/>
        <v>0</v>
      </c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ht="15.75" customHeight="1">
      <c r="A332" s="1"/>
      <c r="B332" s="1">
        <v>5.0</v>
      </c>
      <c r="C332" s="1">
        <v>10.0</v>
      </c>
      <c r="D332" s="1">
        <v>10.0</v>
      </c>
      <c r="E332" s="1">
        <v>6.0</v>
      </c>
      <c r="F332" s="1">
        <v>10.0</v>
      </c>
      <c r="G332" s="3">
        <v>10.0</v>
      </c>
      <c r="H332" s="1">
        <v>10.0</v>
      </c>
      <c r="I332" s="1">
        <v>6.0</v>
      </c>
      <c r="J332" s="1">
        <v>5.0</v>
      </c>
      <c r="K332" s="1">
        <v>4.0</v>
      </c>
      <c r="L332" s="1">
        <f t="shared" ref="L332:N332" si="972">SUMPRODUCT($B332:$J332, INDEX($B$2:$J$4, L$10, 0)) + INDEX($K$2:$K$4, L$10,1)</f>
        <v>67.85418478</v>
      </c>
      <c r="M332" s="1">
        <f t="shared" si="972"/>
        <v>64.65856397</v>
      </c>
      <c r="N332" s="1">
        <f t="shared" si="972"/>
        <v>65.55868147</v>
      </c>
      <c r="O332" s="1">
        <f t="shared" ref="O332:Q332" si="973">(L332-L$7)/(L$6-L$7)</f>
        <v>0.9810640769</v>
      </c>
      <c r="P332" s="1">
        <f t="shared" si="973"/>
        <v>0.9782752069</v>
      </c>
      <c r="Q332" s="1">
        <f t="shared" si="973"/>
        <v>0.9786544084</v>
      </c>
      <c r="R332" s="1">
        <f t="shared" ref="R332:T332" si="974">1/(1+EXP(-O332))</f>
        <v>0.7273193014</v>
      </c>
      <c r="S332" s="1">
        <f t="shared" si="974"/>
        <v>0.7267658457</v>
      </c>
      <c r="T332" s="1">
        <f t="shared" si="974"/>
        <v>0.72684114</v>
      </c>
      <c r="U332" s="1">
        <f t="shared" si="11"/>
        <v>3.597620116</v>
      </c>
      <c r="V332" s="1">
        <f t="shared" si="12"/>
        <v>0.1619095707</v>
      </c>
      <c r="W332" s="1">
        <f t="shared" si="13"/>
        <v>4</v>
      </c>
      <c r="X332" s="1">
        <f t="shared" si="14"/>
        <v>0</v>
      </c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ht="15.75" customHeight="1">
      <c r="A333" s="1"/>
      <c r="B333" s="1">
        <v>5.0</v>
      </c>
      <c r="C333" s="1">
        <v>2.0</v>
      </c>
      <c r="D333" s="1">
        <v>2.0</v>
      </c>
      <c r="E333" s="1">
        <v>2.0</v>
      </c>
      <c r="F333" s="1">
        <v>2.0</v>
      </c>
      <c r="G333" s="3">
        <v>2.0</v>
      </c>
      <c r="H333" s="1">
        <v>3.0</v>
      </c>
      <c r="I333" s="1">
        <v>2.0</v>
      </c>
      <c r="J333" s="1">
        <v>2.0</v>
      </c>
      <c r="K333" s="1">
        <v>2.0</v>
      </c>
      <c r="L333" s="1">
        <f t="shared" ref="L333:N333" si="975">SUMPRODUCT($B333:$J333, INDEX($B$2:$J$4, L$10, 0)) + INDEX($K$2:$K$4, L$10,1)</f>
        <v>14.75447148</v>
      </c>
      <c r="M333" s="1">
        <f t="shared" si="975"/>
        <v>14.0766715</v>
      </c>
      <c r="N333" s="1">
        <f t="shared" si="975"/>
        <v>14.28679118</v>
      </c>
      <c r="O333" s="1">
        <f t="shared" ref="O333:Q333" si="976">(L333-L$7)/(L$6-L$7)</f>
        <v>0.1127598423</v>
      </c>
      <c r="P333" s="1">
        <f t="shared" si="976"/>
        <v>0.1121129655</v>
      </c>
      <c r="Q333" s="1">
        <f t="shared" si="976"/>
        <v>0.1116128681</v>
      </c>
      <c r="R333" s="1">
        <f t="shared" ref="R333:T333" si="977">1/(1+EXP(-O333))</f>
        <v>0.5281601294</v>
      </c>
      <c r="S333" s="1">
        <f t="shared" si="977"/>
        <v>0.5279989202</v>
      </c>
      <c r="T333" s="1">
        <f t="shared" si="977"/>
        <v>0.5278742862</v>
      </c>
      <c r="U333" s="1">
        <f t="shared" si="11"/>
        <v>2.612999448</v>
      </c>
      <c r="V333" s="1">
        <f t="shared" si="12"/>
        <v>0.3757683227</v>
      </c>
      <c r="W333" s="1">
        <f t="shared" si="13"/>
        <v>2</v>
      </c>
      <c r="X333" s="1">
        <f t="shared" si="14"/>
        <v>0</v>
      </c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ht="15.75" customHeight="1">
      <c r="A334" s="1"/>
      <c r="B334" s="1">
        <v>3.0</v>
      </c>
      <c r="C334" s="1">
        <v>1.0</v>
      </c>
      <c r="D334" s="1">
        <v>1.0</v>
      </c>
      <c r="E334" s="1">
        <v>1.0</v>
      </c>
      <c r="F334" s="1">
        <v>1.0</v>
      </c>
      <c r="G334" s="3">
        <v>1.0</v>
      </c>
      <c r="H334" s="1">
        <v>2.0</v>
      </c>
      <c r="I334" s="1">
        <v>1.0</v>
      </c>
      <c r="J334" s="1">
        <v>1.0</v>
      </c>
      <c r="K334" s="1">
        <v>2.0</v>
      </c>
      <c r="L334" s="1">
        <f t="shared" ref="L334:N334" si="978">SUMPRODUCT($B334:$J334, INDEX($B$2:$J$4, L$10, 0)) + INDEX($K$2:$K$4, L$10,1)</f>
        <v>7.922875163</v>
      </c>
      <c r="M334" s="1">
        <f t="shared" si="978"/>
        <v>7.56853491</v>
      </c>
      <c r="N334" s="1">
        <f t="shared" si="978"/>
        <v>7.706424942</v>
      </c>
      <c r="O334" s="1">
        <f t="shared" ref="O334:Q334" si="979">(L334-L$7)/(L$6-L$7)</f>
        <v>0.001047299226</v>
      </c>
      <c r="P334" s="1">
        <f t="shared" si="979"/>
        <v>0.0006679029318</v>
      </c>
      <c r="Q334" s="1">
        <f t="shared" si="979"/>
        <v>0.0003345273907</v>
      </c>
      <c r="R334" s="1">
        <f t="shared" ref="R334:T334" si="980">1/(1+EXP(-O334))</f>
        <v>0.5002618248</v>
      </c>
      <c r="S334" s="1">
        <f t="shared" si="980"/>
        <v>0.5001669757</v>
      </c>
      <c r="T334" s="1">
        <f t="shared" si="980"/>
        <v>0.5000836318</v>
      </c>
      <c r="U334" s="1">
        <f t="shared" si="11"/>
        <v>2.475230698</v>
      </c>
      <c r="V334" s="1">
        <f t="shared" si="12"/>
        <v>0.2258442165</v>
      </c>
      <c r="W334" s="1">
        <f t="shared" si="13"/>
        <v>2</v>
      </c>
      <c r="X334" s="1">
        <f t="shared" si="14"/>
        <v>0</v>
      </c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ht="15.75" customHeight="1">
      <c r="A335" s="1"/>
      <c r="B335" s="1">
        <v>1.0</v>
      </c>
      <c r="C335" s="1">
        <v>1.0</v>
      </c>
      <c r="D335" s="1">
        <v>1.0</v>
      </c>
      <c r="E335" s="1">
        <v>1.0</v>
      </c>
      <c r="F335" s="1">
        <v>2.0</v>
      </c>
      <c r="G335" s="3">
        <v>1.0</v>
      </c>
      <c r="H335" s="1">
        <v>2.0</v>
      </c>
      <c r="I335" s="1">
        <v>1.0</v>
      </c>
      <c r="J335" s="1">
        <v>1.0</v>
      </c>
      <c r="K335" s="1">
        <v>2.0</v>
      </c>
      <c r="L335" s="1">
        <f t="shared" ref="L335:N335" si="981">SUMPRODUCT($B335:$J335, INDEX($B$2:$J$4, L$10, 0)) + INDEX($K$2:$K$4, L$10,1)</f>
        <v>7.953432454</v>
      </c>
      <c r="M335" s="1">
        <f t="shared" si="981"/>
        <v>7.529531272</v>
      </c>
      <c r="N335" s="1">
        <f t="shared" si="981"/>
        <v>7.686646929</v>
      </c>
      <c r="O335" s="1">
        <f t="shared" ref="O335:Q335" si="982">(L335-L$7)/(L$6-L$7)</f>
        <v>0.001546982238</v>
      </c>
      <c r="P335" s="1">
        <f t="shared" si="982"/>
        <v>0.000000006234892308</v>
      </c>
      <c r="Q335" s="1">
        <f t="shared" si="982"/>
        <v>0.00000006813089816</v>
      </c>
      <c r="R335" s="1">
        <f t="shared" ref="R335:T335" si="983">1/(1+EXP(-O335))</f>
        <v>0.5003867455</v>
      </c>
      <c r="S335" s="1">
        <f t="shared" si="983"/>
        <v>0.5000000016</v>
      </c>
      <c r="T335" s="1">
        <f t="shared" si="983"/>
        <v>0.500000017</v>
      </c>
      <c r="U335" s="1">
        <f t="shared" si="11"/>
        <v>2.475009467</v>
      </c>
      <c r="V335" s="1">
        <f t="shared" si="12"/>
        <v>0.2256339933</v>
      </c>
      <c r="W335" s="1">
        <f t="shared" si="13"/>
        <v>2</v>
      </c>
      <c r="X335" s="1">
        <f t="shared" si="14"/>
        <v>0</v>
      </c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ht="15.75" customHeight="1">
      <c r="A336" s="1"/>
      <c r="B336" s="1">
        <v>8.0</v>
      </c>
      <c r="C336" s="1">
        <v>7.0</v>
      </c>
      <c r="D336" s="1">
        <v>5.0</v>
      </c>
      <c r="E336" s="1">
        <v>10.0</v>
      </c>
      <c r="F336" s="1">
        <v>7.0</v>
      </c>
      <c r="G336" s="3">
        <v>9.0</v>
      </c>
      <c r="H336" s="1">
        <v>5.0</v>
      </c>
      <c r="I336" s="1">
        <v>5.0</v>
      </c>
      <c r="J336" s="1">
        <v>4.0</v>
      </c>
      <c r="K336" s="1">
        <v>4.0</v>
      </c>
      <c r="L336" s="1">
        <f t="shared" ref="L336:N336" si="984">SUMPRODUCT($B336:$J336, INDEX($B$2:$J$4, L$10, 0)) + INDEX($K$2:$K$4, L$10,1)</f>
        <v>51.62849755</v>
      </c>
      <c r="M336" s="1">
        <f t="shared" si="984"/>
        <v>49.86473668</v>
      </c>
      <c r="N336" s="1">
        <f t="shared" si="984"/>
        <v>50.16616636</v>
      </c>
      <c r="O336" s="1">
        <f t="shared" ref="O336:Q336" si="985">(L336-L$7)/(L$6-L$7)</f>
        <v>0.7157362238</v>
      </c>
      <c r="P336" s="1">
        <f t="shared" si="985"/>
        <v>0.7249463183</v>
      </c>
      <c r="Q336" s="1">
        <f t="shared" si="985"/>
        <v>0.718356808</v>
      </c>
      <c r="R336" s="1">
        <f t="shared" ref="R336:T336" si="986">1/(1+EXP(-O336))</f>
        <v>0.6716674144</v>
      </c>
      <c r="S336" s="1">
        <f t="shared" si="986"/>
        <v>0.6736952987</v>
      </c>
      <c r="T336" s="1">
        <f t="shared" si="986"/>
        <v>0.6722450724</v>
      </c>
      <c r="U336" s="1">
        <f t="shared" si="11"/>
        <v>3.328280859</v>
      </c>
      <c r="V336" s="1">
        <f t="shared" si="12"/>
        <v>0.4512066041</v>
      </c>
      <c r="W336" s="1">
        <f t="shared" si="13"/>
        <v>4</v>
      </c>
      <c r="X336" s="1">
        <f t="shared" si="14"/>
        <v>0</v>
      </c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ht="15.75" customHeight="1">
      <c r="A337" s="1"/>
      <c r="B337" s="1">
        <v>4.0</v>
      </c>
      <c r="C337" s="1">
        <v>1.0</v>
      </c>
      <c r="D337" s="1">
        <v>1.0</v>
      </c>
      <c r="E337" s="1">
        <v>1.0</v>
      </c>
      <c r="F337" s="1">
        <v>2.0</v>
      </c>
      <c r="G337" s="3">
        <v>1.0</v>
      </c>
      <c r="H337" s="1">
        <v>2.0</v>
      </c>
      <c r="I337" s="1">
        <v>1.0</v>
      </c>
      <c r="J337" s="1">
        <v>1.0</v>
      </c>
      <c r="K337" s="1">
        <v>2.0</v>
      </c>
      <c r="L337" s="1">
        <f t="shared" ref="L337:N337" si="987">SUMPRODUCT($B337:$J337, INDEX($B$2:$J$4, L$10, 0)) + INDEX($K$2:$K$4, L$10,1)</f>
        <v>8.001062154</v>
      </c>
      <c r="M337" s="1">
        <f t="shared" si="987"/>
        <v>7.588037275</v>
      </c>
      <c r="N337" s="1">
        <f t="shared" si="987"/>
        <v>7.716313948</v>
      </c>
      <c r="O337" s="1">
        <f t="shared" ref="O337:Q337" si="988">(L337-L$7)/(L$6-L$7)</f>
        <v>0.002325839001</v>
      </c>
      <c r="P337" s="1">
        <f t="shared" si="988"/>
        <v>0.001001860633</v>
      </c>
      <c r="Q337" s="1">
        <f t="shared" si="988"/>
        <v>0.0005017570206</v>
      </c>
      <c r="R337" s="1">
        <f t="shared" ref="R337:T337" si="989">1/(1+EXP(-O337))</f>
        <v>0.5005814595</v>
      </c>
      <c r="S337" s="1">
        <f t="shared" si="989"/>
        <v>0.5002504651</v>
      </c>
      <c r="T337" s="1">
        <f t="shared" si="989"/>
        <v>0.5001254393</v>
      </c>
      <c r="U337" s="1">
        <f t="shared" si="11"/>
        <v>2.475946115</v>
      </c>
      <c r="V337" s="1">
        <f t="shared" si="12"/>
        <v>0.2265247046</v>
      </c>
      <c r="W337" s="1">
        <f t="shared" si="13"/>
        <v>2</v>
      </c>
      <c r="X337" s="1">
        <f t="shared" si="14"/>
        <v>0</v>
      </c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ht="15.75" customHeight="1">
      <c r="A338" s="1"/>
      <c r="B338" s="1">
        <v>10.0</v>
      </c>
      <c r="C338" s="1">
        <v>5.0</v>
      </c>
      <c r="D338" s="1">
        <v>8.0</v>
      </c>
      <c r="E338" s="1">
        <v>10.0</v>
      </c>
      <c r="F338" s="1">
        <v>3.0</v>
      </c>
      <c r="G338" s="3">
        <v>10.0</v>
      </c>
      <c r="H338" s="1">
        <v>5.0</v>
      </c>
      <c r="I338" s="1">
        <v>1.0</v>
      </c>
      <c r="J338" s="1">
        <v>3.0</v>
      </c>
      <c r="K338" s="1">
        <v>4.0</v>
      </c>
      <c r="L338" s="1">
        <f t="shared" ref="L338:N338" si="990">SUMPRODUCT($B338:$J338, INDEX($B$2:$J$4, L$10, 0)) + INDEX($K$2:$K$4, L$10,1)</f>
        <v>54.96939751</v>
      </c>
      <c r="M338" s="1">
        <f t="shared" si="990"/>
        <v>52.50461847</v>
      </c>
      <c r="N338" s="1">
        <f t="shared" si="990"/>
        <v>54.05304667</v>
      </c>
      <c r="O338" s="1">
        <f t="shared" ref="O338:Q338" si="991">(L338-L$7)/(L$6-L$7)</f>
        <v>0.7703677351</v>
      </c>
      <c r="P338" s="1">
        <f t="shared" si="991"/>
        <v>0.7701515452</v>
      </c>
      <c r="Q338" s="1">
        <f t="shared" si="991"/>
        <v>0.784086522</v>
      </c>
      <c r="R338" s="1">
        <f t="shared" ref="R338:T338" si="992">1/(1+EXP(-O338))</f>
        <v>0.6836004368</v>
      </c>
      <c r="S338" s="1">
        <f t="shared" si="992"/>
        <v>0.6835536751</v>
      </c>
      <c r="T338" s="1">
        <f t="shared" si="992"/>
        <v>0.686560184</v>
      </c>
      <c r="U338" s="1">
        <f t="shared" si="11"/>
        <v>3.388000615</v>
      </c>
      <c r="V338" s="1">
        <f t="shared" si="12"/>
        <v>0.3745432472</v>
      </c>
      <c r="W338" s="1">
        <f t="shared" si="13"/>
        <v>4</v>
      </c>
      <c r="X338" s="1">
        <f t="shared" si="14"/>
        <v>0</v>
      </c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ht="15.75" customHeight="1">
      <c r="A339" s="1"/>
      <c r="B339" s="1">
        <v>1.0</v>
      </c>
      <c r="C339" s="1">
        <v>1.0</v>
      </c>
      <c r="D339" s="1">
        <v>1.0</v>
      </c>
      <c r="E339" s="1">
        <v>1.0</v>
      </c>
      <c r="F339" s="1">
        <v>2.0</v>
      </c>
      <c r="G339" s="3">
        <v>1.0</v>
      </c>
      <c r="H339" s="1">
        <v>1.0</v>
      </c>
      <c r="I339" s="1">
        <v>1.0</v>
      </c>
      <c r="J339" s="1">
        <v>1.0</v>
      </c>
      <c r="K339" s="1">
        <v>2.0</v>
      </c>
      <c r="L339" s="1">
        <f t="shared" ref="L339:N339" si="993">SUMPRODUCT($B339:$J339, INDEX($B$2:$J$4, L$10, 0)) + INDEX($K$2:$K$4, L$10,1)</f>
        <v>7.921139731</v>
      </c>
      <c r="M339" s="1">
        <f t="shared" si="993"/>
        <v>7.529531272</v>
      </c>
      <c r="N339" s="1">
        <f t="shared" si="993"/>
        <v>7.6866429</v>
      </c>
      <c r="O339" s="1">
        <f t="shared" ref="O339:Q339" si="994">(L339-L$7)/(L$6-L$7)</f>
        <v>0.001018920854</v>
      </c>
      <c r="P339" s="1">
        <f t="shared" si="994"/>
        <v>0.000000006234892308</v>
      </c>
      <c r="Q339" s="1">
        <f t="shared" si="994"/>
        <v>0</v>
      </c>
      <c r="R339" s="1">
        <f t="shared" ref="R339:T339" si="995">1/(1+EXP(-O339))</f>
        <v>0.5002547302</v>
      </c>
      <c r="S339" s="1">
        <f t="shared" si="995"/>
        <v>0.5000000016</v>
      </c>
      <c r="T339" s="1">
        <f t="shared" si="995"/>
        <v>0.5</v>
      </c>
      <c r="U339" s="1">
        <f t="shared" si="11"/>
        <v>2.474800478</v>
      </c>
      <c r="V339" s="1">
        <f t="shared" si="12"/>
        <v>0.2254354935</v>
      </c>
      <c r="W339" s="1">
        <f t="shared" si="13"/>
        <v>2</v>
      </c>
      <c r="X339" s="1">
        <f t="shared" si="14"/>
        <v>0</v>
      </c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ht="15.75" customHeight="1">
      <c r="A340" s="1"/>
      <c r="B340" s="1">
        <v>1.0</v>
      </c>
      <c r="C340" s="1">
        <v>1.0</v>
      </c>
      <c r="D340" s="1">
        <v>1.0</v>
      </c>
      <c r="E340" s="1">
        <v>1.0</v>
      </c>
      <c r="F340" s="1">
        <v>2.0</v>
      </c>
      <c r="G340" s="3">
        <v>1.0</v>
      </c>
      <c r="H340" s="1">
        <v>1.0</v>
      </c>
      <c r="I340" s="1">
        <v>1.0</v>
      </c>
      <c r="J340" s="1">
        <v>1.0</v>
      </c>
      <c r="K340" s="1">
        <v>2.0</v>
      </c>
      <c r="L340" s="1">
        <f t="shared" ref="L340:N340" si="996">SUMPRODUCT($B340:$J340, INDEX($B$2:$J$4, L$10, 0)) + INDEX($K$2:$K$4, L$10,1)</f>
        <v>7.921139731</v>
      </c>
      <c r="M340" s="1">
        <f t="shared" si="996"/>
        <v>7.529531272</v>
      </c>
      <c r="N340" s="1">
        <f t="shared" si="996"/>
        <v>7.6866429</v>
      </c>
      <c r="O340" s="1">
        <f t="shared" ref="O340:Q340" si="997">(L340-L$7)/(L$6-L$7)</f>
        <v>0.001018920854</v>
      </c>
      <c r="P340" s="1">
        <f t="shared" si="997"/>
        <v>0.000000006234892308</v>
      </c>
      <c r="Q340" s="1">
        <f t="shared" si="997"/>
        <v>0</v>
      </c>
      <c r="R340" s="1">
        <f t="shared" ref="R340:T340" si="998">1/(1+EXP(-O340))</f>
        <v>0.5002547302</v>
      </c>
      <c r="S340" s="1">
        <f t="shared" si="998"/>
        <v>0.5000000016</v>
      </c>
      <c r="T340" s="1">
        <f t="shared" si="998"/>
        <v>0.5</v>
      </c>
      <c r="U340" s="1">
        <f t="shared" si="11"/>
        <v>2.474800478</v>
      </c>
      <c r="V340" s="1">
        <f t="shared" si="12"/>
        <v>0.2254354935</v>
      </c>
      <c r="W340" s="1">
        <f t="shared" si="13"/>
        <v>2</v>
      </c>
      <c r="X340" s="1">
        <f t="shared" si="14"/>
        <v>0</v>
      </c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ht="15.75" customHeight="1">
      <c r="A341" s="1"/>
      <c r="B341" s="1">
        <v>1.0</v>
      </c>
      <c r="C341" s="1">
        <v>1.0</v>
      </c>
      <c r="D341" s="1">
        <v>1.0</v>
      </c>
      <c r="E341" s="1">
        <v>1.0</v>
      </c>
      <c r="F341" s="1">
        <v>2.0</v>
      </c>
      <c r="G341" s="3">
        <v>1.0</v>
      </c>
      <c r="H341" s="1">
        <v>2.0</v>
      </c>
      <c r="I341" s="1">
        <v>1.0</v>
      </c>
      <c r="J341" s="1">
        <v>1.0</v>
      </c>
      <c r="K341" s="1">
        <v>2.0</v>
      </c>
      <c r="L341" s="1">
        <f t="shared" ref="L341:N341" si="999">SUMPRODUCT($B341:$J341, INDEX($B$2:$J$4, L$10, 0)) + INDEX($K$2:$K$4, L$10,1)</f>
        <v>7.953432454</v>
      </c>
      <c r="M341" s="1">
        <f t="shared" si="999"/>
        <v>7.529531272</v>
      </c>
      <c r="N341" s="1">
        <f t="shared" si="999"/>
        <v>7.686646929</v>
      </c>
      <c r="O341" s="1">
        <f t="shared" ref="O341:Q341" si="1000">(L341-L$7)/(L$6-L$7)</f>
        <v>0.001546982238</v>
      </c>
      <c r="P341" s="1">
        <f t="shared" si="1000"/>
        <v>0.000000006234892308</v>
      </c>
      <c r="Q341" s="1">
        <f t="shared" si="1000"/>
        <v>0.00000006813089816</v>
      </c>
      <c r="R341" s="1">
        <f t="shared" ref="R341:T341" si="1001">1/(1+EXP(-O341))</f>
        <v>0.5003867455</v>
      </c>
      <c r="S341" s="1">
        <f t="shared" si="1001"/>
        <v>0.5000000016</v>
      </c>
      <c r="T341" s="1">
        <f t="shared" si="1001"/>
        <v>0.500000017</v>
      </c>
      <c r="U341" s="1">
        <f t="shared" si="11"/>
        <v>2.475009467</v>
      </c>
      <c r="V341" s="1">
        <f t="shared" si="12"/>
        <v>0.2256339933</v>
      </c>
      <c r="W341" s="1">
        <f t="shared" si="13"/>
        <v>2</v>
      </c>
      <c r="X341" s="1">
        <f t="shared" si="14"/>
        <v>0</v>
      </c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ht="15.75" customHeight="1">
      <c r="A342" s="1"/>
      <c r="B342" s="1">
        <v>5.0</v>
      </c>
      <c r="C342" s="1">
        <v>8.0</v>
      </c>
      <c r="D342" s="1">
        <v>9.0</v>
      </c>
      <c r="E342" s="1">
        <v>4.0</v>
      </c>
      <c r="F342" s="1">
        <v>3.0</v>
      </c>
      <c r="G342" s="3">
        <v>10.0</v>
      </c>
      <c r="H342" s="1">
        <v>7.0</v>
      </c>
      <c r="I342" s="1">
        <v>1.0</v>
      </c>
      <c r="J342" s="1">
        <v>1.0</v>
      </c>
      <c r="K342" s="1">
        <v>4.0</v>
      </c>
      <c r="L342" s="1">
        <f t="shared" ref="L342:N342" si="1002">SUMPRODUCT($B342:$J342, INDEX($B$2:$J$4, L$10, 0)) + INDEX($K$2:$K$4, L$10,1)</f>
        <v>61.09576817</v>
      </c>
      <c r="M342" s="1">
        <f t="shared" si="1002"/>
        <v>58.62534142</v>
      </c>
      <c r="N342" s="1">
        <f t="shared" si="1002"/>
        <v>59.72224061</v>
      </c>
      <c r="O342" s="1">
        <f t="shared" ref="O342:Q342" si="1003">(L342-L$7)/(L$6-L$7)</f>
        <v>0.8705481928</v>
      </c>
      <c r="P342" s="1">
        <f t="shared" si="1003"/>
        <v>0.8749625527</v>
      </c>
      <c r="Q342" s="1">
        <f t="shared" si="1003"/>
        <v>0.8799563373</v>
      </c>
      <c r="R342" s="1">
        <f t="shared" ref="R342:T342" si="1004">1/(1+EXP(-O342))</f>
        <v>0.7048597527</v>
      </c>
      <c r="S342" s="1">
        <f t="shared" si="1004"/>
        <v>0.7057772517</v>
      </c>
      <c r="T342" s="1">
        <f t="shared" si="1004"/>
        <v>0.706813173</v>
      </c>
      <c r="U342" s="1">
        <f t="shared" si="11"/>
        <v>3.493072251</v>
      </c>
      <c r="V342" s="1">
        <f t="shared" si="12"/>
        <v>0.2569757429</v>
      </c>
      <c r="W342" s="1">
        <f t="shared" si="13"/>
        <v>4</v>
      </c>
      <c r="X342" s="1">
        <f t="shared" si="14"/>
        <v>0</v>
      </c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ht="15.75" customHeight="1">
      <c r="A343" s="1"/>
      <c r="B343" s="1">
        <v>8.0</v>
      </c>
      <c r="C343" s="1">
        <v>10.0</v>
      </c>
      <c r="D343" s="1">
        <v>4.0</v>
      </c>
      <c r="E343" s="1">
        <v>4.0</v>
      </c>
      <c r="F343" s="1">
        <v>8.0</v>
      </c>
      <c r="G343" s="3">
        <v>10.0</v>
      </c>
      <c r="H343" s="1">
        <v>8.0</v>
      </c>
      <c r="I343" s="1">
        <v>2.0</v>
      </c>
      <c r="J343" s="1">
        <v>1.0</v>
      </c>
      <c r="K343" s="1">
        <v>4.0</v>
      </c>
      <c r="L343" s="1">
        <f t="shared" ref="L343:N343" si="1005">SUMPRODUCT($B343:$J343, INDEX($B$2:$J$4, L$10, 0)) + INDEX($K$2:$K$4, L$10,1)</f>
        <v>57.22625591</v>
      </c>
      <c r="M343" s="1">
        <f t="shared" si="1005"/>
        <v>55.91802064</v>
      </c>
      <c r="N343" s="1">
        <f t="shared" si="1005"/>
        <v>55.28760569</v>
      </c>
      <c r="O343" s="1">
        <f t="shared" ref="O343:Q343" si="1006">(L343-L$7)/(L$6-L$7)</f>
        <v>0.8072726369</v>
      </c>
      <c r="P343" s="1">
        <f t="shared" si="1006"/>
        <v>0.8286025032</v>
      </c>
      <c r="Q343" s="1">
        <f t="shared" si="1006"/>
        <v>0.8049637308</v>
      </c>
      <c r="R343" s="1">
        <f t="shared" ref="R343:T343" si="1007">1/(1+EXP(-O343))</f>
        <v>0.6915280154</v>
      </c>
      <c r="S343" s="1">
        <f t="shared" si="1007"/>
        <v>0.6960593554</v>
      </c>
      <c r="T343" s="1">
        <f t="shared" si="1007"/>
        <v>0.6910352688</v>
      </c>
      <c r="U343" s="1">
        <f t="shared" si="11"/>
        <v>3.428859792</v>
      </c>
      <c r="V343" s="1">
        <f t="shared" si="12"/>
        <v>0.3262011376</v>
      </c>
      <c r="W343" s="1">
        <f t="shared" si="13"/>
        <v>4</v>
      </c>
      <c r="X343" s="1">
        <f t="shared" si="14"/>
        <v>0</v>
      </c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ht="15.75" customHeight="1">
      <c r="A344" s="1"/>
      <c r="B344" s="1">
        <v>5.0</v>
      </c>
      <c r="C344" s="1">
        <v>1.0</v>
      </c>
      <c r="D344" s="1">
        <v>1.0</v>
      </c>
      <c r="E344" s="1">
        <v>1.0</v>
      </c>
      <c r="F344" s="1">
        <v>2.0</v>
      </c>
      <c r="G344" s="3">
        <v>1.0</v>
      </c>
      <c r="H344" s="1">
        <v>2.0</v>
      </c>
      <c r="I344" s="1">
        <v>1.0</v>
      </c>
      <c r="J344" s="1">
        <v>1.0</v>
      </c>
      <c r="K344" s="1">
        <v>2.0</v>
      </c>
      <c r="L344" s="1">
        <f t="shared" ref="L344:N344" si="1008">SUMPRODUCT($B344:$J344, INDEX($B$2:$J$4, L$10, 0)) + INDEX($K$2:$K$4, L$10,1)</f>
        <v>8.016938721</v>
      </c>
      <c r="M344" s="1">
        <f t="shared" si="1008"/>
        <v>7.607539277</v>
      </c>
      <c r="N344" s="1">
        <f t="shared" si="1008"/>
        <v>7.726202954</v>
      </c>
      <c r="O344" s="1">
        <f t="shared" ref="O344:Q344" si="1009">(L344-L$7)/(L$6-L$7)</f>
        <v>0.002585457921</v>
      </c>
      <c r="P344" s="1">
        <f t="shared" si="1009"/>
        <v>0.001335812098</v>
      </c>
      <c r="Q344" s="1">
        <f t="shared" si="1009"/>
        <v>0.0006689866505</v>
      </c>
      <c r="R344" s="1">
        <f t="shared" ref="R344:T344" si="1010">1/(1+EXP(-O344))</f>
        <v>0.5006463641</v>
      </c>
      <c r="S344" s="1">
        <f t="shared" si="1010"/>
        <v>0.500333953</v>
      </c>
      <c r="T344" s="1">
        <f t="shared" si="1010"/>
        <v>0.5001672467</v>
      </c>
      <c r="U344" s="1">
        <f t="shared" si="11"/>
        <v>2.476258331</v>
      </c>
      <c r="V344" s="1">
        <f t="shared" si="12"/>
        <v>0.2268219982</v>
      </c>
      <c r="W344" s="1">
        <f t="shared" si="13"/>
        <v>2</v>
      </c>
      <c r="X344" s="1">
        <f t="shared" si="14"/>
        <v>0</v>
      </c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ht="15.75" customHeight="1">
      <c r="A345" s="1"/>
      <c r="B345" s="1">
        <v>4.0</v>
      </c>
      <c r="C345" s="1">
        <v>1.0</v>
      </c>
      <c r="D345" s="1">
        <v>1.0</v>
      </c>
      <c r="E345" s="1">
        <v>1.0</v>
      </c>
      <c r="F345" s="1">
        <v>2.0</v>
      </c>
      <c r="G345" s="3">
        <v>1.0</v>
      </c>
      <c r="H345" s="1">
        <v>2.0</v>
      </c>
      <c r="I345" s="1">
        <v>1.0</v>
      </c>
      <c r="J345" s="1">
        <v>1.0</v>
      </c>
      <c r="K345" s="1">
        <v>2.0</v>
      </c>
      <c r="L345" s="1">
        <f t="shared" ref="L345:N345" si="1011">SUMPRODUCT($B345:$J345, INDEX($B$2:$J$4, L$10, 0)) + INDEX($K$2:$K$4, L$10,1)</f>
        <v>8.001062154</v>
      </c>
      <c r="M345" s="1">
        <f t="shared" si="1011"/>
        <v>7.588037275</v>
      </c>
      <c r="N345" s="1">
        <f t="shared" si="1011"/>
        <v>7.716313948</v>
      </c>
      <c r="O345" s="1">
        <f t="shared" ref="O345:Q345" si="1012">(L345-L$7)/(L$6-L$7)</f>
        <v>0.002325839001</v>
      </c>
      <c r="P345" s="1">
        <f t="shared" si="1012"/>
        <v>0.001001860633</v>
      </c>
      <c r="Q345" s="1">
        <f t="shared" si="1012"/>
        <v>0.0005017570206</v>
      </c>
      <c r="R345" s="1">
        <f t="shared" ref="R345:T345" si="1013">1/(1+EXP(-O345))</f>
        <v>0.5005814595</v>
      </c>
      <c r="S345" s="1">
        <f t="shared" si="1013"/>
        <v>0.5002504651</v>
      </c>
      <c r="T345" s="1">
        <f t="shared" si="1013"/>
        <v>0.5001254393</v>
      </c>
      <c r="U345" s="1">
        <f t="shared" si="11"/>
        <v>2.475946115</v>
      </c>
      <c r="V345" s="1">
        <f t="shared" si="12"/>
        <v>0.2265247046</v>
      </c>
      <c r="W345" s="1">
        <f t="shared" si="13"/>
        <v>2</v>
      </c>
      <c r="X345" s="1">
        <f t="shared" si="14"/>
        <v>0</v>
      </c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ht="15.75" customHeight="1">
      <c r="A346" s="1"/>
      <c r="B346" s="1">
        <v>1.0</v>
      </c>
      <c r="C346" s="1">
        <v>1.0</v>
      </c>
      <c r="D346" s="1">
        <v>3.0</v>
      </c>
      <c r="E346" s="1">
        <v>1.0</v>
      </c>
      <c r="F346" s="1">
        <v>2.0</v>
      </c>
      <c r="G346" s="3">
        <v>1.0</v>
      </c>
      <c r="H346" s="1">
        <v>2.0</v>
      </c>
      <c r="I346" s="1">
        <v>1.0</v>
      </c>
      <c r="J346" s="1">
        <v>1.0</v>
      </c>
      <c r="K346" s="1">
        <v>2.0</v>
      </c>
      <c r="L346" s="1">
        <f t="shared" ref="L346:N346" si="1014">SUMPRODUCT($B346:$J346, INDEX($B$2:$J$4, L$10, 0)) + INDEX($K$2:$K$4, L$10,1)</f>
        <v>11.0480138</v>
      </c>
      <c r="M346" s="1">
        <f t="shared" si="1014"/>
        <v>10.07215808</v>
      </c>
      <c r="N346" s="1">
        <f t="shared" si="1014"/>
        <v>10.71782019</v>
      </c>
      <c r="O346" s="1">
        <f t="shared" ref="O346:Q346" si="1015">(L346-L$7)/(L$6-L$7)</f>
        <v>0.05215060924</v>
      </c>
      <c r="P346" s="1">
        <f t="shared" si="1015"/>
        <v>0.04353984288</v>
      </c>
      <c r="Q346" s="1">
        <f t="shared" si="1015"/>
        <v>0.05125921072</v>
      </c>
      <c r="R346" s="1">
        <f t="shared" ref="R346:T346" si="1016">1/(1+EXP(-O346))</f>
        <v>0.5130346983</v>
      </c>
      <c r="S346" s="1">
        <f t="shared" si="1016"/>
        <v>0.5108832415</v>
      </c>
      <c r="T346" s="1">
        <f t="shared" si="1016"/>
        <v>0.5128119975</v>
      </c>
      <c r="U346" s="1">
        <f t="shared" si="11"/>
        <v>2.534971837</v>
      </c>
      <c r="V346" s="1">
        <f t="shared" si="12"/>
        <v>0.2861948659</v>
      </c>
      <c r="W346" s="1">
        <f t="shared" si="13"/>
        <v>2</v>
      </c>
      <c r="X346" s="1">
        <f t="shared" si="14"/>
        <v>0</v>
      </c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ht="15.75" customHeight="1">
      <c r="A347" s="1"/>
      <c r="B347" s="1">
        <v>10.0</v>
      </c>
      <c r="C347" s="1">
        <v>10.0</v>
      </c>
      <c r="D347" s="1">
        <v>10.0</v>
      </c>
      <c r="E347" s="1">
        <v>10.0</v>
      </c>
      <c r="F347" s="1">
        <v>5.0</v>
      </c>
      <c r="G347" s="3">
        <v>10.0</v>
      </c>
      <c r="H347" s="1">
        <v>10.0</v>
      </c>
      <c r="I347" s="1">
        <v>10.0</v>
      </c>
      <c r="J347" s="1">
        <v>7.0</v>
      </c>
      <c r="K347" s="1">
        <v>4.0</v>
      </c>
      <c r="L347" s="1">
        <f t="shared" ref="L347:N347" si="1017">SUMPRODUCT($B347:$J347, INDEX($B$2:$J$4, L$10, 0)) + INDEX($K$2:$K$4, L$10,1)</f>
        <v>68.88875492</v>
      </c>
      <c r="M347" s="1">
        <f t="shared" si="1017"/>
        <v>65.92724034</v>
      </c>
      <c r="N347" s="1">
        <f t="shared" si="1017"/>
        <v>66.82093798</v>
      </c>
      <c r="O347" s="1">
        <f t="shared" ref="O347:Q347" si="1018">(L347-L$7)/(L$6-L$7)</f>
        <v>0.9979817131</v>
      </c>
      <c r="P347" s="1">
        <f t="shared" si="1018"/>
        <v>0.9999999688</v>
      </c>
      <c r="Q347" s="1">
        <f t="shared" si="1018"/>
        <v>1</v>
      </c>
      <c r="R347" s="1">
        <f t="shared" ref="R347:T347" si="1019">1/(1+EXP(-O347))</f>
        <v>0.7306615743</v>
      </c>
      <c r="S347" s="1">
        <f t="shared" si="1019"/>
        <v>0.7310585725</v>
      </c>
      <c r="T347" s="1">
        <f t="shared" si="1019"/>
        <v>0.7310585786</v>
      </c>
      <c r="U347" s="1">
        <f t="shared" si="11"/>
        <v>3.617230305</v>
      </c>
      <c r="V347" s="1">
        <f t="shared" si="12"/>
        <v>0.1465126392</v>
      </c>
      <c r="W347" s="1">
        <f t="shared" si="13"/>
        <v>4</v>
      </c>
      <c r="X347" s="1">
        <f t="shared" si="14"/>
        <v>0</v>
      </c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ht="15.75" customHeight="1">
      <c r="A348" s="1"/>
      <c r="B348" s="1">
        <v>2.0</v>
      </c>
      <c r="C348" s="1">
        <v>1.0</v>
      </c>
      <c r="D348" s="1">
        <v>1.0</v>
      </c>
      <c r="E348" s="1">
        <v>1.0</v>
      </c>
      <c r="F348" s="1">
        <v>2.0</v>
      </c>
      <c r="G348" s="3">
        <v>1.0</v>
      </c>
      <c r="H348" s="1">
        <v>2.0</v>
      </c>
      <c r="I348" s="1">
        <v>1.0</v>
      </c>
      <c r="J348" s="1">
        <v>1.0</v>
      </c>
      <c r="K348" s="1">
        <v>2.0</v>
      </c>
      <c r="L348" s="1">
        <f t="shared" ref="L348:N348" si="1020">SUMPRODUCT($B348:$J348, INDEX($B$2:$J$4, L$10, 0)) + INDEX($K$2:$K$4, L$10,1)</f>
        <v>7.96930902</v>
      </c>
      <c r="M348" s="1">
        <f t="shared" si="1020"/>
        <v>7.549033273</v>
      </c>
      <c r="N348" s="1">
        <f t="shared" si="1020"/>
        <v>7.696535935</v>
      </c>
      <c r="O348" s="1">
        <f t="shared" ref="O348:Q348" si="1021">(L348-L$7)/(L$6-L$7)</f>
        <v>0.001806601159</v>
      </c>
      <c r="P348" s="1">
        <f t="shared" si="1021"/>
        <v>0.0003339577008</v>
      </c>
      <c r="Q348" s="1">
        <f t="shared" si="1021"/>
        <v>0.0001672977608</v>
      </c>
      <c r="R348" s="1">
        <f t="shared" ref="R348:T348" si="1022">1/(1+EXP(-O348))</f>
        <v>0.5004516502</v>
      </c>
      <c r="S348" s="1">
        <f t="shared" si="1022"/>
        <v>0.5000834894</v>
      </c>
      <c r="T348" s="1">
        <f t="shared" si="1022"/>
        <v>0.5000418244</v>
      </c>
      <c r="U348" s="1">
        <f t="shared" si="11"/>
        <v>2.475321683</v>
      </c>
      <c r="V348" s="1">
        <f t="shared" si="12"/>
        <v>0.2259307022</v>
      </c>
      <c r="W348" s="1">
        <f t="shared" si="13"/>
        <v>2</v>
      </c>
      <c r="X348" s="1">
        <f t="shared" si="14"/>
        <v>0</v>
      </c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ht="15.75" customHeight="1">
      <c r="A349" s="1"/>
      <c r="B349" s="1">
        <v>2.0</v>
      </c>
      <c r="C349" s="1">
        <v>1.0</v>
      </c>
      <c r="D349" s="1">
        <v>1.0</v>
      </c>
      <c r="E349" s="1">
        <v>1.0</v>
      </c>
      <c r="F349" s="1">
        <v>3.0</v>
      </c>
      <c r="G349" s="3">
        <v>1.0</v>
      </c>
      <c r="H349" s="1">
        <v>2.0</v>
      </c>
      <c r="I349" s="1">
        <v>1.0</v>
      </c>
      <c r="J349" s="1">
        <v>1.0</v>
      </c>
      <c r="K349" s="1">
        <v>2.0</v>
      </c>
      <c r="L349" s="1">
        <f t="shared" ref="L349:N349" si="1023">SUMPRODUCT($B349:$J349, INDEX($B$2:$J$4, L$10, 0)) + INDEX($K$2:$K$4, L$10,1)</f>
        <v>8.031619445</v>
      </c>
      <c r="M349" s="1">
        <f t="shared" si="1023"/>
        <v>7.549033637</v>
      </c>
      <c r="N349" s="1">
        <f t="shared" si="1023"/>
        <v>7.696535935</v>
      </c>
      <c r="O349" s="1">
        <f t="shared" ref="O349:Q349" si="1024">(L349-L$7)/(L$6-L$7)</f>
        <v>0.002825522013</v>
      </c>
      <c r="P349" s="1">
        <f t="shared" si="1024"/>
        <v>0.0003339639357</v>
      </c>
      <c r="Q349" s="1">
        <f t="shared" si="1024"/>
        <v>0.0001672977608</v>
      </c>
      <c r="R349" s="1">
        <f t="shared" ref="R349:T349" si="1025">1/(1+EXP(-O349))</f>
        <v>0.50070638</v>
      </c>
      <c r="S349" s="1">
        <f t="shared" si="1025"/>
        <v>0.500083491</v>
      </c>
      <c r="T349" s="1">
        <f t="shared" si="1025"/>
        <v>0.5000418244</v>
      </c>
      <c r="U349" s="1">
        <f t="shared" si="11"/>
        <v>2.475724883</v>
      </c>
      <c r="V349" s="1">
        <f t="shared" si="12"/>
        <v>0.2263141647</v>
      </c>
      <c r="W349" s="1">
        <f t="shared" si="13"/>
        <v>2</v>
      </c>
      <c r="X349" s="1">
        <f t="shared" si="14"/>
        <v>0</v>
      </c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ht="15.75" customHeight="1">
      <c r="A350" s="1"/>
      <c r="B350" s="1">
        <v>8.0</v>
      </c>
      <c r="C350" s="1">
        <v>6.0</v>
      </c>
      <c r="D350" s="1">
        <v>4.0</v>
      </c>
      <c r="E350" s="1">
        <v>3.0</v>
      </c>
      <c r="F350" s="1">
        <v>5.0</v>
      </c>
      <c r="G350" s="3">
        <v>9.0</v>
      </c>
      <c r="H350" s="1">
        <v>3.0</v>
      </c>
      <c r="I350" s="1">
        <v>1.0</v>
      </c>
      <c r="J350" s="1">
        <v>1.0</v>
      </c>
      <c r="K350" s="1">
        <v>4.0</v>
      </c>
      <c r="L350" s="1">
        <f t="shared" ref="L350:N350" si="1026">SUMPRODUCT($B350:$J350, INDEX($B$2:$J$4, L$10, 0)) + INDEX($K$2:$K$4, L$10,1)</f>
        <v>46.93364071</v>
      </c>
      <c r="M350" s="1">
        <f t="shared" si="1026"/>
        <v>45.77328118</v>
      </c>
      <c r="N350" s="1">
        <f t="shared" si="1026"/>
        <v>46.02275411</v>
      </c>
      <c r="O350" s="1">
        <f t="shared" ref="O350:Q350" si="1027">(L350-L$7)/(L$6-L$7)</f>
        <v>0.6389643579</v>
      </c>
      <c r="P350" s="1">
        <f t="shared" si="1027"/>
        <v>0.6548844029</v>
      </c>
      <c r="Q350" s="1">
        <f t="shared" si="1027"/>
        <v>0.6482889693</v>
      </c>
      <c r="R350" s="1">
        <f t="shared" ref="R350:T350" si="1028">1/(1+EXP(-O350))</f>
        <v>0.6545193148</v>
      </c>
      <c r="S350" s="1">
        <f t="shared" si="1028"/>
        <v>0.6581103061</v>
      </c>
      <c r="T350" s="1">
        <f t="shared" si="1028"/>
        <v>0.6566247823</v>
      </c>
      <c r="U350" s="1">
        <f t="shared" si="11"/>
        <v>3.248619197</v>
      </c>
      <c r="V350" s="1">
        <f t="shared" si="12"/>
        <v>0.5645731113</v>
      </c>
      <c r="W350" s="1">
        <f t="shared" si="13"/>
        <v>4</v>
      </c>
      <c r="X350" s="1">
        <f t="shared" si="14"/>
        <v>0</v>
      </c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ht="15.75" customHeight="1">
      <c r="A351" s="1"/>
      <c r="B351" s="1">
        <v>8.0</v>
      </c>
      <c r="C351" s="1">
        <v>4.0</v>
      </c>
      <c r="D351" s="1">
        <v>4.0</v>
      </c>
      <c r="E351" s="1">
        <v>1.0</v>
      </c>
      <c r="F351" s="1">
        <v>2.0</v>
      </c>
      <c r="G351" s="3">
        <v>9.0</v>
      </c>
      <c r="H351" s="1">
        <v>3.0</v>
      </c>
      <c r="I351" s="1">
        <v>3.0</v>
      </c>
      <c r="J351" s="1">
        <v>1.0</v>
      </c>
      <c r="K351" s="1">
        <v>4.0</v>
      </c>
      <c r="L351" s="1">
        <f t="shared" ref="L351:N351" si="1029">SUMPRODUCT($B351:$J351, INDEX($B$2:$J$4, L$10, 0)) + INDEX($K$2:$K$4, L$10,1)</f>
        <v>44.06096947</v>
      </c>
      <c r="M351" s="1">
        <f t="shared" si="1029"/>
        <v>43.06091781</v>
      </c>
      <c r="N351" s="1">
        <f t="shared" si="1029"/>
        <v>43.80474422</v>
      </c>
      <c r="O351" s="1">
        <f t="shared" ref="O351:Q351" si="1030">(L351-L$7)/(L$6-L$7)</f>
        <v>0.5919894789</v>
      </c>
      <c r="P351" s="1">
        <f t="shared" si="1030"/>
        <v>0.6084380044</v>
      </c>
      <c r="Q351" s="1">
        <f t="shared" si="1030"/>
        <v>0.6107809566</v>
      </c>
      <c r="R351" s="1">
        <f t="shared" ref="R351:T351" si="1031">1/(1+EXP(-O351))</f>
        <v>0.6438214942</v>
      </c>
      <c r="S351" s="1">
        <f t="shared" si="1031"/>
        <v>0.6475844075</v>
      </c>
      <c r="T351" s="1">
        <f t="shared" si="1031"/>
        <v>0.6481189283</v>
      </c>
      <c r="U351" s="1">
        <f t="shared" si="11"/>
        <v>3.199723445</v>
      </c>
      <c r="V351" s="1">
        <f t="shared" si="12"/>
        <v>0.6404425643</v>
      </c>
      <c r="W351" s="1">
        <f t="shared" si="13"/>
        <v>4</v>
      </c>
      <c r="X351" s="1">
        <f t="shared" si="14"/>
        <v>0</v>
      </c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ht="15.75" customHeight="1">
      <c r="A352" s="1"/>
      <c r="B352" s="1">
        <v>5.0</v>
      </c>
      <c r="C352" s="1">
        <v>7.0</v>
      </c>
      <c r="D352" s="1">
        <v>7.0</v>
      </c>
      <c r="E352" s="1">
        <v>1.0</v>
      </c>
      <c r="F352" s="1">
        <v>5.0</v>
      </c>
      <c r="G352" s="3">
        <v>8.0</v>
      </c>
      <c r="H352" s="1">
        <v>3.0</v>
      </c>
      <c r="I352" s="1">
        <v>4.0</v>
      </c>
      <c r="J352" s="1">
        <v>1.0</v>
      </c>
      <c r="K352" s="1">
        <v>2.0</v>
      </c>
      <c r="L352" s="1">
        <f t="shared" ref="L352:N352" si="1032">SUMPRODUCT($B352:$J352, INDEX($B$2:$J$4, L$10, 0)) + INDEX($K$2:$K$4, L$10,1)</f>
        <v>50.66719242</v>
      </c>
      <c r="M352" s="1">
        <f t="shared" si="1032"/>
        <v>48.80001113</v>
      </c>
      <c r="N352" s="1">
        <f t="shared" si="1032"/>
        <v>49.50689217</v>
      </c>
      <c r="O352" s="1">
        <f t="shared" ref="O352:Q352" si="1033">(L352-L$7)/(L$6-L$7)</f>
        <v>0.7000166414</v>
      </c>
      <c r="P352" s="1">
        <f t="shared" si="1033"/>
        <v>0.7067140018</v>
      </c>
      <c r="Q352" s="1">
        <f t="shared" si="1033"/>
        <v>0.7072080458</v>
      </c>
      <c r="R352" s="1">
        <f t="shared" ref="R352:T352" si="1034">1/(1+EXP(-O352))</f>
        <v>0.6681914618</v>
      </c>
      <c r="S352" s="1">
        <f t="shared" si="1034"/>
        <v>0.6696746682</v>
      </c>
      <c r="T352" s="1">
        <f t="shared" si="1034"/>
        <v>0.6697839467</v>
      </c>
      <c r="U352" s="1">
        <f t="shared" si="11"/>
        <v>3.311922212</v>
      </c>
      <c r="V352" s="1">
        <f t="shared" si="12"/>
        <v>1.721139891</v>
      </c>
      <c r="W352" s="1">
        <f t="shared" si="13"/>
        <v>4</v>
      </c>
      <c r="X352" s="1">
        <f t="shared" si="14"/>
        <v>1</v>
      </c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ht="15.75" customHeight="1">
      <c r="A353" s="1"/>
      <c r="B353" s="1">
        <v>2.0</v>
      </c>
      <c r="C353" s="1">
        <v>1.0</v>
      </c>
      <c r="D353" s="1">
        <v>1.0</v>
      </c>
      <c r="E353" s="1">
        <v>1.0</v>
      </c>
      <c r="F353" s="1">
        <v>2.0</v>
      </c>
      <c r="G353" s="3">
        <v>1.0</v>
      </c>
      <c r="H353" s="1">
        <v>1.0</v>
      </c>
      <c r="I353" s="1">
        <v>1.0</v>
      </c>
      <c r="J353" s="1">
        <v>1.0</v>
      </c>
      <c r="K353" s="1">
        <v>2.0</v>
      </c>
      <c r="L353" s="1">
        <f t="shared" ref="L353:N353" si="1035">SUMPRODUCT($B353:$J353, INDEX($B$2:$J$4, L$10, 0)) + INDEX($K$2:$K$4, L$10,1)</f>
        <v>7.937016298</v>
      </c>
      <c r="M353" s="1">
        <f t="shared" si="1035"/>
        <v>7.549033273</v>
      </c>
      <c r="N353" s="1">
        <f t="shared" si="1035"/>
        <v>7.696531906</v>
      </c>
      <c r="O353" s="1">
        <f t="shared" ref="O353:Q353" si="1036">(L353-L$7)/(L$6-L$7)</f>
        <v>0.001278539775</v>
      </c>
      <c r="P353" s="1">
        <f t="shared" si="1036"/>
        <v>0.0003339577008</v>
      </c>
      <c r="Q353" s="1">
        <f t="shared" si="1036"/>
        <v>0.0001672296299</v>
      </c>
      <c r="R353" s="1">
        <f t="shared" ref="R353:T353" si="1037">1/(1+EXP(-O353))</f>
        <v>0.5003196349</v>
      </c>
      <c r="S353" s="1">
        <f t="shared" si="1037"/>
        <v>0.5000834894</v>
      </c>
      <c r="T353" s="1">
        <f t="shared" si="1037"/>
        <v>0.5000418074</v>
      </c>
      <c r="U353" s="1">
        <f t="shared" si="11"/>
        <v>2.475112694</v>
      </c>
      <c r="V353" s="1">
        <f t="shared" si="12"/>
        <v>0.2257320719</v>
      </c>
      <c r="W353" s="1">
        <f t="shared" si="13"/>
        <v>2</v>
      </c>
      <c r="X353" s="1">
        <f t="shared" si="14"/>
        <v>0</v>
      </c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ht="15.75" customHeight="1">
      <c r="A354" s="1"/>
      <c r="B354" s="1">
        <v>1.0</v>
      </c>
      <c r="C354" s="1">
        <v>1.0</v>
      </c>
      <c r="D354" s="1">
        <v>1.0</v>
      </c>
      <c r="E354" s="1">
        <v>1.0</v>
      </c>
      <c r="F354" s="1">
        <v>1.0</v>
      </c>
      <c r="G354" s="3">
        <v>1.0</v>
      </c>
      <c r="H354" s="1">
        <v>1.0</v>
      </c>
      <c r="I354" s="1">
        <v>1.0</v>
      </c>
      <c r="J354" s="1">
        <v>1.0</v>
      </c>
      <c r="K354" s="1">
        <v>2.0</v>
      </c>
      <c r="L354" s="1">
        <f t="shared" ref="L354:N354" si="1038">SUMPRODUCT($B354:$J354, INDEX($B$2:$J$4, L$10, 0)) + INDEX($K$2:$K$4, L$10,1)</f>
        <v>7.858829306</v>
      </c>
      <c r="M354" s="1">
        <f t="shared" si="1038"/>
        <v>7.529530907</v>
      </c>
      <c r="N354" s="1">
        <f t="shared" si="1038"/>
        <v>7.6866429</v>
      </c>
      <c r="O354" s="1">
        <f t="shared" ref="O354:Q354" si="1039">(L354-L$7)/(L$6-L$7)</f>
        <v>0</v>
      </c>
      <c r="P354" s="1">
        <f t="shared" si="1039"/>
        <v>0</v>
      </c>
      <c r="Q354" s="1">
        <f t="shared" si="1039"/>
        <v>0</v>
      </c>
      <c r="R354" s="1">
        <f t="shared" ref="R354:T354" si="1040">1/(1+EXP(-O354))</f>
        <v>0.5</v>
      </c>
      <c r="S354" s="1">
        <f t="shared" si="1040"/>
        <v>0.5</v>
      </c>
      <c r="T354" s="1">
        <f t="shared" si="1040"/>
        <v>0.5</v>
      </c>
      <c r="U354" s="1">
        <f t="shared" si="11"/>
        <v>2.474397276</v>
      </c>
      <c r="V354" s="1">
        <f t="shared" si="12"/>
        <v>0.2250527759</v>
      </c>
      <c r="W354" s="1">
        <f t="shared" si="13"/>
        <v>2</v>
      </c>
      <c r="X354" s="1">
        <f t="shared" si="14"/>
        <v>0</v>
      </c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ht="15.75" customHeight="1">
      <c r="A355" s="1"/>
      <c r="B355" s="1">
        <v>3.0</v>
      </c>
      <c r="C355" s="1">
        <v>1.0</v>
      </c>
      <c r="D355" s="1">
        <v>1.0</v>
      </c>
      <c r="E355" s="1">
        <v>1.0</v>
      </c>
      <c r="F355" s="1">
        <v>2.0</v>
      </c>
      <c r="G355" s="3">
        <v>1.0</v>
      </c>
      <c r="H355" s="1">
        <v>2.0</v>
      </c>
      <c r="I355" s="1">
        <v>1.0</v>
      </c>
      <c r="J355" s="1">
        <v>1.0</v>
      </c>
      <c r="K355" s="1">
        <v>2.0</v>
      </c>
      <c r="L355" s="1">
        <f t="shared" ref="L355:N355" si="1041">SUMPRODUCT($B355:$J355, INDEX($B$2:$J$4, L$10, 0)) + INDEX($K$2:$K$4, L$10,1)</f>
        <v>7.985185587</v>
      </c>
      <c r="M355" s="1">
        <f t="shared" si="1041"/>
        <v>7.568535274</v>
      </c>
      <c r="N355" s="1">
        <f t="shared" si="1041"/>
        <v>7.706424942</v>
      </c>
      <c r="O355" s="1">
        <f t="shared" ref="O355:Q355" si="1042">(L355-L$7)/(L$6-L$7)</f>
        <v>0.00206622008</v>
      </c>
      <c r="P355" s="1">
        <f t="shared" si="1042"/>
        <v>0.0006679091667</v>
      </c>
      <c r="Q355" s="1">
        <f t="shared" si="1042"/>
        <v>0.0003345273907</v>
      </c>
      <c r="R355" s="1">
        <f t="shared" ref="R355:T355" si="1043">1/(1+EXP(-O355))</f>
        <v>0.5005165548</v>
      </c>
      <c r="S355" s="1">
        <f t="shared" si="1043"/>
        <v>0.5001669773</v>
      </c>
      <c r="T355" s="1">
        <f t="shared" si="1043"/>
        <v>0.5000836318</v>
      </c>
      <c r="U355" s="1">
        <f t="shared" si="11"/>
        <v>2.475633899</v>
      </c>
      <c r="V355" s="1">
        <f t="shared" si="12"/>
        <v>0.226227606</v>
      </c>
      <c r="W355" s="1">
        <f t="shared" si="13"/>
        <v>2</v>
      </c>
      <c r="X355" s="1">
        <f t="shared" si="14"/>
        <v>0</v>
      </c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ht="15.75" customHeight="1">
      <c r="A356" s="1"/>
      <c r="B356" s="1">
        <v>5.0</v>
      </c>
      <c r="C356" s="1">
        <v>1.0</v>
      </c>
      <c r="D356" s="1">
        <v>1.0</v>
      </c>
      <c r="E356" s="1">
        <v>1.0</v>
      </c>
      <c r="F356" s="1">
        <v>2.0</v>
      </c>
      <c r="G356" s="3">
        <v>1.0</v>
      </c>
      <c r="H356" s="1">
        <v>3.0</v>
      </c>
      <c r="I356" s="1">
        <v>1.0</v>
      </c>
      <c r="J356" s="1">
        <v>1.0</v>
      </c>
      <c r="K356" s="1">
        <v>2.0</v>
      </c>
      <c r="L356" s="1">
        <f t="shared" ref="L356:N356" si="1044">SUMPRODUCT($B356:$J356, INDEX($B$2:$J$4, L$10, 0)) + INDEX($K$2:$K$4, L$10,1)</f>
        <v>8.049231444</v>
      </c>
      <c r="M356" s="1">
        <f t="shared" si="1044"/>
        <v>7.607539277</v>
      </c>
      <c r="N356" s="1">
        <f t="shared" si="1044"/>
        <v>7.726206983</v>
      </c>
      <c r="O356" s="1">
        <f t="shared" ref="O356:Q356" si="1045">(L356-L$7)/(L$6-L$7)</f>
        <v>0.003113519306</v>
      </c>
      <c r="P356" s="1">
        <f t="shared" si="1045"/>
        <v>0.001335812098</v>
      </c>
      <c r="Q356" s="1">
        <f t="shared" si="1045"/>
        <v>0.0006690547814</v>
      </c>
      <c r="R356" s="1">
        <f t="shared" ref="R356:T356" si="1046">1/(1+EXP(-O356))</f>
        <v>0.5007783792</v>
      </c>
      <c r="S356" s="1">
        <f t="shared" si="1046"/>
        <v>0.500333953</v>
      </c>
      <c r="T356" s="1">
        <f t="shared" si="1046"/>
        <v>0.5001672637</v>
      </c>
      <c r="U356" s="1">
        <f t="shared" si="11"/>
        <v>2.47646732</v>
      </c>
      <c r="V356" s="1">
        <f t="shared" si="12"/>
        <v>0.2270211071</v>
      </c>
      <c r="W356" s="1">
        <f t="shared" si="13"/>
        <v>2</v>
      </c>
      <c r="X356" s="1">
        <f t="shared" si="14"/>
        <v>0</v>
      </c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ht="15.75" customHeight="1">
      <c r="A357" s="1"/>
      <c r="B357" s="1">
        <v>3.0</v>
      </c>
      <c r="C357" s="1">
        <v>1.0</v>
      </c>
      <c r="D357" s="1">
        <v>1.0</v>
      </c>
      <c r="E357" s="1">
        <v>1.0</v>
      </c>
      <c r="F357" s="1">
        <v>2.0</v>
      </c>
      <c r="G357" s="3">
        <v>1.0</v>
      </c>
      <c r="H357" s="1">
        <v>2.0</v>
      </c>
      <c r="I357" s="1">
        <v>1.0</v>
      </c>
      <c r="J357" s="1">
        <v>1.0</v>
      </c>
      <c r="K357" s="1">
        <v>2.0</v>
      </c>
      <c r="L357" s="1">
        <f t="shared" ref="L357:N357" si="1047">SUMPRODUCT($B357:$J357, INDEX($B$2:$J$4, L$10, 0)) + INDEX($K$2:$K$4, L$10,1)</f>
        <v>7.985185587</v>
      </c>
      <c r="M357" s="1">
        <f t="shared" si="1047"/>
        <v>7.568535274</v>
      </c>
      <c r="N357" s="1">
        <f t="shared" si="1047"/>
        <v>7.706424942</v>
      </c>
      <c r="O357" s="1">
        <f t="shared" ref="O357:Q357" si="1048">(L357-L$7)/(L$6-L$7)</f>
        <v>0.00206622008</v>
      </c>
      <c r="P357" s="1">
        <f t="shared" si="1048"/>
        <v>0.0006679091667</v>
      </c>
      <c r="Q357" s="1">
        <f t="shared" si="1048"/>
        <v>0.0003345273907</v>
      </c>
      <c r="R357" s="1">
        <f t="shared" ref="R357:T357" si="1049">1/(1+EXP(-O357))</f>
        <v>0.5005165548</v>
      </c>
      <c r="S357" s="1">
        <f t="shared" si="1049"/>
        <v>0.5001669773</v>
      </c>
      <c r="T357" s="1">
        <f t="shared" si="1049"/>
        <v>0.5000836318</v>
      </c>
      <c r="U357" s="1">
        <f t="shared" si="11"/>
        <v>2.475633899</v>
      </c>
      <c r="V357" s="1">
        <f t="shared" si="12"/>
        <v>0.226227606</v>
      </c>
      <c r="W357" s="1">
        <f t="shared" si="13"/>
        <v>2</v>
      </c>
      <c r="X357" s="1">
        <f t="shared" si="14"/>
        <v>0</v>
      </c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ht="15.75" customHeight="1">
      <c r="A358" s="1"/>
      <c r="B358" s="1">
        <v>1.0</v>
      </c>
      <c r="C358" s="1">
        <v>2.0</v>
      </c>
      <c r="D358" s="1">
        <v>1.0</v>
      </c>
      <c r="E358" s="1">
        <v>3.0</v>
      </c>
      <c r="F358" s="1">
        <v>2.0</v>
      </c>
      <c r="G358" s="3">
        <v>1.0</v>
      </c>
      <c r="H358" s="1">
        <v>2.0</v>
      </c>
      <c r="I358" s="1">
        <v>1.0</v>
      </c>
      <c r="J358" s="1">
        <v>1.0</v>
      </c>
      <c r="K358" s="1">
        <v>2.0</v>
      </c>
      <c r="L358" s="1">
        <f t="shared" ref="L358:N358" si="1050">SUMPRODUCT($B358:$J358, INDEX($B$2:$J$4, L$10, 0)) + INDEX($K$2:$K$4, L$10,1)</f>
        <v>9.612987296</v>
      </c>
      <c r="M358" s="1">
        <f t="shared" si="1050"/>
        <v>9.178504456</v>
      </c>
      <c r="N358" s="1">
        <f t="shared" si="1050"/>
        <v>9.098854745</v>
      </c>
      <c r="O358" s="1">
        <f t="shared" ref="O358:Q358" si="1051">(L358-L$7)/(L$6-L$7)</f>
        <v>0.02868457692</v>
      </c>
      <c r="P358" s="1">
        <f t="shared" si="1051"/>
        <v>0.02823695507</v>
      </c>
      <c r="Q358" s="1">
        <f t="shared" si="1051"/>
        <v>0.02388143534</v>
      </c>
      <c r="R358" s="1">
        <f t="shared" ref="R358:T358" si="1052">1/(1+EXP(-O358))</f>
        <v>0.5071706526</v>
      </c>
      <c r="S358" s="1">
        <f t="shared" si="1052"/>
        <v>0.5070587698</v>
      </c>
      <c r="T358" s="1">
        <f t="shared" si="1052"/>
        <v>0.5059700751</v>
      </c>
      <c r="U358" s="1">
        <f t="shared" si="11"/>
        <v>2.507638308</v>
      </c>
      <c r="V358" s="1">
        <f t="shared" si="12"/>
        <v>0.2576966521</v>
      </c>
      <c r="W358" s="1">
        <f t="shared" si="13"/>
        <v>2</v>
      </c>
      <c r="X358" s="1">
        <f t="shared" si="14"/>
        <v>0</v>
      </c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ht="15.75" customHeight="1">
      <c r="A359" s="1"/>
      <c r="B359" s="1">
        <v>5.0</v>
      </c>
      <c r="C359" s="1">
        <v>1.0</v>
      </c>
      <c r="D359" s="1">
        <v>1.0</v>
      </c>
      <c r="E359" s="1">
        <v>1.0</v>
      </c>
      <c r="F359" s="1">
        <v>2.0</v>
      </c>
      <c r="G359" s="3">
        <v>1.0</v>
      </c>
      <c r="H359" s="1">
        <v>2.0</v>
      </c>
      <c r="I359" s="1">
        <v>2.0</v>
      </c>
      <c r="J359" s="1">
        <v>1.0</v>
      </c>
      <c r="K359" s="1">
        <v>2.0</v>
      </c>
      <c r="L359" s="1">
        <f t="shared" ref="L359:N359" si="1053">SUMPRODUCT($B359:$J359, INDEX($B$2:$J$4, L$10, 0)) + INDEX($K$2:$K$4, L$10,1)</f>
        <v>8.301557982</v>
      </c>
      <c r="M359" s="1">
        <f t="shared" si="1053"/>
        <v>7.900331323</v>
      </c>
      <c r="N359" s="1">
        <f t="shared" si="1053"/>
        <v>8.026607561</v>
      </c>
      <c r="O359" s="1">
        <f t="shared" ref="O359:Q359" si="1054">(L359-L$7)/(L$6-L$7)</f>
        <v>0.007239647069</v>
      </c>
      <c r="P359" s="1">
        <f t="shared" si="1054"/>
        <v>0.006349571029</v>
      </c>
      <c r="Q359" s="1">
        <f t="shared" si="1054"/>
        <v>0.005749027036</v>
      </c>
      <c r="R359" s="1">
        <f t="shared" ref="R359:T359" si="1055">1/(1+EXP(-O359))</f>
        <v>0.5018099039</v>
      </c>
      <c r="S359" s="1">
        <f t="shared" si="1055"/>
        <v>0.5015873874</v>
      </c>
      <c r="T359" s="1">
        <f t="shared" si="1055"/>
        <v>0.5014372528</v>
      </c>
      <c r="U359" s="1">
        <f t="shared" si="11"/>
        <v>2.482347473</v>
      </c>
      <c r="V359" s="1">
        <f t="shared" si="12"/>
        <v>0.2326590843</v>
      </c>
      <c r="W359" s="1">
        <f t="shared" si="13"/>
        <v>2</v>
      </c>
      <c r="X359" s="1">
        <f t="shared" si="14"/>
        <v>0</v>
      </c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ht="15.75" customHeight="1">
      <c r="A360" s="1"/>
      <c r="B360" s="1">
        <v>1.0</v>
      </c>
      <c r="C360" s="1">
        <v>1.0</v>
      </c>
      <c r="D360" s="1">
        <v>1.0</v>
      </c>
      <c r="E360" s="1">
        <v>3.0</v>
      </c>
      <c r="F360" s="1">
        <v>2.0</v>
      </c>
      <c r="G360" s="3">
        <v>1.0</v>
      </c>
      <c r="H360" s="1">
        <v>1.0</v>
      </c>
      <c r="I360" s="1">
        <v>1.0</v>
      </c>
      <c r="J360" s="1">
        <v>1.0</v>
      </c>
      <c r="K360" s="1">
        <v>2.0</v>
      </c>
      <c r="L360" s="1">
        <f t="shared" ref="L360:N360" si="1056">SUMPRODUCT($B360:$J360, INDEX($B$2:$J$4, L$10, 0)) + INDEX($K$2:$K$4, L$10,1)</f>
        <v>7.985270923</v>
      </c>
      <c r="M360" s="1">
        <f t="shared" si="1056"/>
        <v>7.529531272</v>
      </c>
      <c r="N360" s="1">
        <f t="shared" si="1056"/>
        <v>7.692239427</v>
      </c>
      <c r="O360" s="1">
        <f t="shared" ref="O360:Q360" si="1057">(L360-L$7)/(L$6-L$7)</f>
        <v>0.002067615521</v>
      </c>
      <c r="P360" s="1">
        <f t="shared" si="1057"/>
        <v>0.000000006234892308</v>
      </c>
      <c r="Q360" s="1">
        <f t="shared" si="1057"/>
        <v>0.00009464095937</v>
      </c>
      <c r="R360" s="1">
        <f t="shared" ref="R360:T360" si="1058">1/(1+EXP(-O360))</f>
        <v>0.5005169037</v>
      </c>
      <c r="S360" s="1">
        <f t="shared" si="1058"/>
        <v>0.5000000016</v>
      </c>
      <c r="T360" s="1">
        <f t="shared" si="1058"/>
        <v>0.5000236602</v>
      </c>
      <c r="U360" s="1">
        <f t="shared" si="11"/>
        <v>2.475256064</v>
      </c>
      <c r="V360" s="1">
        <f t="shared" si="12"/>
        <v>0.2258683267</v>
      </c>
      <c r="W360" s="1">
        <f t="shared" si="13"/>
        <v>2</v>
      </c>
      <c r="X360" s="1">
        <f t="shared" si="14"/>
        <v>0</v>
      </c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ht="15.75" customHeight="1">
      <c r="A361" s="1"/>
      <c r="B361" s="1">
        <v>6.0</v>
      </c>
      <c r="C361" s="1">
        <v>2.0</v>
      </c>
      <c r="D361" s="1">
        <v>1.0</v>
      </c>
      <c r="E361" s="1">
        <v>1.0</v>
      </c>
      <c r="F361" s="1">
        <v>1.0</v>
      </c>
      <c r="G361" s="3">
        <v>1.0</v>
      </c>
      <c r="H361" s="1">
        <v>7.0</v>
      </c>
      <c r="I361" s="1">
        <v>1.0</v>
      </c>
      <c r="J361" s="1">
        <v>1.0</v>
      </c>
      <c r="K361" s="1">
        <v>2.0</v>
      </c>
      <c r="L361" s="1">
        <f t="shared" ref="L361:N361" si="1059">SUMPRODUCT($B361:$J361, INDEX($B$2:$J$4, L$10, 0)) + INDEX($K$2:$K$4, L$10,1)</f>
        <v>9.727392129</v>
      </c>
      <c r="M361" s="1">
        <f t="shared" si="1059"/>
        <v>9.276014098</v>
      </c>
      <c r="N361" s="1">
        <f t="shared" si="1059"/>
        <v>9.142723394</v>
      </c>
      <c r="O361" s="1">
        <f t="shared" ref="O361:Q361" si="1060">(L361-L$7)/(L$6-L$7)</f>
        <v>0.03055536293</v>
      </c>
      <c r="P361" s="1">
        <f t="shared" si="1060"/>
        <v>0.02990670616</v>
      </c>
      <c r="Q361" s="1">
        <f t="shared" si="1060"/>
        <v>0.02462328319</v>
      </c>
      <c r="R361" s="1">
        <f t="shared" ref="R361:T361" si="1061">1/(1+EXP(-O361))</f>
        <v>0.5076382465</v>
      </c>
      <c r="S361" s="1">
        <f t="shared" si="1061"/>
        <v>0.5074761193</v>
      </c>
      <c r="T361" s="1">
        <f t="shared" si="1061"/>
        <v>0.5061555098</v>
      </c>
      <c r="U361" s="1">
        <f t="shared" si="11"/>
        <v>2.509385193</v>
      </c>
      <c r="V361" s="1">
        <f t="shared" si="12"/>
        <v>0.2594732746</v>
      </c>
      <c r="W361" s="1">
        <f t="shared" si="13"/>
        <v>2</v>
      </c>
      <c r="X361" s="1">
        <f t="shared" si="14"/>
        <v>0</v>
      </c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ht="15.75" customHeight="1">
      <c r="A362" s="1"/>
      <c r="B362" s="1">
        <v>3.0</v>
      </c>
      <c r="C362" s="1">
        <v>7.0</v>
      </c>
      <c r="D362" s="1">
        <v>7.0</v>
      </c>
      <c r="E362" s="1">
        <v>4.0</v>
      </c>
      <c r="F362" s="1">
        <v>4.0</v>
      </c>
      <c r="G362" s="3">
        <v>9.0</v>
      </c>
      <c r="H362" s="1">
        <v>4.0</v>
      </c>
      <c r="I362" s="1">
        <v>8.0</v>
      </c>
      <c r="J362" s="1">
        <v>1.0</v>
      </c>
      <c r="K362" s="1">
        <v>4.0</v>
      </c>
      <c r="L362" s="1">
        <f t="shared" ref="L362:N362" si="1062">SUMPRODUCT($B362:$J362, INDEX($B$2:$J$4, L$10, 0)) + INDEX($K$2:$K$4, L$10,1)</f>
        <v>55.08593627</v>
      </c>
      <c r="M362" s="1">
        <f t="shared" si="1062"/>
        <v>53.18822853</v>
      </c>
      <c r="N362" s="1">
        <f t="shared" si="1062"/>
        <v>54.03231481</v>
      </c>
      <c r="O362" s="1">
        <f t="shared" ref="O362:Q362" si="1063">(L362-L$7)/(L$6-L$7)</f>
        <v>0.7722734157</v>
      </c>
      <c r="P362" s="1">
        <f t="shared" si="1063"/>
        <v>0.7818576557</v>
      </c>
      <c r="Q362" s="1">
        <f t="shared" si="1063"/>
        <v>0.7837359326</v>
      </c>
      <c r="R362" s="1">
        <f t="shared" ref="R362:T362" si="1064">1/(1+EXP(-O362))</f>
        <v>0.6840124739</v>
      </c>
      <c r="S362" s="1">
        <f t="shared" si="1064"/>
        <v>0.6860803431</v>
      </c>
      <c r="T362" s="1">
        <f t="shared" si="1064"/>
        <v>0.6864847339</v>
      </c>
      <c r="U362" s="1">
        <f t="shared" si="11"/>
        <v>3.39269158</v>
      </c>
      <c r="V362" s="1">
        <f t="shared" si="12"/>
        <v>0.3688235173</v>
      </c>
      <c r="W362" s="1">
        <f t="shared" si="13"/>
        <v>4</v>
      </c>
      <c r="X362" s="1">
        <f t="shared" si="14"/>
        <v>0</v>
      </c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ht="15.75" customHeight="1">
      <c r="A363" s="1"/>
      <c r="B363" s="1">
        <v>5.0</v>
      </c>
      <c r="C363" s="1">
        <v>3.0</v>
      </c>
      <c r="D363" s="1">
        <v>3.0</v>
      </c>
      <c r="E363" s="1">
        <v>4.0</v>
      </c>
      <c r="F363" s="1">
        <v>2.0</v>
      </c>
      <c r="G363" s="3">
        <v>4.0</v>
      </c>
      <c r="H363" s="1">
        <v>3.0</v>
      </c>
      <c r="I363" s="1">
        <v>4.0</v>
      </c>
      <c r="J363" s="1">
        <v>1.0</v>
      </c>
      <c r="K363" s="1">
        <v>4.0</v>
      </c>
      <c r="L363" s="1">
        <f t="shared" ref="L363:N363" si="1065">SUMPRODUCT($B363:$J363, INDEX($B$2:$J$4, L$10, 0)) + INDEX($K$2:$K$4, L$10,1)</f>
        <v>25.02223722</v>
      </c>
      <c r="M363" s="1">
        <f t="shared" si="1065"/>
        <v>24.09464934</v>
      </c>
      <c r="N363" s="1">
        <f t="shared" si="1065"/>
        <v>24.48576165</v>
      </c>
      <c r="O363" s="1">
        <f t="shared" ref="O363:Q363" si="1066">(L363-L$7)/(L$6-L$7)</f>
        <v>0.2806617748</v>
      </c>
      <c r="P363" s="1">
        <f t="shared" si="1066"/>
        <v>0.2836604052</v>
      </c>
      <c r="Q363" s="1">
        <f t="shared" si="1066"/>
        <v>0.2840841973</v>
      </c>
      <c r="R363" s="1">
        <f t="shared" ref="R363:T363" si="1067">1/(1+EXP(-O363))</f>
        <v>0.5697084594</v>
      </c>
      <c r="S363" s="1">
        <f t="shared" si="1067"/>
        <v>0.5704433916</v>
      </c>
      <c r="T363" s="1">
        <f t="shared" si="1067"/>
        <v>0.5705472336</v>
      </c>
      <c r="U363" s="1">
        <f t="shared" si="11"/>
        <v>2.822022083</v>
      </c>
      <c r="V363" s="1">
        <f t="shared" si="12"/>
        <v>1.387631973</v>
      </c>
      <c r="W363" s="1">
        <f t="shared" si="13"/>
        <v>4</v>
      </c>
      <c r="X363" s="1">
        <f t="shared" si="14"/>
        <v>0</v>
      </c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ht="15.75" customHeight="1">
      <c r="A364" s="1"/>
      <c r="B364" s="1">
        <v>3.0</v>
      </c>
      <c r="C364" s="1">
        <v>1.0</v>
      </c>
      <c r="D364" s="1">
        <v>1.0</v>
      </c>
      <c r="E364" s="1">
        <v>1.0</v>
      </c>
      <c r="F364" s="1">
        <v>2.0</v>
      </c>
      <c r="G364" s="3">
        <v>2.0</v>
      </c>
      <c r="H364" s="1">
        <v>7.0</v>
      </c>
      <c r="I364" s="1">
        <v>1.0</v>
      </c>
      <c r="J364" s="1">
        <v>1.0</v>
      </c>
      <c r="K364" s="1">
        <v>2.0</v>
      </c>
      <c r="L364" s="1">
        <f t="shared" ref="L364:N364" si="1068">SUMPRODUCT($B364:$J364, INDEX($B$2:$J$4, L$10, 0)) + INDEX($K$2:$K$4, L$10,1)</f>
        <v>11.39249006</v>
      </c>
      <c r="M364" s="1">
        <f t="shared" si="1068"/>
        <v>10.82458886</v>
      </c>
      <c r="N364" s="1">
        <f t="shared" si="1068"/>
        <v>11.04162849</v>
      </c>
      <c r="O364" s="1">
        <f t="shared" ref="O364:Q364" si="1069">(L364-L$7)/(L$6-L$7)</f>
        <v>0.05778359999</v>
      </c>
      <c r="P364" s="1">
        <f t="shared" si="1069"/>
        <v>0.05642443649</v>
      </c>
      <c r="Q364" s="1">
        <f t="shared" si="1069"/>
        <v>0.05673502299</v>
      </c>
      <c r="R364" s="1">
        <f t="shared" ref="R364:T364" si="1070">1/(1+EXP(-O364))</f>
        <v>0.5144418818</v>
      </c>
      <c r="S364" s="1">
        <f t="shared" si="1070"/>
        <v>0.5141023678</v>
      </c>
      <c r="T364" s="1">
        <f t="shared" si="1070"/>
        <v>0.5141799523</v>
      </c>
      <c r="U364" s="1">
        <f t="shared" si="11"/>
        <v>2.544857549</v>
      </c>
      <c r="V364" s="1">
        <f t="shared" si="12"/>
        <v>0.2968697492</v>
      </c>
      <c r="W364" s="1">
        <f t="shared" si="13"/>
        <v>2</v>
      </c>
      <c r="X364" s="1">
        <f t="shared" si="14"/>
        <v>0</v>
      </c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ht="15.75" customHeight="1">
      <c r="A365" s="1"/>
      <c r="B365" s="1">
        <v>1.0</v>
      </c>
      <c r="C365" s="1">
        <v>1.0</v>
      </c>
      <c r="D365" s="1">
        <v>1.0</v>
      </c>
      <c r="E365" s="1">
        <v>1.0</v>
      </c>
      <c r="F365" s="1">
        <v>2.0</v>
      </c>
      <c r="G365" s="3">
        <v>1.0</v>
      </c>
      <c r="H365" s="1">
        <v>2.0</v>
      </c>
      <c r="I365" s="1">
        <v>1.0</v>
      </c>
      <c r="J365" s="1">
        <v>1.0</v>
      </c>
      <c r="K365" s="1">
        <v>2.0</v>
      </c>
      <c r="L365" s="1">
        <f t="shared" ref="L365:N365" si="1071">SUMPRODUCT($B365:$J365, INDEX($B$2:$J$4, L$10, 0)) + INDEX($K$2:$K$4, L$10,1)</f>
        <v>7.953432454</v>
      </c>
      <c r="M365" s="1">
        <f t="shared" si="1071"/>
        <v>7.529531272</v>
      </c>
      <c r="N365" s="1">
        <f t="shared" si="1071"/>
        <v>7.686646929</v>
      </c>
      <c r="O365" s="1">
        <f t="shared" ref="O365:Q365" si="1072">(L365-L$7)/(L$6-L$7)</f>
        <v>0.001546982238</v>
      </c>
      <c r="P365" s="1">
        <f t="shared" si="1072"/>
        <v>0.000000006234892308</v>
      </c>
      <c r="Q365" s="1">
        <f t="shared" si="1072"/>
        <v>0.00000006813089816</v>
      </c>
      <c r="R365" s="1">
        <f t="shared" ref="R365:T365" si="1073">1/(1+EXP(-O365))</f>
        <v>0.5003867455</v>
      </c>
      <c r="S365" s="1">
        <f t="shared" si="1073"/>
        <v>0.5000000016</v>
      </c>
      <c r="T365" s="1">
        <f t="shared" si="1073"/>
        <v>0.500000017</v>
      </c>
      <c r="U365" s="1">
        <f t="shared" si="11"/>
        <v>2.475009467</v>
      </c>
      <c r="V365" s="1">
        <f t="shared" si="12"/>
        <v>0.2256339933</v>
      </c>
      <c r="W365" s="1">
        <f t="shared" si="13"/>
        <v>2</v>
      </c>
      <c r="X365" s="1">
        <f t="shared" si="14"/>
        <v>0</v>
      </c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ht="15.75" customHeight="1">
      <c r="A366" s="1"/>
      <c r="B366" s="1">
        <v>3.0</v>
      </c>
      <c r="C366" s="1">
        <v>1.0</v>
      </c>
      <c r="D366" s="1">
        <v>1.0</v>
      </c>
      <c r="E366" s="1">
        <v>1.0</v>
      </c>
      <c r="F366" s="1">
        <v>2.0</v>
      </c>
      <c r="G366" s="3">
        <v>1.0</v>
      </c>
      <c r="H366" s="1">
        <v>2.0</v>
      </c>
      <c r="I366" s="1">
        <v>2.0</v>
      </c>
      <c r="J366" s="1">
        <v>1.0</v>
      </c>
      <c r="K366" s="1">
        <v>2.0</v>
      </c>
      <c r="L366" s="1">
        <f t="shared" ref="L366:N366" si="1074">SUMPRODUCT($B366:$J366, INDEX($B$2:$J$4, L$10, 0)) + INDEX($K$2:$K$4, L$10,1)</f>
        <v>8.269804848</v>
      </c>
      <c r="M366" s="1">
        <f t="shared" si="1074"/>
        <v>7.86132732</v>
      </c>
      <c r="N366" s="1">
        <f t="shared" si="1074"/>
        <v>8.006829549</v>
      </c>
      <c r="O366" s="1">
        <f t="shared" ref="O366:Q366" si="1075">(L366-L$7)/(L$6-L$7)</f>
        <v>0.006720409227</v>
      </c>
      <c r="P366" s="1">
        <f t="shared" si="1075"/>
        <v>0.005681668097</v>
      </c>
      <c r="Q366" s="1">
        <f t="shared" si="1075"/>
        <v>0.005414567777</v>
      </c>
      <c r="R366" s="1">
        <f t="shared" ref="R366:T366" si="1076">1/(1+EXP(-O366))</f>
        <v>0.501680096</v>
      </c>
      <c r="S366" s="1">
        <f t="shared" si="1076"/>
        <v>0.5014204132</v>
      </c>
      <c r="T366" s="1">
        <f t="shared" si="1076"/>
        <v>0.5013536386</v>
      </c>
      <c r="U366" s="1">
        <f t="shared" si="11"/>
        <v>2.481723046</v>
      </c>
      <c r="V366" s="1">
        <f t="shared" si="12"/>
        <v>0.2320570931</v>
      </c>
      <c r="W366" s="1">
        <f t="shared" si="13"/>
        <v>2</v>
      </c>
      <c r="X366" s="1">
        <f t="shared" si="14"/>
        <v>0</v>
      </c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ht="15.75" customHeight="1">
      <c r="A367" s="1"/>
      <c r="B367" s="1">
        <v>4.0</v>
      </c>
      <c r="C367" s="1">
        <v>1.0</v>
      </c>
      <c r="D367" s="1">
        <v>2.0</v>
      </c>
      <c r="E367" s="1">
        <v>1.0</v>
      </c>
      <c r="F367" s="1">
        <v>2.0</v>
      </c>
      <c r="G367" s="3">
        <v>1.0</v>
      </c>
      <c r="H367" s="1">
        <v>2.0</v>
      </c>
      <c r="I367" s="1">
        <v>1.0</v>
      </c>
      <c r="J367" s="1">
        <v>1.0</v>
      </c>
      <c r="K367" s="1">
        <v>2.0</v>
      </c>
      <c r="L367" s="1">
        <f t="shared" ref="L367:N367" si="1077">SUMPRODUCT($B367:$J367, INDEX($B$2:$J$4, L$10, 0)) + INDEX($K$2:$K$4, L$10,1)</f>
        <v>9.548352827</v>
      </c>
      <c r="M367" s="1">
        <f t="shared" si="1077"/>
        <v>8.85935068</v>
      </c>
      <c r="N367" s="1">
        <f t="shared" si="1077"/>
        <v>9.23190058</v>
      </c>
      <c r="O367" s="1">
        <f t="shared" ref="O367:Q367" si="1078">(L367-L$7)/(L$6-L$7)</f>
        <v>0.0276276525</v>
      </c>
      <c r="P367" s="1">
        <f t="shared" si="1078"/>
        <v>0.02277177895</v>
      </c>
      <c r="Q367" s="1">
        <f t="shared" si="1078"/>
        <v>0.02613132831</v>
      </c>
      <c r="R367" s="1">
        <f t="shared" ref="R367:T367" si="1079">1/(1+EXP(-O367))</f>
        <v>0.5069064738</v>
      </c>
      <c r="S367" s="1">
        <f t="shared" si="1079"/>
        <v>0.5056926987</v>
      </c>
      <c r="T367" s="1">
        <f t="shared" si="1079"/>
        <v>0.5065324604</v>
      </c>
      <c r="U367" s="1">
        <f t="shared" si="11"/>
        <v>2.505931725</v>
      </c>
      <c r="V367" s="1">
        <f t="shared" si="12"/>
        <v>0.2559669101</v>
      </c>
      <c r="W367" s="1">
        <f t="shared" si="13"/>
        <v>2</v>
      </c>
      <c r="X367" s="1">
        <f t="shared" si="14"/>
        <v>0</v>
      </c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ht="15.75" customHeight="1">
      <c r="A368" s="1"/>
      <c r="B368" s="1">
        <v>8.0</v>
      </c>
      <c r="C368" s="1">
        <v>8.0</v>
      </c>
      <c r="D368" s="1">
        <v>7.0</v>
      </c>
      <c r="E368" s="1">
        <v>4.0</v>
      </c>
      <c r="F368" s="1">
        <v>10.0</v>
      </c>
      <c r="G368" s="3">
        <v>10.0</v>
      </c>
      <c r="H368" s="1">
        <v>7.0</v>
      </c>
      <c r="I368" s="1">
        <v>8.0</v>
      </c>
      <c r="J368" s="1">
        <v>7.0</v>
      </c>
      <c r="K368" s="1">
        <v>4.0</v>
      </c>
      <c r="L368" s="1">
        <f t="shared" ref="L368:N368" si="1080">SUMPRODUCT($B368:$J368, INDEX($B$2:$J$4, L$10, 0)) + INDEX($K$2:$K$4, L$10,1)</f>
        <v>60.47732432</v>
      </c>
      <c r="M368" s="1">
        <f t="shared" si="1080"/>
        <v>58.19076749</v>
      </c>
      <c r="N368" s="1">
        <f t="shared" si="1080"/>
        <v>58.82356662</v>
      </c>
      <c r="O368" s="1">
        <f t="shared" ref="O368:Q368" si="1081">(L368-L$7)/(L$6-L$7)</f>
        <v>0.8604351926</v>
      </c>
      <c r="P368" s="1">
        <f t="shared" si="1081"/>
        <v>0.8675209266</v>
      </c>
      <c r="Q368" s="1">
        <f t="shared" si="1081"/>
        <v>0.8647591663</v>
      </c>
      <c r="R368" s="1">
        <f t="shared" ref="R368:T368" si="1082">1/(1+EXP(-O368))</f>
        <v>0.7027515705</v>
      </c>
      <c r="S368" s="1">
        <f t="shared" si="1082"/>
        <v>0.7042295927</v>
      </c>
      <c r="T368" s="1">
        <f t="shared" si="1082"/>
        <v>0.7036540206</v>
      </c>
      <c r="U368" s="1">
        <f t="shared" si="11"/>
        <v>3.481760271</v>
      </c>
      <c r="V368" s="1">
        <f t="shared" si="12"/>
        <v>0.2685724164</v>
      </c>
      <c r="W368" s="1">
        <f t="shared" si="13"/>
        <v>4</v>
      </c>
      <c r="X368" s="1">
        <f t="shared" si="14"/>
        <v>0</v>
      </c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ht="15.75" customHeight="1">
      <c r="A369" s="1"/>
      <c r="B369" s="1">
        <v>1.0</v>
      </c>
      <c r="C369" s="1">
        <v>2.0</v>
      </c>
      <c r="D369" s="1">
        <v>2.0</v>
      </c>
      <c r="E369" s="1">
        <v>1.0</v>
      </c>
      <c r="F369" s="1">
        <v>2.0</v>
      </c>
      <c r="G369" s="3">
        <v>1.0</v>
      </c>
      <c r="H369" s="1">
        <v>2.0</v>
      </c>
      <c r="I369" s="1">
        <v>1.0</v>
      </c>
      <c r="J369" s="1">
        <v>1.0</v>
      </c>
      <c r="K369" s="1">
        <v>2.0</v>
      </c>
      <c r="L369" s="1">
        <f t="shared" ref="L369:N369" si="1083">SUMPRODUCT($B369:$J369, INDEX($B$2:$J$4, L$10, 0)) + INDEX($K$2:$K$4, L$10,1)</f>
        <v>11.09614678</v>
      </c>
      <c r="M369" s="1">
        <f t="shared" si="1083"/>
        <v>10.44981786</v>
      </c>
      <c r="N369" s="1">
        <f t="shared" si="1083"/>
        <v>10.60884485</v>
      </c>
      <c r="O369" s="1">
        <f t="shared" ref="O369:Q369" si="1084">(L369-L$7)/(L$6-L$7)</f>
        <v>0.05293769576</v>
      </c>
      <c r="P369" s="1">
        <f t="shared" si="1084"/>
        <v>0.05000687339</v>
      </c>
      <c r="Q369" s="1">
        <f t="shared" si="1084"/>
        <v>0.04941636567</v>
      </c>
      <c r="R369" s="1">
        <f t="shared" ref="R369:T369" si="1085">1/(1+EXP(-O369))</f>
        <v>0.5132313341</v>
      </c>
      <c r="S369" s="1">
        <f t="shared" si="1085"/>
        <v>0.5124991138</v>
      </c>
      <c r="T369" s="1">
        <f t="shared" si="1085"/>
        <v>0.512351578</v>
      </c>
      <c r="U369" s="1">
        <f t="shared" si="11"/>
        <v>2.537158607</v>
      </c>
      <c r="V369" s="1">
        <f t="shared" si="12"/>
        <v>0.2885393693</v>
      </c>
      <c r="W369" s="1">
        <f t="shared" si="13"/>
        <v>2</v>
      </c>
      <c r="X369" s="1">
        <f t="shared" si="14"/>
        <v>0</v>
      </c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ht="15.75" customHeight="1">
      <c r="A370" s="1"/>
      <c r="B370" s="1">
        <v>10.0</v>
      </c>
      <c r="C370" s="1">
        <v>8.0</v>
      </c>
      <c r="D370" s="1">
        <v>10.0</v>
      </c>
      <c r="E370" s="1">
        <v>10.0</v>
      </c>
      <c r="F370" s="1">
        <v>6.0</v>
      </c>
      <c r="G370" s="3">
        <v>1.0</v>
      </c>
      <c r="H370" s="1">
        <v>3.0</v>
      </c>
      <c r="I370" s="1">
        <v>1.0</v>
      </c>
      <c r="J370" s="1">
        <v>10.0</v>
      </c>
      <c r="K370" s="1">
        <v>4.0</v>
      </c>
      <c r="L370" s="1">
        <f t="shared" ref="L370:N370" si="1086">SUMPRODUCT($B370:$J370, INDEX($B$2:$J$4, L$10, 0)) + INDEX($K$2:$K$4, L$10,1)</f>
        <v>33.76002794</v>
      </c>
      <c r="M370" s="1">
        <f t="shared" si="1086"/>
        <v>30.68968367</v>
      </c>
      <c r="N370" s="1">
        <f t="shared" si="1086"/>
        <v>31.28739509</v>
      </c>
      <c r="O370" s="1">
        <f t="shared" ref="O370:Q370" si="1087">(L370-L$7)/(L$6-L$7)</f>
        <v>0.423545045</v>
      </c>
      <c r="P370" s="1">
        <f t="shared" si="1087"/>
        <v>0.3965935011</v>
      </c>
      <c r="Q370" s="1">
        <f t="shared" si="1087"/>
        <v>0.3991043126</v>
      </c>
      <c r="R370" s="1">
        <f t="shared" ref="R370:T370" si="1088">1/(1+EXP(-O370))</f>
        <v>0.604331236</v>
      </c>
      <c r="S370" s="1">
        <f t="shared" si="1088"/>
        <v>0.5978689377</v>
      </c>
      <c r="T370" s="1">
        <f t="shared" si="1088"/>
        <v>0.5984724426</v>
      </c>
      <c r="U370" s="1">
        <f t="shared" si="11"/>
        <v>2.969995121</v>
      </c>
      <c r="V370" s="1">
        <f t="shared" si="12"/>
        <v>1.060910051</v>
      </c>
      <c r="W370" s="1">
        <f t="shared" si="13"/>
        <v>4</v>
      </c>
      <c r="X370" s="1">
        <f t="shared" si="14"/>
        <v>0</v>
      </c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ht="15.75" customHeight="1">
      <c r="A371" s="1"/>
      <c r="B371" s="1">
        <v>1.0</v>
      </c>
      <c r="C371" s="1">
        <v>1.0</v>
      </c>
      <c r="D371" s="1">
        <v>1.0</v>
      </c>
      <c r="E371" s="1">
        <v>1.0</v>
      </c>
      <c r="F371" s="1">
        <v>2.0</v>
      </c>
      <c r="G371" s="3">
        <v>1.0</v>
      </c>
      <c r="H371" s="1">
        <v>3.0</v>
      </c>
      <c r="I371" s="1">
        <v>1.0</v>
      </c>
      <c r="J371" s="1">
        <v>1.0</v>
      </c>
      <c r="K371" s="1">
        <v>2.0</v>
      </c>
      <c r="L371" s="1">
        <f t="shared" ref="L371:N371" si="1089">SUMPRODUCT($B371:$J371, INDEX($B$2:$J$4, L$10, 0)) + INDEX($K$2:$K$4, L$10,1)</f>
        <v>7.985725177</v>
      </c>
      <c r="M371" s="1">
        <f t="shared" si="1089"/>
        <v>7.529531272</v>
      </c>
      <c r="N371" s="1">
        <f t="shared" si="1089"/>
        <v>7.686650958</v>
      </c>
      <c r="O371" s="1">
        <f t="shared" ref="O371:Q371" si="1090">(L371-L$7)/(L$6-L$7)</f>
        <v>0.002075043622</v>
      </c>
      <c r="P371" s="1">
        <f t="shared" si="1090"/>
        <v>0.000000006234892308</v>
      </c>
      <c r="Q371" s="1">
        <f t="shared" si="1090"/>
        <v>0.0000001362617963</v>
      </c>
      <c r="R371" s="1">
        <f t="shared" ref="R371:T371" si="1091">1/(1+EXP(-O371))</f>
        <v>0.5005187607</v>
      </c>
      <c r="S371" s="1">
        <f t="shared" si="1091"/>
        <v>0.5000000016</v>
      </c>
      <c r="T371" s="1">
        <f t="shared" si="1091"/>
        <v>0.5000000341</v>
      </c>
      <c r="U371" s="1">
        <f t="shared" si="11"/>
        <v>2.475218456</v>
      </c>
      <c r="V371" s="1">
        <f t="shared" si="12"/>
        <v>0.2258325805</v>
      </c>
      <c r="W371" s="1">
        <f t="shared" si="13"/>
        <v>2</v>
      </c>
      <c r="X371" s="1">
        <f t="shared" si="14"/>
        <v>0</v>
      </c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ht="15.75" customHeight="1">
      <c r="A372" s="1"/>
      <c r="B372" s="1">
        <v>1.0</v>
      </c>
      <c r="C372" s="1">
        <v>1.0</v>
      </c>
      <c r="D372" s="1">
        <v>1.0</v>
      </c>
      <c r="E372" s="1">
        <v>1.0</v>
      </c>
      <c r="F372" s="1">
        <v>1.0</v>
      </c>
      <c r="G372" s="3">
        <v>1.0</v>
      </c>
      <c r="H372" s="1">
        <v>3.0</v>
      </c>
      <c r="I372" s="1">
        <v>1.0</v>
      </c>
      <c r="J372" s="1">
        <v>1.0</v>
      </c>
      <c r="K372" s="1">
        <v>2.0</v>
      </c>
      <c r="L372" s="1">
        <f t="shared" ref="L372:N372" si="1092">SUMPRODUCT($B372:$J372, INDEX($B$2:$J$4, L$10, 0)) + INDEX($K$2:$K$4, L$10,1)</f>
        <v>7.923414752</v>
      </c>
      <c r="M372" s="1">
        <f t="shared" si="1092"/>
        <v>7.529530907</v>
      </c>
      <c r="N372" s="1">
        <f t="shared" si="1092"/>
        <v>7.686650958</v>
      </c>
      <c r="O372" s="1">
        <f t="shared" ref="O372:Q372" si="1093">(L372-L$7)/(L$6-L$7)</f>
        <v>0.001056122768</v>
      </c>
      <c r="P372" s="1">
        <f t="shared" si="1093"/>
        <v>0</v>
      </c>
      <c r="Q372" s="1">
        <f t="shared" si="1093"/>
        <v>0.0000001362617963</v>
      </c>
      <c r="R372" s="1">
        <f t="shared" ref="R372:T372" si="1094">1/(1+EXP(-O372))</f>
        <v>0.5002640307</v>
      </c>
      <c r="S372" s="1">
        <f t="shared" si="1094"/>
        <v>0.5</v>
      </c>
      <c r="T372" s="1">
        <f t="shared" si="1094"/>
        <v>0.5000000341</v>
      </c>
      <c r="U372" s="1">
        <f t="shared" si="11"/>
        <v>2.474815255</v>
      </c>
      <c r="V372" s="1">
        <f t="shared" si="12"/>
        <v>0.2254495261</v>
      </c>
      <c r="W372" s="1">
        <f t="shared" si="13"/>
        <v>2</v>
      </c>
      <c r="X372" s="1">
        <f t="shared" si="14"/>
        <v>0</v>
      </c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ht="15.75" customHeight="1">
      <c r="A373" s="1"/>
      <c r="B373" s="1">
        <v>10.0</v>
      </c>
      <c r="C373" s="1">
        <v>8.0</v>
      </c>
      <c r="D373" s="1">
        <v>4.0</v>
      </c>
      <c r="E373" s="1">
        <v>4.0</v>
      </c>
      <c r="F373" s="1">
        <v>4.0</v>
      </c>
      <c r="G373" s="3">
        <v>10.0</v>
      </c>
      <c r="H373" s="1">
        <v>3.0</v>
      </c>
      <c r="I373" s="1">
        <v>10.0</v>
      </c>
      <c r="J373" s="1">
        <v>4.0</v>
      </c>
      <c r="K373" s="1">
        <v>4.0</v>
      </c>
      <c r="L373" s="1">
        <f t="shared" ref="L373:N373" si="1095">SUMPRODUCT($B373:$J373, INDEX($B$2:$J$4, L$10, 0)) + INDEX($K$2:$K$4, L$10,1)</f>
        <v>55.93341052</v>
      </c>
      <c r="M373" s="1">
        <f t="shared" si="1095"/>
        <v>55.00141318</v>
      </c>
      <c r="N373" s="1">
        <f t="shared" si="1095"/>
        <v>54.89737783</v>
      </c>
      <c r="O373" s="1">
        <f t="shared" ref="O373:Q373" si="1096">(L373-L$7)/(L$6-L$7)</f>
        <v>0.7861315975</v>
      </c>
      <c r="P373" s="1">
        <f t="shared" si="1096"/>
        <v>0.812906555</v>
      </c>
      <c r="Q373" s="1">
        <f t="shared" si="1096"/>
        <v>0.7983647199</v>
      </c>
      <c r="R373" s="1">
        <f t="shared" ref="R373:T373" si="1097">1/(1+EXP(-O373))</f>
        <v>0.6870001066</v>
      </c>
      <c r="S373" s="1">
        <f t="shared" si="1097"/>
        <v>0.6927285275</v>
      </c>
      <c r="T373" s="1">
        <f t="shared" si="1097"/>
        <v>0.6896245702</v>
      </c>
      <c r="U373" s="1">
        <f t="shared" si="11"/>
        <v>3.41377682</v>
      </c>
      <c r="V373" s="1">
        <f t="shared" si="12"/>
        <v>0.3436576171</v>
      </c>
      <c r="W373" s="1">
        <f t="shared" si="13"/>
        <v>4</v>
      </c>
      <c r="X373" s="1">
        <f t="shared" si="14"/>
        <v>0</v>
      </c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ht="15.75" customHeight="1">
      <c r="A374" s="1"/>
      <c r="B374" s="1">
        <v>8.0</v>
      </c>
      <c r="C374" s="1">
        <v>10.0</v>
      </c>
      <c r="D374" s="1">
        <v>3.0</v>
      </c>
      <c r="E374" s="1">
        <v>2.0</v>
      </c>
      <c r="F374" s="1">
        <v>6.0</v>
      </c>
      <c r="G374" s="3">
        <v>4.0</v>
      </c>
      <c r="H374" s="1">
        <v>3.0</v>
      </c>
      <c r="I374" s="1">
        <v>10.0</v>
      </c>
      <c r="J374" s="1">
        <v>1.0</v>
      </c>
      <c r="K374" s="1">
        <v>4.0</v>
      </c>
      <c r="L374" s="1">
        <f t="shared" ref="L374:N374" si="1098">SUMPRODUCT($B374:$J374, INDEX($B$2:$J$4, L$10, 0)) + INDEX($K$2:$K$4, L$10,1)</f>
        <v>38.13065854</v>
      </c>
      <c r="M374" s="1">
        <f t="shared" si="1098"/>
        <v>37.45272137</v>
      </c>
      <c r="N374" s="1">
        <f t="shared" si="1098"/>
        <v>36.15853881</v>
      </c>
      <c r="O374" s="1">
        <f t="shared" ref="O374:Q374" si="1099">(L374-L$7)/(L$6-L$7)</f>
        <v>0.4950150553</v>
      </c>
      <c r="P374" s="1">
        <f t="shared" si="1099"/>
        <v>0.5124034799</v>
      </c>
      <c r="Q374" s="1">
        <f t="shared" si="1099"/>
        <v>0.4814785713</v>
      </c>
      <c r="R374" s="1">
        <f t="shared" ref="R374:T374" si="1100">1/(1+EXP(-O374))</f>
        <v>0.6212871376</v>
      </c>
      <c r="S374" s="1">
        <f t="shared" si="1100"/>
        <v>0.625369737</v>
      </c>
      <c r="T374" s="1">
        <f t="shared" si="1100"/>
        <v>0.618096957</v>
      </c>
      <c r="U374" s="1">
        <f t="shared" si="11"/>
        <v>3.07588238</v>
      </c>
      <c r="V374" s="1">
        <f t="shared" si="12"/>
        <v>0.8539933761</v>
      </c>
      <c r="W374" s="1">
        <f t="shared" si="13"/>
        <v>4</v>
      </c>
      <c r="X374" s="1">
        <f t="shared" si="14"/>
        <v>0</v>
      </c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ht="15.75" customHeight="1">
      <c r="A375" s="1"/>
      <c r="B375" s="1">
        <v>8.0</v>
      </c>
      <c r="C375" s="1">
        <v>10.0</v>
      </c>
      <c r="D375" s="1">
        <v>5.0</v>
      </c>
      <c r="E375" s="1">
        <v>3.0</v>
      </c>
      <c r="F375" s="1">
        <v>8.0</v>
      </c>
      <c r="G375" s="3">
        <v>4.0</v>
      </c>
      <c r="H375" s="1">
        <v>4.0</v>
      </c>
      <c r="I375" s="1">
        <v>10.0</v>
      </c>
      <c r="J375" s="1">
        <v>3.0</v>
      </c>
      <c r="K375" s="1">
        <v>4.0</v>
      </c>
      <c r="L375" s="1">
        <f t="shared" ref="L375:N375" si="1101">SUMPRODUCT($B375:$J375, INDEX($B$2:$J$4, L$10, 0)) + INDEX($K$2:$K$4, L$10,1)</f>
        <v>41.41421906</v>
      </c>
      <c r="M375" s="1">
        <f t="shared" si="1101"/>
        <v>39.99534891</v>
      </c>
      <c r="N375" s="1">
        <f t="shared" si="1101"/>
        <v>39.19251437</v>
      </c>
      <c r="O375" s="1">
        <f t="shared" ref="O375:Q375" si="1102">(L375-L$7)/(L$6-L$7)</f>
        <v>0.5487089327</v>
      </c>
      <c r="P375" s="1">
        <f t="shared" si="1102"/>
        <v>0.555943329</v>
      </c>
      <c r="Q375" s="1">
        <f t="shared" si="1102"/>
        <v>0.5327851025</v>
      </c>
      <c r="R375" s="1">
        <f t="shared" ref="R375:T375" si="1103">1/(1+EXP(-O375))</f>
        <v>0.6338360017</v>
      </c>
      <c r="S375" s="1">
        <f t="shared" si="1103"/>
        <v>0.6355133863</v>
      </c>
      <c r="T375" s="1">
        <f t="shared" si="1103"/>
        <v>0.6301324583</v>
      </c>
      <c r="U375" s="1">
        <f t="shared" si="11"/>
        <v>3.133135174</v>
      </c>
      <c r="V375" s="1">
        <f t="shared" si="12"/>
        <v>0.7514546272</v>
      </c>
      <c r="W375" s="1">
        <f t="shared" si="13"/>
        <v>4</v>
      </c>
      <c r="X375" s="1">
        <f t="shared" si="14"/>
        <v>0</v>
      </c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ht="15.75" customHeight="1">
      <c r="A376" s="1"/>
      <c r="B376" s="1">
        <v>1.0</v>
      </c>
      <c r="C376" s="1">
        <v>1.0</v>
      </c>
      <c r="D376" s="1">
        <v>2.0</v>
      </c>
      <c r="E376" s="1">
        <v>1.0</v>
      </c>
      <c r="F376" s="1">
        <v>2.0</v>
      </c>
      <c r="G376" s="3">
        <v>1.0</v>
      </c>
      <c r="H376" s="1">
        <v>2.0</v>
      </c>
      <c r="I376" s="1">
        <v>1.0</v>
      </c>
      <c r="J376" s="1">
        <v>1.0</v>
      </c>
      <c r="K376" s="1">
        <v>2.0</v>
      </c>
      <c r="L376" s="1">
        <f t="shared" ref="L376:N376" si="1104">SUMPRODUCT($B376:$J376, INDEX($B$2:$J$4, L$10, 0)) + INDEX($K$2:$K$4, L$10,1)</f>
        <v>9.500723126</v>
      </c>
      <c r="M376" s="1">
        <f t="shared" si="1104"/>
        <v>8.800844676</v>
      </c>
      <c r="N376" s="1">
        <f t="shared" si="1104"/>
        <v>9.202233561</v>
      </c>
      <c r="O376" s="1">
        <f t="shared" ref="O376:Q376" si="1105">(L376-L$7)/(L$6-L$7)</f>
        <v>0.02684879574</v>
      </c>
      <c r="P376" s="1">
        <f t="shared" si="1105"/>
        <v>0.02176992456</v>
      </c>
      <c r="Q376" s="1">
        <f t="shared" si="1105"/>
        <v>0.02562963942</v>
      </c>
      <c r="R376" s="1">
        <f t="shared" ref="R376:T376" si="1106">1/(1+EXP(-O376))</f>
        <v>0.5067117958</v>
      </c>
      <c r="S376" s="1">
        <f t="shared" si="1106"/>
        <v>0.5054422662</v>
      </c>
      <c r="T376" s="1">
        <f t="shared" si="1106"/>
        <v>0.5064070591</v>
      </c>
      <c r="U376" s="1">
        <f t="shared" si="11"/>
        <v>2.50499522</v>
      </c>
      <c r="V376" s="1">
        <f t="shared" si="12"/>
        <v>0.2550201724</v>
      </c>
      <c r="W376" s="1">
        <f t="shared" si="13"/>
        <v>2</v>
      </c>
      <c r="X376" s="1">
        <f t="shared" si="14"/>
        <v>0</v>
      </c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ht="15.75" customHeight="1">
      <c r="A377" s="1"/>
      <c r="B377" s="1">
        <v>5.0</v>
      </c>
      <c r="C377" s="1">
        <v>1.0</v>
      </c>
      <c r="D377" s="1">
        <v>1.0</v>
      </c>
      <c r="E377" s="1">
        <v>1.0</v>
      </c>
      <c r="F377" s="1">
        <v>2.0</v>
      </c>
      <c r="G377" s="3">
        <v>1.0</v>
      </c>
      <c r="H377" s="1">
        <v>1.0</v>
      </c>
      <c r="I377" s="1">
        <v>1.0</v>
      </c>
      <c r="J377" s="1">
        <v>1.0</v>
      </c>
      <c r="K377" s="1">
        <v>2.0</v>
      </c>
      <c r="L377" s="1">
        <f t="shared" ref="L377:N377" si="1107">SUMPRODUCT($B377:$J377, INDEX($B$2:$J$4, L$10, 0)) + INDEX($K$2:$K$4, L$10,1)</f>
        <v>7.984645998</v>
      </c>
      <c r="M377" s="1">
        <f t="shared" si="1107"/>
        <v>7.607539277</v>
      </c>
      <c r="N377" s="1">
        <f t="shared" si="1107"/>
        <v>7.726198925</v>
      </c>
      <c r="O377" s="1">
        <f t="shared" ref="O377:Q377" si="1108">(L377-L$7)/(L$6-L$7)</f>
        <v>0.002057396537</v>
      </c>
      <c r="P377" s="1">
        <f t="shared" si="1108"/>
        <v>0.001335812098</v>
      </c>
      <c r="Q377" s="1">
        <f t="shared" si="1108"/>
        <v>0.0006689185196</v>
      </c>
      <c r="R377" s="1">
        <f t="shared" ref="R377:T377" si="1109">1/(1+EXP(-O377))</f>
        <v>0.500514349</v>
      </c>
      <c r="S377" s="1">
        <f t="shared" si="1109"/>
        <v>0.500333953</v>
      </c>
      <c r="T377" s="1">
        <f t="shared" si="1109"/>
        <v>0.5001672296</v>
      </c>
      <c r="U377" s="1">
        <f t="shared" si="11"/>
        <v>2.476049343</v>
      </c>
      <c r="V377" s="1">
        <f t="shared" si="12"/>
        <v>0.2266229766</v>
      </c>
      <c r="W377" s="1">
        <f t="shared" si="13"/>
        <v>2</v>
      </c>
      <c r="X377" s="1">
        <f t="shared" si="14"/>
        <v>0</v>
      </c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ht="15.75" customHeight="1">
      <c r="A378" s="1"/>
      <c r="B378" s="1">
        <v>1.0</v>
      </c>
      <c r="C378" s="1">
        <v>1.0</v>
      </c>
      <c r="D378" s="1">
        <v>1.0</v>
      </c>
      <c r="E378" s="1">
        <v>1.0</v>
      </c>
      <c r="F378" s="1">
        <v>2.0</v>
      </c>
      <c r="G378" s="3">
        <v>1.0</v>
      </c>
      <c r="H378" s="1">
        <v>1.0</v>
      </c>
      <c r="I378" s="1">
        <v>1.0</v>
      </c>
      <c r="J378" s="1">
        <v>1.0</v>
      </c>
      <c r="K378" s="1">
        <v>2.0</v>
      </c>
      <c r="L378" s="1">
        <f t="shared" ref="L378:N378" si="1110">SUMPRODUCT($B378:$J378, INDEX($B$2:$J$4, L$10, 0)) + INDEX($K$2:$K$4, L$10,1)</f>
        <v>7.921139731</v>
      </c>
      <c r="M378" s="1">
        <f t="shared" si="1110"/>
        <v>7.529531272</v>
      </c>
      <c r="N378" s="1">
        <f t="shared" si="1110"/>
        <v>7.6866429</v>
      </c>
      <c r="O378" s="1">
        <f t="shared" ref="O378:Q378" si="1111">(L378-L$7)/(L$6-L$7)</f>
        <v>0.001018920854</v>
      </c>
      <c r="P378" s="1">
        <f t="shared" si="1111"/>
        <v>0.000000006234892308</v>
      </c>
      <c r="Q378" s="1">
        <f t="shared" si="1111"/>
        <v>0</v>
      </c>
      <c r="R378" s="1">
        <f t="shared" ref="R378:T378" si="1112">1/(1+EXP(-O378))</f>
        <v>0.5002547302</v>
      </c>
      <c r="S378" s="1">
        <f t="shared" si="1112"/>
        <v>0.5000000016</v>
      </c>
      <c r="T378" s="1">
        <f t="shared" si="1112"/>
        <v>0.5</v>
      </c>
      <c r="U378" s="1">
        <f t="shared" si="11"/>
        <v>2.474800478</v>
      </c>
      <c r="V378" s="1">
        <f t="shared" si="12"/>
        <v>0.2254354935</v>
      </c>
      <c r="W378" s="1">
        <f t="shared" si="13"/>
        <v>2</v>
      </c>
      <c r="X378" s="1">
        <f t="shared" si="14"/>
        <v>0</v>
      </c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ht="15.75" customHeight="1">
      <c r="A379" s="1"/>
      <c r="B379" s="1">
        <v>1.0</v>
      </c>
      <c r="C379" s="1">
        <v>1.0</v>
      </c>
      <c r="D379" s="1">
        <v>1.0</v>
      </c>
      <c r="E379" s="1">
        <v>1.0</v>
      </c>
      <c r="F379" s="1">
        <v>2.0</v>
      </c>
      <c r="G379" s="3">
        <v>1.0</v>
      </c>
      <c r="H379" s="1">
        <v>3.0</v>
      </c>
      <c r="I379" s="1">
        <v>1.0</v>
      </c>
      <c r="J379" s="1">
        <v>1.0</v>
      </c>
      <c r="K379" s="1">
        <v>2.0</v>
      </c>
      <c r="L379" s="1">
        <f t="shared" ref="L379:N379" si="1113">SUMPRODUCT($B379:$J379, INDEX($B$2:$J$4, L$10, 0)) + INDEX($K$2:$K$4, L$10,1)</f>
        <v>7.985725177</v>
      </c>
      <c r="M379" s="1">
        <f t="shared" si="1113"/>
        <v>7.529531272</v>
      </c>
      <c r="N379" s="1">
        <f t="shared" si="1113"/>
        <v>7.686650958</v>
      </c>
      <c r="O379" s="1">
        <f t="shared" ref="O379:Q379" si="1114">(L379-L$7)/(L$6-L$7)</f>
        <v>0.002075043622</v>
      </c>
      <c r="P379" s="1">
        <f t="shared" si="1114"/>
        <v>0.000000006234892308</v>
      </c>
      <c r="Q379" s="1">
        <f t="shared" si="1114"/>
        <v>0.0000001362617963</v>
      </c>
      <c r="R379" s="1">
        <f t="shared" ref="R379:T379" si="1115">1/(1+EXP(-O379))</f>
        <v>0.5005187607</v>
      </c>
      <c r="S379" s="1">
        <f t="shared" si="1115"/>
        <v>0.5000000016</v>
      </c>
      <c r="T379" s="1">
        <f t="shared" si="1115"/>
        <v>0.5000000341</v>
      </c>
      <c r="U379" s="1">
        <f t="shared" si="11"/>
        <v>2.475218456</v>
      </c>
      <c r="V379" s="1">
        <f t="shared" si="12"/>
        <v>0.2258325805</v>
      </c>
      <c r="W379" s="1">
        <f t="shared" si="13"/>
        <v>2</v>
      </c>
      <c r="X379" s="1">
        <f t="shared" si="14"/>
        <v>0</v>
      </c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ht="15.75" customHeight="1">
      <c r="A380" s="1"/>
      <c r="B380" s="1">
        <v>4.0</v>
      </c>
      <c r="C380" s="1">
        <v>2.0</v>
      </c>
      <c r="D380" s="1">
        <v>1.0</v>
      </c>
      <c r="E380" s="1">
        <v>1.0</v>
      </c>
      <c r="F380" s="1">
        <v>2.0</v>
      </c>
      <c r="G380" s="3">
        <v>2.0</v>
      </c>
      <c r="H380" s="1">
        <v>3.0</v>
      </c>
      <c r="I380" s="1">
        <v>1.0</v>
      </c>
      <c r="J380" s="1">
        <v>1.0</v>
      </c>
      <c r="K380" s="1">
        <v>2.0</v>
      </c>
      <c r="L380" s="1">
        <f t="shared" ref="L380:N380" si="1116">SUMPRODUCT($B380:$J380, INDEX($B$2:$J$4, L$10, 0)) + INDEX($K$2:$K$4, L$10,1)</f>
        <v>12.87461938</v>
      </c>
      <c r="M380" s="1">
        <f t="shared" si="1116"/>
        <v>12.49306404</v>
      </c>
      <c r="N380" s="1">
        <f t="shared" si="1116"/>
        <v>12.45811267</v>
      </c>
      <c r="O380" s="1">
        <f t="shared" ref="O380:Q380" si="1117">(L380-L$7)/(L$6-L$7)</f>
        <v>0.0820198734</v>
      </c>
      <c r="P380" s="1">
        <f t="shared" si="1117"/>
        <v>0.08499533679</v>
      </c>
      <c r="Q380" s="1">
        <f t="shared" si="1117"/>
        <v>0.08068870634</v>
      </c>
      <c r="R380" s="1">
        <f t="shared" ref="R380:T380" si="1118">1/(1+EXP(-O380))</f>
        <v>0.5204934809</v>
      </c>
      <c r="S380" s="1">
        <f t="shared" si="1118"/>
        <v>0.5212360513</v>
      </c>
      <c r="T380" s="1">
        <f t="shared" si="1118"/>
        <v>0.5201612392</v>
      </c>
      <c r="U380" s="1">
        <f t="shared" si="11"/>
        <v>2.57647012</v>
      </c>
      <c r="V380" s="1">
        <f t="shared" si="12"/>
        <v>0.3323177998</v>
      </c>
      <c r="W380" s="1">
        <f t="shared" si="13"/>
        <v>2</v>
      </c>
      <c r="X380" s="1">
        <f t="shared" si="14"/>
        <v>0</v>
      </c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ht="15.75" customHeight="1">
      <c r="A381" s="1"/>
      <c r="B381" s="1">
        <v>3.0</v>
      </c>
      <c r="C381" s="1">
        <v>4.0</v>
      </c>
      <c r="D381" s="1">
        <v>5.0</v>
      </c>
      <c r="E381" s="1">
        <v>2.0</v>
      </c>
      <c r="F381" s="1">
        <v>6.0</v>
      </c>
      <c r="G381" s="3">
        <v>8.0</v>
      </c>
      <c r="H381" s="1">
        <v>4.0</v>
      </c>
      <c r="I381" s="1">
        <v>1.0</v>
      </c>
      <c r="J381" s="1">
        <v>1.0</v>
      </c>
      <c r="K381" s="1">
        <v>4.0</v>
      </c>
      <c r="L381" s="1">
        <f t="shared" ref="L381:N381" si="1119">SUMPRODUCT($B381:$J381, INDEX($B$2:$J$4, L$10, 0)) + INDEX($K$2:$K$4, L$10,1)</f>
        <v>42.02739795</v>
      </c>
      <c r="M381" s="1">
        <f t="shared" si="1119"/>
        <v>40.39308499</v>
      </c>
      <c r="N381" s="1">
        <f t="shared" si="1119"/>
        <v>41.33769549</v>
      </c>
      <c r="O381" s="1">
        <f t="shared" ref="O381:Q381" si="1120">(L381-L$7)/(L$6-L$7)</f>
        <v>0.5587358386</v>
      </c>
      <c r="P381" s="1">
        <f t="shared" si="1120"/>
        <v>0.5627541452</v>
      </c>
      <c r="Q381" s="1">
        <f t="shared" si="1120"/>
        <v>0.5690615326</v>
      </c>
      <c r="R381" s="1">
        <f t="shared" ref="R381:T381" si="1121">1/(1+EXP(-O381))</f>
        <v>0.6361599873</v>
      </c>
      <c r="S381" s="1">
        <f t="shared" si="1121"/>
        <v>0.6370895565</v>
      </c>
      <c r="T381" s="1">
        <f t="shared" si="1121"/>
        <v>0.6385466005</v>
      </c>
      <c r="U381" s="1">
        <f t="shared" si="11"/>
        <v>3.153854602</v>
      </c>
      <c r="V381" s="1">
        <f t="shared" si="12"/>
        <v>0.715962035</v>
      </c>
      <c r="W381" s="1">
        <f t="shared" si="13"/>
        <v>4</v>
      </c>
      <c r="X381" s="1">
        <f t="shared" si="14"/>
        <v>0</v>
      </c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ht="15.75" customHeight="1">
      <c r="A382" s="1"/>
      <c r="B382" s="1">
        <v>1.0</v>
      </c>
      <c r="C382" s="1">
        <v>1.0</v>
      </c>
      <c r="D382" s="1">
        <v>1.0</v>
      </c>
      <c r="E382" s="1">
        <v>1.0</v>
      </c>
      <c r="F382" s="1">
        <v>1.0</v>
      </c>
      <c r="G382" s="3">
        <v>1.0</v>
      </c>
      <c r="H382" s="1">
        <v>3.0</v>
      </c>
      <c r="I382" s="1">
        <v>1.0</v>
      </c>
      <c r="J382" s="1">
        <v>1.0</v>
      </c>
      <c r="K382" s="1">
        <v>2.0</v>
      </c>
      <c r="L382" s="1">
        <f t="shared" ref="L382:N382" si="1122">SUMPRODUCT($B382:$J382, INDEX($B$2:$J$4, L$10, 0)) + INDEX($K$2:$K$4, L$10,1)</f>
        <v>7.923414752</v>
      </c>
      <c r="M382" s="1">
        <f t="shared" si="1122"/>
        <v>7.529530907</v>
      </c>
      <c r="N382" s="1">
        <f t="shared" si="1122"/>
        <v>7.686650958</v>
      </c>
      <c r="O382" s="1">
        <f t="shared" ref="O382:Q382" si="1123">(L382-L$7)/(L$6-L$7)</f>
        <v>0.001056122768</v>
      </c>
      <c r="P382" s="1">
        <f t="shared" si="1123"/>
        <v>0</v>
      </c>
      <c r="Q382" s="1">
        <f t="shared" si="1123"/>
        <v>0.0000001362617963</v>
      </c>
      <c r="R382" s="1">
        <f t="shared" ref="R382:T382" si="1124">1/(1+EXP(-O382))</f>
        <v>0.5002640307</v>
      </c>
      <c r="S382" s="1">
        <f t="shared" si="1124"/>
        <v>0.5</v>
      </c>
      <c r="T382" s="1">
        <f t="shared" si="1124"/>
        <v>0.5000000341</v>
      </c>
      <c r="U382" s="1">
        <f t="shared" si="11"/>
        <v>2.474815255</v>
      </c>
      <c r="V382" s="1">
        <f t="shared" si="12"/>
        <v>0.2254495261</v>
      </c>
      <c r="W382" s="1">
        <f t="shared" si="13"/>
        <v>2</v>
      </c>
      <c r="X382" s="1">
        <f t="shared" si="14"/>
        <v>0</v>
      </c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ht="15.75" customHeight="1">
      <c r="A383" s="1"/>
      <c r="B383" s="1">
        <v>8.0</v>
      </c>
      <c r="C383" s="1">
        <v>4.0</v>
      </c>
      <c r="D383" s="1">
        <v>7.0</v>
      </c>
      <c r="E383" s="1">
        <v>1.0</v>
      </c>
      <c r="F383" s="1">
        <v>3.0</v>
      </c>
      <c r="G383" s="3">
        <v>10.0</v>
      </c>
      <c r="H383" s="1">
        <v>3.0</v>
      </c>
      <c r="I383" s="1">
        <v>9.0</v>
      </c>
      <c r="J383" s="1">
        <v>2.0</v>
      </c>
      <c r="K383" s="1">
        <v>4.0</v>
      </c>
      <c r="L383" s="1">
        <f t="shared" ref="L383:N383" si="1125">SUMPRODUCT($B383:$J383, INDEX($B$2:$J$4, L$10, 0)) + INDEX($K$2:$K$4, L$10,1)</f>
        <v>53.71870833</v>
      </c>
      <c r="M383" s="1">
        <f t="shared" si="1125"/>
        <v>51.88766425</v>
      </c>
      <c r="N383" s="1">
        <f t="shared" si="1125"/>
        <v>53.48911516</v>
      </c>
      <c r="O383" s="1">
        <f t="shared" ref="O383:Q383" si="1126">(L383-L$7)/(L$6-L$7)</f>
        <v>0.7499160481</v>
      </c>
      <c r="P383" s="1">
        <f t="shared" si="1126"/>
        <v>0.7595868465</v>
      </c>
      <c r="Q383" s="1">
        <f t="shared" si="1126"/>
        <v>0.7745500677</v>
      </c>
      <c r="R383" s="1">
        <f t="shared" ref="R383:T383" si="1127">1/(1+EXP(-O383))</f>
        <v>0.6791604062</v>
      </c>
      <c r="S383" s="1">
        <f t="shared" si="1127"/>
        <v>0.681264027</v>
      </c>
      <c r="T383" s="1">
        <f t="shared" si="1127"/>
        <v>0.6845043419</v>
      </c>
      <c r="U383" s="1">
        <f t="shared" si="11"/>
        <v>3.373667161</v>
      </c>
      <c r="V383" s="1">
        <f t="shared" si="12"/>
        <v>0.3922928247</v>
      </c>
      <c r="W383" s="1">
        <f t="shared" si="13"/>
        <v>4</v>
      </c>
      <c r="X383" s="1">
        <f t="shared" si="14"/>
        <v>0</v>
      </c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ht="15.75" customHeight="1">
      <c r="A384" s="1"/>
      <c r="B384" s="1">
        <v>6.0</v>
      </c>
      <c r="C384" s="1">
        <v>1.0</v>
      </c>
      <c r="D384" s="1">
        <v>3.0</v>
      </c>
      <c r="E384" s="1">
        <v>1.0</v>
      </c>
      <c r="F384" s="1">
        <v>4.0</v>
      </c>
      <c r="G384" s="3">
        <v>5.0</v>
      </c>
      <c r="H384" s="1">
        <v>5.0</v>
      </c>
      <c r="I384" s="1">
        <v>10.0</v>
      </c>
      <c r="J384" s="1">
        <v>1.0</v>
      </c>
      <c r="K384" s="1">
        <v>4.0</v>
      </c>
      <c r="L384" s="1">
        <f t="shared" ref="L384:N384" si="1128">SUMPRODUCT($B384:$J384, INDEX($B$2:$J$4, L$10, 0)) + INDEX($K$2:$K$4, L$10,1)</f>
        <v>26.89383242</v>
      </c>
      <c r="M384" s="1">
        <f t="shared" si="1128"/>
        <v>25.82901157</v>
      </c>
      <c r="N384" s="1">
        <f t="shared" si="1128"/>
        <v>26.8116524</v>
      </c>
      <c r="O384" s="1">
        <f t="shared" ref="O384:Q384" si="1129">(L384-L$7)/(L$6-L$7)</f>
        <v>0.311266724</v>
      </c>
      <c r="P384" s="1">
        <f t="shared" si="1129"/>
        <v>0.3133595524</v>
      </c>
      <c r="Q384" s="1">
        <f t="shared" si="1129"/>
        <v>0.3234165465</v>
      </c>
      <c r="R384" s="1">
        <f t="shared" ref="R384:T384" si="1130">1/(1+EXP(-O384))</f>
        <v>0.5771944239</v>
      </c>
      <c r="S384" s="1">
        <f t="shared" si="1130"/>
        <v>0.5777050772</v>
      </c>
      <c r="T384" s="1">
        <f t="shared" si="1130"/>
        <v>0.5801566643</v>
      </c>
      <c r="U384" s="1">
        <f t="shared" si="11"/>
        <v>2.862342969</v>
      </c>
      <c r="V384" s="1">
        <f t="shared" si="12"/>
        <v>1.29426352</v>
      </c>
      <c r="W384" s="1">
        <f t="shared" si="13"/>
        <v>4</v>
      </c>
      <c r="X384" s="1">
        <f t="shared" si="14"/>
        <v>0</v>
      </c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ht="15.75" customHeight="1">
      <c r="A385" s="1"/>
      <c r="B385" s="1">
        <v>1.0</v>
      </c>
      <c r="C385" s="1">
        <v>1.0</v>
      </c>
      <c r="D385" s="1">
        <v>1.0</v>
      </c>
      <c r="E385" s="1">
        <v>1.0</v>
      </c>
      <c r="F385" s="1">
        <v>2.0</v>
      </c>
      <c r="G385" s="3">
        <v>1.0</v>
      </c>
      <c r="H385" s="1">
        <v>1.0</v>
      </c>
      <c r="I385" s="1">
        <v>1.0</v>
      </c>
      <c r="J385" s="1">
        <v>1.0</v>
      </c>
      <c r="K385" s="1">
        <v>2.0</v>
      </c>
      <c r="L385" s="1">
        <f t="shared" ref="L385:N385" si="1131">SUMPRODUCT($B385:$J385, INDEX($B$2:$J$4, L$10, 0)) + INDEX($K$2:$K$4, L$10,1)</f>
        <v>7.921139731</v>
      </c>
      <c r="M385" s="1">
        <f t="shared" si="1131"/>
        <v>7.529531272</v>
      </c>
      <c r="N385" s="1">
        <f t="shared" si="1131"/>
        <v>7.6866429</v>
      </c>
      <c r="O385" s="1">
        <f t="shared" ref="O385:Q385" si="1132">(L385-L$7)/(L$6-L$7)</f>
        <v>0.001018920854</v>
      </c>
      <c r="P385" s="1">
        <f t="shared" si="1132"/>
        <v>0.000000006234892308</v>
      </c>
      <c r="Q385" s="1">
        <f t="shared" si="1132"/>
        <v>0</v>
      </c>
      <c r="R385" s="1">
        <f t="shared" ref="R385:T385" si="1133">1/(1+EXP(-O385))</f>
        <v>0.5002547302</v>
      </c>
      <c r="S385" s="1">
        <f t="shared" si="1133"/>
        <v>0.5000000016</v>
      </c>
      <c r="T385" s="1">
        <f t="shared" si="1133"/>
        <v>0.5</v>
      </c>
      <c r="U385" s="1">
        <f t="shared" si="11"/>
        <v>2.474800478</v>
      </c>
      <c r="V385" s="1">
        <f t="shared" si="12"/>
        <v>0.2254354935</v>
      </c>
      <c r="W385" s="1">
        <f t="shared" si="13"/>
        <v>2</v>
      </c>
      <c r="X385" s="1">
        <f t="shared" si="14"/>
        <v>0</v>
      </c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ht="15.75" customHeight="1">
      <c r="A386" s="1"/>
      <c r="B386" s="1">
        <v>5.0</v>
      </c>
      <c r="C386" s="1">
        <v>1.0</v>
      </c>
      <c r="D386" s="1">
        <v>3.0</v>
      </c>
      <c r="E386" s="1">
        <v>1.0</v>
      </c>
      <c r="F386" s="1">
        <v>2.0</v>
      </c>
      <c r="G386" s="3">
        <v>1.0</v>
      </c>
      <c r="H386" s="1">
        <v>2.0</v>
      </c>
      <c r="I386" s="1">
        <v>1.0</v>
      </c>
      <c r="J386" s="1">
        <v>1.0</v>
      </c>
      <c r="K386" s="1">
        <v>2.0</v>
      </c>
      <c r="L386" s="1">
        <f t="shared" ref="L386:N386" si="1134">SUMPRODUCT($B386:$J386, INDEX($B$2:$J$4, L$10, 0)) + INDEX($K$2:$K$4, L$10,1)</f>
        <v>11.11152007</v>
      </c>
      <c r="M386" s="1">
        <f t="shared" si="1134"/>
        <v>10.15016609</v>
      </c>
      <c r="N386" s="1">
        <f t="shared" si="1134"/>
        <v>10.75737622</v>
      </c>
      <c r="O386" s="1">
        <f t="shared" ref="O386:Q386" si="1135">(L386-L$7)/(L$6-L$7)</f>
        <v>0.05318908492</v>
      </c>
      <c r="P386" s="1">
        <f t="shared" si="1135"/>
        <v>0.04487564874</v>
      </c>
      <c r="Q386" s="1">
        <f t="shared" si="1135"/>
        <v>0.05192812924</v>
      </c>
      <c r="R386" s="1">
        <f t="shared" ref="R386:T386" si="1136">1/(1+EXP(-O386))</f>
        <v>0.5132941372</v>
      </c>
      <c r="S386" s="1">
        <f t="shared" si="1136"/>
        <v>0.5112170298</v>
      </c>
      <c r="T386" s="1">
        <f t="shared" si="1136"/>
        <v>0.5129791159</v>
      </c>
      <c r="U386" s="1">
        <f t="shared" si="11"/>
        <v>2.536219957</v>
      </c>
      <c r="V386" s="1">
        <f t="shared" si="12"/>
        <v>0.2875318424</v>
      </c>
      <c r="W386" s="1">
        <f t="shared" si="13"/>
        <v>2</v>
      </c>
      <c r="X386" s="1">
        <f t="shared" si="14"/>
        <v>0</v>
      </c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ht="15.75" customHeight="1">
      <c r="A387" s="1"/>
      <c r="B387" s="1">
        <v>5.0</v>
      </c>
      <c r="C387" s="1">
        <v>1.0</v>
      </c>
      <c r="D387" s="1">
        <v>2.0</v>
      </c>
      <c r="E387" s="1">
        <v>1.0</v>
      </c>
      <c r="F387" s="1">
        <v>2.0</v>
      </c>
      <c r="G387" s="3">
        <v>1.0</v>
      </c>
      <c r="H387" s="1">
        <v>2.0</v>
      </c>
      <c r="I387" s="1">
        <v>1.0</v>
      </c>
      <c r="J387" s="1">
        <v>1.0</v>
      </c>
      <c r="K387" s="1">
        <v>2.0</v>
      </c>
      <c r="L387" s="1">
        <f t="shared" ref="L387:N387" si="1137">SUMPRODUCT($B387:$J387, INDEX($B$2:$J$4, L$10, 0)) + INDEX($K$2:$K$4, L$10,1)</f>
        <v>9.564229394</v>
      </c>
      <c r="M387" s="1">
        <f t="shared" si="1137"/>
        <v>8.878852681</v>
      </c>
      <c r="N387" s="1">
        <f t="shared" si="1137"/>
        <v>9.241789586</v>
      </c>
      <c r="O387" s="1">
        <f t="shared" ref="O387:Q387" si="1138">(L387-L$7)/(L$6-L$7)</f>
        <v>0.02788727142</v>
      </c>
      <c r="P387" s="1">
        <f t="shared" si="1138"/>
        <v>0.02310573042</v>
      </c>
      <c r="Q387" s="1">
        <f t="shared" si="1138"/>
        <v>0.02629855794</v>
      </c>
      <c r="R387" s="1">
        <f t="shared" ref="R387:T387" si="1139">1/(1+EXP(-O387))</f>
        <v>0.5069713661</v>
      </c>
      <c r="S387" s="1">
        <f t="shared" si="1139"/>
        <v>0.5057761756</v>
      </c>
      <c r="T387" s="1">
        <f t="shared" si="1139"/>
        <v>0.5065742606</v>
      </c>
      <c r="U387" s="1">
        <f t="shared" si="11"/>
        <v>2.506243891</v>
      </c>
      <c r="V387" s="1">
        <f t="shared" si="12"/>
        <v>0.2562828771</v>
      </c>
      <c r="W387" s="1">
        <f t="shared" si="13"/>
        <v>2</v>
      </c>
      <c r="X387" s="1">
        <f t="shared" si="14"/>
        <v>0</v>
      </c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ht="15.75" customHeight="1">
      <c r="A388" s="1"/>
      <c r="B388" s="1">
        <v>5.0</v>
      </c>
      <c r="C388" s="1">
        <v>3.0</v>
      </c>
      <c r="D388" s="1">
        <v>4.0</v>
      </c>
      <c r="E388" s="1">
        <v>1.0</v>
      </c>
      <c r="F388" s="1">
        <v>8.0</v>
      </c>
      <c r="G388" s="3">
        <v>10.0</v>
      </c>
      <c r="H388" s="1">
        <v>4.0</v>
      </c>
      <c r="I388" s="1">
        <v>9.0</v>
      </c>
      <c r="J388" s="1">
        <v>1.0</v>
      </c>
      <c r="K388" s="1">
        <v>4.0</v>
      </c>
      <c r="L388" s="1">
        <f t="shared" ref="L388:N388" si="1140">SUMPRODUCT($B388:$J388, INDEX($B$2:$J$4, L$10, 0)) + INDEX($K$2:$K$4, L$10,1)</f>
        <v>47.77762781</v>
      </c>
      <c r="M388" s="1">
        <f t="shared" si="1140"/>
        <v>46.36624666</v>
      </c>
      <c r="N388" s="1">
        <f t="shared" si="1140"/>
        <v>47.50608099</v>
      </c>
      <c r="O388" s="1">
        <f t="shared" ref="O388:Q388" si="1141">(L388-L$7)/(L$6-L$7)</f>
        <v>0.6527655165</v>
      </c>
      <c r="P388" s="1">
        <f t="shared" si="1141"/>
        <v>0.6650383195</v>
      </c>
      <c r="Q388" s="1">
        <f t="shared" si="1141"/>
        <v>0.6733730069</v>
      </c>
      <c r="R388" s="1">
        <f t="shared" ref="R388:T388" si="1142">1/(1+EXP(-O388))</f>
        <v>0.6576333946</v>
      </c>
      <c r="S388" s="1">
        <f t="shared" si="1142"/>
        <v>0.6603912672</v>
      </c>
      <c r="T388" s="1">
        <f t="shared" si="1142"/>
        <v>0.6622580199</v>
      </c>
      <c r="U388" s="1">
        <f t="shared" si="11"/>
        <v>3.266979218</v>
      </c>
      <c r="V388" s="1">
        <f t="shared" si="12"/>
        <v>0.5373194666</v>
      </c>
      <c r="W388" s="1">
        <f t="shared" si="13"/>
        <v>4</v>
      </c>
      <c r="X388" s="1">
        <f t="shared" si="14"/>
        <v>0</v>
      </c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ht="15.75" customHeight="1">
      <c r="A389" s="1"/>
      <c r="B389" s="1">
        <v>1.0</v>
      </c>
      <c r="C389" s="1">
        <v>1.0</v>
      </c>
      <c r="D389" s="1">
        <v>1.0</v>
      </c>
      <c r="E389" s="1">
        <v>1.0</v>
      </c>
      <c r="F389" s="1">
        <v>10.0</v>
      </c>
      <c r="G389" s="3">
        <v>1.0</v>
      </c>
      <c r="H389" s="1">
        <v>1.0</v>
      </c>
      <c r="I389" s="1">
        <v>1.0</v>
      </c>
      <c r="J389" s="1">
        <v>1.0</v>
      </c>
      <c r="K389" s="1">
        <v>2.0</v>
      </c>
      <c r="L389" s="1">
        <f t="shared" ref="L389:N389" si="1143">SUMPRODUCT($B389:$J389, INDEX($B$2:$J$4, L$10, 0)) + INDEX($K$2:$K$4, L$10,1)</f>
        <v>8.419623124</v>
      </c>
      <c r="M389" s="1">
        <f t="shared" si="1143"/>
        <v>7.529534184</v>
      </c>
      <c r="N389" s="1">
        <f t="shared" si="1143"/>
        <v>7.6866429</v>
      </c>
      <c r="O389" s="1">
        <f t="shared" ref="O389:Q389" si="1144">(L389-L$7)/(L$6-L$7)</f>
        <v>0.009170287684</v>
      </c>
      <c r="P389" s="1">
        <f t="shared" si="1144"/>
        <v>0.00000005611403068</v>
      </c>
      <c r="Q389" s="1">
        <f t="shared" si="1144"/>
        <v>0</v>
      </c>
      <c r="R389" s="1">
        <f t="shared" ref="R389:T389" si="1145">1/(1+EXP(-O389))</f>
        <v>0.5022925559</v>
      </c>
      <c r="S389" s="1">
        <f t="shared" si="1145"/>
        <v>0.500000014</v>
      </c>
      <c r="T389" s="1">
        <f t="shared" si="1145"/>
        <v>0.5</v>
      </c>
      <c r="U389" s="1">
        <f t="shared" si="11"/>
        <v>2.478026061</v>
      </c>
      <c r="V389" s="1">
        <f t="shared" si="12"/>
        <v>0.228508915</v>
      </c>
      <c r="W389" s="1">
        <f t="shared" si="13"/>
        <v>2</v>
      </c>
      <c r="X389" s="1">
        <f t="shared" si="14"/>
        <v>0</v>
      </c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ht="15.75" customHeight="1">
      <c r="A390" s="1"/>
      <c r="B390" s="1">
        <v>8.0</v>
      </c>
      <c r="C390" s="1">
        <v>2.0</v>
      </c>
      <c r="D390" s="1">
        <v>1.0</v>
      </c>
      <c r="E390" s="1">
        <v>1.0</v>
      </c>
      <c r="F390" s="1">
        <v>5.0</v>
      </c>
      <c r="G390" s="3">
        <v>1.0</v>
      </c>
      <c r="H390" s="1">
        <v>1.0</v>
      </c>
      <c r="I390" s="1">
        <v>1.0</v>
      </c>
      <c r="J390" s="1">
        <v>1.0</v>
      </c>
      <c r="K390" s="1">
        <v>2.0</v>
      </c>
      <c r="L390" s="1">
        <f t="shared" ref="L390:N390" si="1146">SUMPRODUCT($B390:$J390, INDEX($B$2:$J$4, L$10, 0)) + INDEX($K$2:$K$4, L$10,1)</f>
        <v>9.814630622</v>
      </c>
      <c r="M390" s="1">
        <f t="shared" si="1146"/>
        <v>9.315019557</v>
      </c>
      <c r="N390" s="1">
        <f t="shared" si="1146"/>
        <v>9.162477233</v>
      </c>
      <c r="O390" s="1">
        <f t="shared" ref="O390:Q390" si="1147">(L390-L$7)/(L$6-L$7)</f>
        <v>0.03198191588</v>
      </c>
      <c r="P390" s="1">
        <f t="shared" si="1147"/>
        <v>0.03057463403</v>
      </c>
      <c r="Q390" s="1">
        <f t="shared" si="1147"/>
        <v>0.02495733366</v>
      </c>
      <c r="R390" s="1">
        <f t="shared" ref="R390:T390" si="1148">1/(1+EXP(-O390))</f>
        <v>0.5079947975</v>
      </c>
      <c r="S390" s="1">
        <f t="shared" si="1148"/>
        <v>0.5076430631</v>
      </c>
      <c r="T390" s="1">
        <f t="shared" si="1148"/>
        <v>0.5062390096</v>
      </c>
      <c r="U390" s="1">
        <f t="shared" si="11"/>
        <v>2.510368272</v>
      </c>
      <c r="V390" s="1">
        <f t="shared" si="12"/>
        <v>0.2604757733</v>
      </c>
      <c r="W390" s="1">
        <f t="shared" si="13"/>
        <v>2</v>
      </c>
      <c r="X390" s="1">
        <f t="shared" si="14"/>
        <v>0</v>
      </c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ht="15.75" customHeight="1">
      <c r="A391" s="1"/>
      <c r="B391" s="1">
        <v>5.0</v>
      </c>
      <c r="C391" s="1">
        <v>1.0</v>
      </c>
      <c r="D391" s="1">
        <v>1.0</v>
      </c>
      <c r="E391" s="1">
        <v>1.0</v>
      </c>
      <c r="F391" s="1">
        <v>2.0</v>
      </c>
      <c r="G391" s="3">
        <v>1.0</v>
      </c>
      <c r="H391" s="1">
        <v>3.0</v>
      </c>
      <c r="I391" s="1">
        <v>1.0</v>
      </c>
      <c r="J391" s="1">
        <v>2.0</v>
      </c>
      <c r="K391" s="1">
        <v>2.0</v>
      </c>
      <c r="L391" s="1">
        <f t="shared" ref="L391:N391" si="1149">SUMPRODUCT($B391:$J391, INDEX($B$2:$J$4, L$10, 0)) + INDEX($K$2:$K$4, L$10,1)</f>
        <v>8.049231444</v>
      </c>
      <c r="M391" s="1">
        <f t="shared" si="1149"/>
        <v>7.607539277</v>
      </c>
      <c r="N391" s="1">
        <f t="shared" si="1149"/>
        <v>7.726206983</v>
      </c>
      <c r="O391" s="1">
        <f t="shared" ref="O391:Q391" si="1150">(L391-L$7)/(L$6-L$7)</f>
        <v>0.003113519306</v>
      </c>
      <c r="P391" s="1">
        <f t="shared" si="1150"/>
        <v>0.001335812098</v>
      </c>
      <c r="Q391" s="1">
        <f t="shared" si="1150"/>
        <v>0.0006690547814</v>
      </c>
      <c r="R391" s="1">
        <f t="shared" ref="R391:T391" si="1151">1/(1+EXP(-O391))</f>
        <v>0.5007783792</v>
      </c>
      <c r="S391" s="1">
        <f t="shared" si="1151"/>
        <v>0.500333953</v>
      </c>
      <c r="T391" s="1">
        <f t="shared" si="1151"/>
        <v>0.5001672637</v>
      </c>
      <c r="U391" s="1">
        <f t="shared" si="11"/>
        <v>2.47646732</v>
      </c>
      <c r="V391" s="1">
        <f t="shared" si="12"/>
        <v>0.2270211071</v>
      </c>
      <c r="W391" s="1">
        <f t="shared" si="13"/>
        <v>2</v>
      </c>
      <c r="X391" s="1">
        <f t="shared" si="14"/>
        <v>0</v>
      </c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ht="15.75" customHeight="1">
      <c r="A392" s="1"/>
      <c r="B392" s="1">
        <v>1.0</v>
      </c>
      <c r="C392" s="1">
        <v>1.0</v>
      </c>
      <c r="D392" s="1">
        <v>1.0</v>
      </c>
      <c r="E392" s="1">
        <v>1.0</v>
      </c>
      <c r="F392" s="1">
        <v>1.0</v>
      </c>
      <c r="G392" s="3">
        <v>1.0</v>
      </c>
      <c r="H392" s="1">
        <v>1.0</v>
      </c>
      <c r="I392" s="1">
        <v>3.0</v>
      </c>
      <c r="J392" s="1">
        <v>1.0</v>
      </c>
      <c r="K392" s="1">
        <v>2.0</v>
      </c>
      <c r="L392" s="1">
        <f t="shared" ref="L392:N392" si="1152">SUMPRODUCT($B392:$J392, INDEX($B$2:$J$4, L$10, 0)) + INDEX($K$2:$K$4, L$10,1)</f>
        <v>8.428067828</v>
      </c>
      <c r="M392" s="1">
        <f t="shared" si="1152"/>
        <v>8.115115</v>
      </c>
      <c r="N392" s="1">
        <f t="shared" si="1152"/>
        <v>8.287452115</v>
      </c>
      <c r="O392" s="1">
        <f t="shared" ref="O392:Q392" si="1153">(L392-L$7)/(L$6-L$7)</f>
        <v>0.009308378294</v>
      </c>
      <c r="P392" s="1">
        <f t="shared" si="1153"/>
        <v>0.01002751786</v>
      </c>
      <c r="Q392" s="1">
        <f t="shared" si="1153"/>
        <v>0.01016008077</v>
      </c>
      <c r="R392" s="1">
        <f t="shared" ref="R392:T392" si="1154">1/(1+EXP(-O392))</f>
        <v>0.5023270778</v>
      </c>
      <c r="S392" s="1">
        <f t="shared" si="1154"/>
        <v>0.5025068585</v>
      </c>
      <c r="T392" s="1">
        <f t="shared" si="1154"/>
        <v>0.5025399983</v>
      </c>
      <c r="U392" s="1">
        <f t="shared" si="11"/>
        <v>2.486575515</v>
      </c>
      <c r="V392" s="1">
        <f t="shared" si="12"/>
        <v>0.2367557318</v>
      </c>
      <c r="W392" s="1">
        <f t="shared" si="13"/>
        <v>2</v>
      </c>
      <c r="X392" s="1">
        <f t="shared" si="14"/>
        <v>0</v>
      </c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ht="15.75" customHeight="1">
      <c r="A393" s="1"/>
      <c r="B393" s="1">
        <v>1.0</v>
      </c>
      <c r="C393" s="1">
        <v>1.0</v>
      </c>
      <c r="D393" s="1">
        <v>3.0</v>
      </c>
      <c r="E393" s="1">
        <v>1.0</v>
      </c>
      <c r="F393" s="1">
        <v>2.0</v>
      </c>
      <c r="G393" s="3">
        <v>1.0</v>
      </c>
      <c r="H393" s="1">
        <v>1.0</v>
      </c>
      <c r="I393" s="1">
        <v>1.0</v>
      </c>
      <c r="J393" s="1">
        <v>1.0</v>
      </c>
      <c r="K393" s="1">
        <v>2.0</v>
      </c>
      <c r="L393" s="1">
        <f t="shared" ref="L393:N393" si="1155">SUMPRODUCT($B393:$J393, INDEX($B$2:$J$4, L$10, 0)) + INDEX($K$2:$K$4, L$10,1)</f>
        <v>11.01572108</v>
      </c>
      <c r="M393" s="1">
        <f t="shared" si="1155"/>
        <v>10.07215808</v>
      </c>
      <c r="N393" s="1">
        <f t="shared" si="1155"/>
        <v>10.71781616</v>
      </c>
      <c r="O393" s="1">
        <f t="shared" ref="O393:Q393" si="1156">(L393-L$7)/(L$6-L$7)</f>
        <v>0.05162254786</v>
      </c>
      <c r="P393" s="1">
        <f t="shared" si="1156"/>
        <v>0.04353984288</v>
      </c>
      <c r="Q393" s="1">
        <f t="shared" si="1156"/>
        <v>0.05125914259</v>
      </c>
      <c r="R393" s="1">
        <f t="shared" ref="R393:T393" si="1157">1/(1+EXP(-O393))</f>
        <v>0.5129027717</v>
      </c>
      <c r="S393" s="1">
        <f t="shared" si="1157"/>
        <v>0.5108832415</v>
      </c>
      <c r="T393" s="1">
        <f t="shared" si="1157"/>
        <v>0.5128119805</v>
      </c>
      <c r="U393" s="1">
        <f t="shared" si="11"/>
        <v>2.534762988</v>
      </c>
      <c r="V393" s="1">
        <f t="shared" si="12"/>
        <v>0.2859714534</v>
      </c>
      <c r="W393" s="1">
        <f t="shared" si="13"/>
        <v>2</v>
      </c>
      <c r="X393" s="1">
        <f t="shared" si="14"/>
        <v>0</v>
      </c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ht="15.75" customHeight="1">
      <c r="A394" s="1"/>
      <c r="B394" s="1">
        <v>1.0</v>
      </c>
      <c r="C394" s="1">
        <v>1.0</v>
      </c>
      <c r="D394" s="1">
        <v>1.0</v>
      </c>
      <c r="E394" s="1">
        <v>1.0</v>
      </c>
      <c r="F394" s="1">
        <v>2.0</v>
      </c>
      <c r="G394" s="3">
        <v>2.0</v>
      </c>
      <c r="H394" s="1">
        <v>1.0</v>
      </c>
      <c r="I394" s="1">
        <v>1.0</v>
      </c>
      <c r="J394" s="1">
        <v>1.0</v>
      </c>
      <c r="K394" s="1">
        <v>2.0</v>
      </c>
      <c r="L394" s="1">
        <f t="shared" ref="L394:N394" si="1158">SUMPRODUCT($B394:$J394, INDEX($B$2:$J$4, L$10, 0)) + INDEX($K$2:$K$4, L$10,1)</f>
        <v>11.16698059</v>
      </c>
      <c r="M394" s="1">
        <f t="shared" si="1158"/>
        <v>10.78558485</v>
      </c>
      <c r="N394" s="1">
        <f t="shared" si="1158"/>
        <v>11.02182631</v>
      </c>
      <c r="O394" s="1">
        <f t="shared" ref="O394:Q394" si="1159">(L394-L$7)/(L$6-L$7)</f>
        <v>0.05409599385</v>
      </c>
      <c r="P394" s="1">
        <f t="shared" si="1159"/>
        <v>0.05575653356</v>
      </c>
      <c r="Q394" s="1">
        <f t="shared" si="1159"/>
        <v>0.05640015494</v>
      </c>
      <c r="R394" s="1">
        <f t="shared" ref="R394:T394" si="1160">1/(1+EXP(-O394))</f>
        <v>0.5135207014</v>
      </c>
      <c r="S394" s="1">
        <f t="shared" si="1160"/>
        <v>0.5139355234</v>
      </c>
      <c r="T394" s="1">
        <f t="shared" si="1160"/>
        <v>0.5140963023</v>
      </c>
      <c r="U394" s="1">
        <f t="shared" si="11"/>
        <v>2.542980655</v>
      </c>
      <c r="V394" s="1">
        <f t="shared" si="12"/>
        <v>0.2948279916</v>
      </c>
      <c r="W394" s="1">
        <f t="shared" si="13"/>
        <v>2</v>
      </c>
      <c r="X394" s="1">
        <f t="shared" si="14"/>
        <v>0</v>
      </c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ht="15.75" customHeight="1">
      <c r="A395" s="1"/>
      <c r="B395" s="1">
        <v>5.0</v>
      </c>
      <c r="C395" s="1">
        <v>1.0</v>
      </c>
      <c r="D395" s="1">
        <v>1.0</v>
      </c>
      <c r="E395" s="1">
        <v>1.0</v>
      </c>
      <c r="F395" s="1">
        <v>2.0</v>
      </c>
      <c r="G395" s="3">
        <v>1.0</v>
      </c>
      <c r="H395" s="1">
        <v>1.0</v>
      </c>
      <c r="I395" s="1">
        <v>1.0</v>
      </c>
      <c r="J395" s="1">
        <v>1.0</v>
      </c>
      <c r="K395" s="1">
        <v>2.0</v>
      </c>
      <c r="L395" s="1">
        <f t="shared" ref="L395:N395" si="1161">SUMPRODUCT($B395:$J395, INDEX($B$2:$J$4, L$10, 0)) + INDEX($K$2:$K$4, L$10,1)</f>
        <v>7.984645998</v>
      </c>
      <c r="M395" s="1">
        <f t="shared" si="1161"/>
        <v>7.607539277</v>
      </c>
      <c r="N395" s="1">
        <f t="shared" si="1161"/>
        <v>7.726198925</v>
      </c>
      <c r="O395" s="1">
        <f t="shared" ref="O395:Q395" si="1162">(L395-L$7)/(L$6-L$7)</f>
        <v>0.002057396537</v>
      </c>
      <c r="P395" s="1">
        <f t="shared" si="1162"/>
        <v>0.001335812098</v>
      </c>
      <c r="Q395" s="1">
        <f t="shared" si="1162"/>
        <v>0.0006689185196</v>
      </c>
      <c r="R395" s="1">
        <f t="shared" ref="R395:T395" si="1163">1/(1+EXP(-O395))</f>
        <v>0.500514349</v>
      </c>
      <c r="S395" s="1">
        <f t="shared" si="1163"/>
        <v>0.500333953</v>
      </c>
      <c r="T395" s="1">
        <f t="shared" si="1163"/>
        <v>0.5001672296</v>
      </c>
      <c r="U395" s="1">
        <f t="shared" si="11"/>
        <v>2.476049343</v>
      </c>
      <c r="V395" s="1">
        <f t="shared" si="12"/>
        <v>0.2266229766</v>
      </c>
      <c r="W395" s="1">
        <f t="shared" si="13"/>
        <v>2</v>
      </c>
      <c r="X395" s="1">
        <f t="shared" si="14"/>
        <v>0</v>
      </c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ht="15.75" customHeight="1">
      <c r="A396" s="1"/>
      <c r="B396" s="1">
        <v>1.0</v>
      </c>
      <c r="C396" s="1">
        <v>1.0</v>
      </c>
      <c r="D396" s="1">
        <v>1.0</v>
      </c>
      <c r="E396" s="1">
        <v>1.0</v>
      </c>
      <c r="F396" s="1">
        <v>2.0</v>
      </c>
      <c r="G396" s="3">
        <v>1.0</v>
      </c>
      <c r="H396" s="1">
        <v>1.0</v>
      </c>
      <c r="I396" s="1">
        <v>1.0</v>
      </c>
      <c r="J396" s="1">
        <v>1.0</v>
      </c>
      <c r="K396" s="1">
        <v>2.0</v>
      </c>
      <c r="L396" s="1">
        <f t="shared" ref="L396:N396" si="1164">SUMPRODUCT($B396:$J396, INDEX($B$2:$J$4, L$10, 0)) + INDEX($K$2:$K$4, L$10,1)</f>
        <v>7.921139731</v>
      </c>
      <c r="M396" s="1">
        <f t="shared" si="1164"/>
        <v>7.529531272</v>
      </c>
      <c r="N396" s="1">
        <f t="shared" si="1164"/>
        <v>7.6866429</v>
      </c>
      <c r="O396" s="1">
        <f t="shared" ref="O396:Q396" si="1165">(L396-L$7)/(L$6-L$7)</f>
        <v>0.001018920854</v>
      </c>
      <c r="P396" s="1">
        <f t="shared" si="1165"/>
        <v>0.000000006234892308</v>
      </c>
      <c r="Q396" s="1">
        <f t="shared" si="1165"/>
        <v>0</v>
      </c>
      <c r="R396" s="1">
        <f t="shared" ref="R396:T396" si="1166">1/(1+EXP(-O396))</f>
        <v>0.5002547302</v>
      </c>
      <c r="S396" s="1">
        <f t="shared" si="1166"/>
        <v>0.5000000016</v>
      </c>
      <c r="T396" s="1">
        <f t="shared" si="1166"/>
        <v>0.5</v>
      </c>
      <c r="U396" s="1">
        <f t="shared" si="11"/>
        <v>2.474800478</v>
      </c>
      <c r="V396" s="1">
        <f t="shared" si="12"/>
        <v>0.2254354935</v>
      </c>
      <c r="W396" s="1">
        <f t="shared" si="13"/>
        <v>2</v>
      </c>
      <c r="X396" s="1">
        <f t="shared" si="14"/>
        <v>0</v>
      </c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ht="15.75" customHeight="1">
      <c r="A397" s="1"/>
      <c r="B397" s="1">
        <v>4.0</v>
      </c>
      <c r="C397" s="1">
        <v>3.0</v>
      </c>
      <c r="D397" s="1">
        <v>1.0</v>
      </c>
      <c r="E397" s="1">
        <v>1.0</v>
      </c>
      <c r="F397" s="1">
        <v>2.0</v>
      </c>
      <c r="G397" s="3">
        <v>1.0</v>
      </c>
      <c r="H397" s="1">
        <v>4.0</v>
      </c>
      <c r="I397" s="1">
        <v>8.0</v>
      </c>
      <c r="J397" s="1">
        <v>1.0</v>
      </c>
      <c r="K397" s="1">
        <v>2.0</v>
      </c>
      <c r="L397" s="1">
        <f t="shared" ref="L397:N397" si="1167">SUMPRODUCT($B397:$J397, INDEX($B$2:$J$4, L$10, 0)) + INDEX($K$2:$K$4, L$10,1)</f>
        <v>13.24882973</v>
      </c>
      <c r="M397" s="1">
        <f t="shared" si="1167"/>
        <v>12.93552797</v>
      </c>
      <c r="N397" s="1">
        <f t="shared" si="1167"/>
        <v>12.63237683</v>
      </c>
      <c r="O397" s="1">
        <f t="shared" ref="O397:Q397" si="1168">(L397-L$7)/(L$6-L$7)</f>
        <v>0.08813908584</v>
      </c>
      <c r="P397" s="1">
        <f t="shared" si="1168"/>
        <v>0.09257207081</v>
      </c>
      <c r="Q397" s="1">
        <f t="shared" si="1168"/>
        <v>0.08363562848</v>
      </c>
      <c r="R397" s="1">
        <f t="shared" ref="R397:T397" si="1169">1/(1+EXP(-O397))</f>
        <v>0.5220205178</v>
      </c>
      <c r="S397" s="1">
        <f t="shared" si="1169"/>
        <v>0.5231265047</v>
      </c>
      <c r="T397" s="1">
        <f t="shared" si="1169"/>
        <v>0.5208967276</v>
      </c>
      <c r="U397" s="1">
        <f t="shared" si="11"/>
        <v>2.583268155</v>
      </c>
      <c r="V397" s="1">
        <f t="shared" si="12"/>
        <v>0.340201741</v>
      </c>
      <c r="W397" s="1">
        <f t="shared" si="13"/>
        <v>2</v>
      </c>
      <c r="X397" s="1">
        <f t="shared" si="14"/>
        <v>0</v>
      </c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ht="15.75" customHeight="1">
      <c r="A398" s="1"/>
      <c r="B398" s="1">
        <v>5.0</v>
      </c>
      <c r="C398" s="1">
        <v>1.0</v>
      </c>
      <c r="D398" s="1">
        <v>1.0</v>
      </c>
      <c r="E398" s="1">
        <v>1.0</v>
      </c>
      <c r="F398" s="1">
        <v>2.0</v>
      </c>
      <c r="G398" s="3">
        <v>1.0</v>
      </c>
      <c r="H398" s="1">
        <v>2.0</v>
      </c>
      <c r="I398" s="1">
        <v>1.0</v>
      </c>
      <c r="J398" s="1">
        <v>1.0</v>
      </c>
      <c r="K398" s="1">
        <v>2.0</v>
      </c>
      <c r="L398" s="1">
        <f t="shared" ref="L398:N398" si="1170">SUMPRODUCT($B398:$J398, INDEX($B$2:$J$4, L$10, 0)) + INDEX($K$2:$K$4, L$10,1)</f>
        <v>8.016938721</v>
      </c>
      <c r="M398" s="1">
        <f t="shared" si="1170"/>
        <v>7.607539277</v>
      </c>
      <c r="N398" s="1">
        <f t="shared" si="1170"/>
        <v>7.726202954</v>
      </c>
      <c r="O398" s="1">
        <f t="shared" ref="O398:Q398" si="1171">(L398-L$7)/(L$6-L$7)</f>
        <v>0.002585457921</v>
      </c>
      <c r="P398" s="1">
        <f t="shared" si="1171"/>
        <v>0.001335812098</v>
      </c>
      <c r="Q398" s="1">
        <f t="shared" si="1171"/>
        <v>0.0006689866505</v>
      </c>
      <c r="R398" s="1">
        <f t="shared" ref="R398:T398" si="1172">1/(1+EXP(-O398))</f>
        <v>0.5006463641</v>
      </c>
      <c r="S398" s="1">
        <f t="shared" si="1172"/>
        <v>0.500333953</v>
      </c>
      <c r="T398" s="1">
        <f t="shared" si="1172"/>
        <v>0.5001672467</v>
      </c>
      <c r="U398" s="1">
        <f t="shared" si="11"/>
        <v>2.476258331</v>
      </c>
      <c r="V398" s="1">
        <f t="shared" si="12"/>
        <v>0.2268219982</v>
      </c>
      <c r="W398" s="1">
        <f t="shared" si="13"/>
        <v>2</v>
      </c>
      <c r="X398" s="1">
        <f t="shared" si="14"/>
        <v>0</v>
      </c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ht="15.75" customHeight="1">
      <c r="A399" s="1"/>
      <c r="B399" s="1">
        <v>5.0</v>
      </c>
      <c r="C399" s="1">
        <v>2.0</v>
      </c>
      <c r="D399" s="1">
        <v>2.0</v>
      </c>
      <c r="E399" s="1">
        <v>2.0</v>
      </c>
      <c r="F399" s="1">
        <v>2.0</v>
      </c>
      <c r="G399" s="3">
        <v>1.0</v>
      </c>
      <c r="H399" s="1">
        <v>1.0</v>
      </c>
      <c r="I399" s="1">
        <v>1.0</v>
      </c>
      <c r="J399" s="1">
        <v>2.0</v>
      </c>
      <c r="K399" s="1">
        <v>2.0</v>
      </c>
      <c r="L399" s="1">
        <f t="shared" ref="L399:N399" si="1173">SUMPRODUCT($B399:$J399, INDEX($B$2:$J$4, L$10, 0)) + INDEX($K$2:$K$4, L$10,1)</f>
        <v>11.15942592</v>
      </c>
      <c r="M399" s="1">
        <f t="shared" si="1173"/>
        <v>10.52782587</v>
      </c>
      <c r="N399" s="1">
        <f t="shared" si="1173"/>
        <v>10.65119511</v>
      </c>
      <c r="O399" s="1">
        <f t="shared" ref="O399:Q399" si="1174">(L399-L$7)/(L$6-L$7)</f>
        <v>0.05397245739</v>
      </c>
      <c r="P399" s="1">
        <f t="shared" si="1174"/>
        <v>0.05134267925</v>
      </c>
      <c r="Q399" s="1">
        <f t="shared" si="1174"/>
        <v>0.05013253654</v>
      </c>
      <c r="R399" s="1">
        <f t="shared" ref="R399:T399" si="1175">1/(1+EXP(-O399))</f>
        <v>0.5134898398</v>
      </c>
      <c r="S399" s="1">
        <f t="shared" si="1175"/>
        <v>0.5128328509</v>
      </c>
      <c r="T399" s="1">
        <f t="shared" si="1175"/>
        <v>0.5125305099</v>
      </c>
      <c r="U399" s="1">
        <f t="shared" si="11"/>
        <v>2.538425441</v>
      </c>
      <c r="V399" s="1">
        <f t="shared" si="12"/>
        <v>0.2899019553</v>
      </c>
      <c r="W399" s="1">
        <f t="shared" si="13"/>
        <v>2</v>
      </c>
      <c r="X399" s="1">
        <f t="shared" si="14"/>
        <v>0</v>
      </c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ht="15.75" customHeight="1">
      <c r="A400" s="1"/>
      <c r="B400" s="1">
        <v>1.0</v>
      </c>
      <c r="C400" s="1">
        <v>1.0</v>
      </c>
      <c r="D400" s="1">
        <v>1.0</v>
      </c>
      <c r="E400" s="1">
        <v>1.0</v>
      </c>
      <c r="F400" s="1">
        <v>2.0</v>
      </c>
      <c r="G400" s="3">
        <v>10.0</v>
      </c>
      <c r="H400" s="1">
        <v>3.0</v>
      </c>
      <c r="I400" s="1">
        <v>1.0</v>
      </c>
      <c r="J400" s="1">
        <v>1.0</v>
      </c>
      <c r="K400" s="1">
        <v>2.0</v>
      </c>
      <c r="L400" s="1">
        <f t="shared" ref="L400:N400" si="1176">SUMPRODUCT($B400:$J400, INDEX($B$2:$J$4, L$10, 0)) + INDEX($K$2:$K$4, L$10,1)</f>
        <v>37.19829287</v>
      </c>
      <c r="M400" s="1">
        <f t="shared" si="1176"/>
        <v>36.83401352</v>
      </c>
      <c r="N400" s="1">
        <f t="shared" si="1176"/>
        <v>37.7033016</v>
      </c>
      <c r="O400" s="1">
        <f t="shared" ref="O400:Q400" si="1177">(L400-L$7)/(L$6-L$7)</f>
        <v>0.4797687006</v>
      </c>
      <c r="P400" s="1">
        <f t="shared" si="1177"/>
        <v>0.5018087522</v>
      </c>
      <c r="Q400" s="1">
        <f t="shared" si="1177"/>
        <v>0.5076015307</v>
      </c>
      <c r="R400" s="1">
        <f t="shared" ref="R400:T400" si="1178">1/(1+EXP(-O400))</f>
        <v>0.6176932553</v>
      </c>
      <c r="S400" s="1">
        <f t="shared" si="1178"/>
        <v>0.6228843004</v>
      </c>
      <c r="T400" s="1">
        <f t="shared" si="1178"/>
        <v>0.6242440492</v>
      </c>
      <c r="U400" s="1">
        <f t="shared" si="11"/>
        <v>3.076643468</v>
      </c>
      <c r="V400" s="1">
        <f t="shared" si="12"/>
        <v>1.159161158</v>
      </c>
      <c r="W400" s="1">
        <f t="shared" si="13"/>
        <v>4</v>
      </c>
      <c r="X400" s="1">
        <f t="shared" si="14"/>
        <v>1</v>
      </c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ht="15.75" customHeight="1">
      <c r="A401" s="1"/>
      <c r="B401" s="1">
        <v>3.0</v>
      </c>
      <c r="C401" s="1">
        <v>1.0</v>
      </c>
      <c r="D401" s="1">
        <v>2.0</v>
      </c>
      <c r="E401" s="1">
        <v>1.0</v>
      </c>
      <c r="F401" s="1">
        <v>2.0</v>
      </c>
      <c r="G401" s="3">
        <v>1.0</v>
      </c>
      <c r="H401" s="1">
        <v>2.0</v>
      </c>
      <c r="I401" s="1">
        <v>1.0</v>
      </c>
      <c r="J401" s="1">
        <v>1.0</v>
      </c>
      <c r="K401" s="1">
        <v>2.0</v>
      </c>
      <c r="L401" s="1">
        <f t="shared" ref="L401:N401" si="1179">SUMPRODUCT($B401:$J401, INDEX($B$2:$J$4, L$10, 0)) + INDEX($K$2:$K$4, L$10,1)</f>
        <v>9.53247626</v>
      </c>
      <c r="M401" s="1">
        <f t="shared" si="1179"/>
        <v>8.839848678</v>
      </c>
      <c r="N401" s="1">
        <f t="shared" si="1179"/>
        <v>9.222011573</v>
      </c>
      <c r="O401" s="1">
        <f t="shared" ref="O401:Q401" si="1180">(L401-L$7)/(L$6-L$7)</f>
        <v>0.02736803358</v>
      </c>
      <c r="P401" s="1">
        <f t="shared" si="1180"/>
        <v>0.02243782749</v>
      </c>
      <c r="Q401" s="1">
        <f t="shared" si="1180"/>
        <v>0.02596409868</v>
      </c>
      <c r="R401" s="1">
        <f t="shared" ref="R401:T401" si="1181">1/(1+EXP(-O401))</f>
        <v>0.5068415814</v>
      </c>
      <c r="S401" s="1">
        <f t="shared" si="1181"/>
        <v>0.5056092215</v>
      </c>
      <c r="T401" s="1">
        <f t="shared" si="1181"/>
        <v>0.50649066</v>
      </c>
      <c r="U401" s="1">
        <f t="shared" si="11"/>
        <v>2.505619558</v>
      </c>
      <c r="V401" s="1">
        <f t="shared" si="12"/>
        <v>0.255651137</v>
      </c>
      <c r="W401" s="1">
        <f t="shared" si="13"/>
        <v>2</v>
      </c>
      <c r="X401" s="1">
        <f t="shared" si="14"/>
        <v>0</v>
      </c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ht="15.75" customHeight="1">
      <c r="A402" s="1"/>
      <c r="B402" s="1">
        <v>5.0</v>
      </c>
      <c r="C402" s="1">
        <v>2.0</v>
      </c>
      <c r="D402" s="1">
        <v>1.0</v>
      </c>
      <c r="E402" s="1">
        <v>1.0</v>
      </c>
      <c r="F402" s="1">
        <v>2.0</v>
      </c>
      <c r="G402" s="3">
        <v>1.0</v>
      </c>
      <c r="H402" s="1">
        <v>3.0</v>
      </c>
      <c r="I402" s="1">
        <v>1.0</v>
      </c>
      <c r="J402" s="1">
        <v>1.0</v>
      </c>
      <c r="K402" s="1">
        <v>2.0</v>
      </c>
      <c r="L402" s="1">
        <f t="shared" ref="L402:N402" si="1182">SUMPRODUCT($B402:$J402, INDEX($B$2:$J$4, L$10, 0)) + INDEX($K$2:$K$4, L$10,1)</f>
        <v>9.644655094</v>
      </c>
      <c r="M402" s="1">
        <f t="shared" si="1182"/>
        <v>9.256512461</v>
      </c>
      <c r="N402" s="1">
        <f t="shared" si="1182"/>
        <v>9.132818272</v>
      </c>
      <c r="O402" s="1">
        <f t="shared" ref="O402:Q402" si="1183">(L402-L$7)/(L$6-L$7)</f>
        <v>0.02920241933</v>
      </c>
      <c r="P402" s="1">
        <f t="shared" si="1183"/>
        <v>0.02957276093</v>
      </c>
      <c r="Q402" s="1">
        <f t="shared" si="1183"/>
        <v>0.02445578103</v>
      </c>
      <c r="R402" s="1">
        <f t="shared" ref="R402:T402" si="1184">1/(1+EXP(-O402))</f>
        <v>0.5073000861</v>
      </c>
      <c r="S402" s="1">
        <f t="shared" si="1184"/>
        <v>0.5073926515</v>
      </c>
      <c r="T402" s="1">
        <f t="shared" si="1184"/>
        <v>0.5061136406</v>
      </c>
      <c r="U402" s="1">
        <f t="shared" si="11"/>
        <v>2.508640382</v>
      </c>
      <c r="V402" s="1">
        <f t="shared" si="12"/>
        <v>0.258715038</v>
      </c>
      <c r="W402" s="1">
        <f t="shared" si="13"/>
        <v>2</v>
      </c>
      <c r="X402" s="1">
        <f t="shared" si="14"/>
        <v>0</v>
      </c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ht="15.75" customHeight="1">
      <c r="A403" s="1"/>
      <c r="B403" s="1">
        <v>1.0</v>
      </c>
      <c r="C403" s="1">
        <v>1.0</v>
      </c>
      <c r="D403" s="1">
        <v>1.0</v>
      </c>
      <c r="E403" s="1">
        <v>1.0</v>
      </c>
      <c r="F403" s="1">
        <v>2.0</v>
      </c>
      <c r="G403" s="3">
        <v>1.0</v>
      </c>
      <c r="H403" s="1">
        <v>2.0</v>
      </c>
      <c r="I403" s="1">
        <v>3.0</v>
      </c>
      <c r="J403" s="1">
        <v>1.0</v>
      </c>
      <c r="K403" s="1">
        <v>2.0</v>
      </c>
      <c r="L403" s="1">
        <f t="shared" ref="L403:N403" si="1185">SUMPRODUCT($B403:$J403, INDEX($B$2:$J$4, L$10, 0)) + INDEX($K$2:$K$4, L$10,1)</f>
        <v>8.522670975</v>
      </c>
      <c r="M403" s="1">
        <f t="shared" si="1185"/>
        <v>8.115115364</v>
      </c>
      <c r="N403" s="1">
        <f t="shared" si="1185"/>
        <v>8.287456144</v>
      </c>
      <c r="O403" s="1">
        <f t="shared" ref="O403:Q403" si="1186">(L403-L$7)/(L$6-L$7)</f>
        <v>0.01085536053</v>
      </c>
      <c r="P403" s="1">
        <f t="shared" si="1186"/>
        <v>0.0100275241</v>
      </c>
      <c r="Q403" s="1">
        <f t="shared" si="1186"/>
        <v>0.0101601489</v>
      </c>
      <c r="R403" s="1">
        <f t="shared" ref="R403:T403" si="1187">1/(1+EXP(-O403))</f>
        <v>0.5027138135</v>
      </c>
      <c r="S403" s="1">
        <f t="shared" si="1187"/>
        <v>0.50250686</v>
      </c>
      <c r="T403" s="1">
        <f t="shared" si="1187"/>
        <v>0.5025400154</v>
      </c>
      <c r="U403" s="1">
        <f t="shared" si="11"/>
        <v>2.48718769</v>
      </c>
      <c r="V403" s="1">
        <f t="shared" si="12"/>
        <v>0.2373518449</v>
      </c>
      <c r="W403" s="1">
        <f t="shared" si="13"/>
        <v>2</v>
      </c>
      <c r="X403" s="1">
        <f t="shared" si="14"/>
        <v>0</v>
      </c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ht="15.75" customHeight="1">
      <c r="A404" s="1"/>
      <c r="B404" s="1">
        <v>2.0</v>
      </c>
      <c r="C404" s="1">
        <v>1.0</v>
      </c>
      <c r="D404" s="1">
        <v>1.0</v>
      </c>
      <c r="E404" s="1">
        <v>1.0</v>
      </c>
      <c r="F404" s="1">
        <v>2.0</v>
      </c>
      <c r="G404" s="3">
        <v>1.0</v>
      </c>
      <c r="H404" s="1">
        <v>2.0</v>
      </c>
      <c r="I404" s="1">
        <v>1.0</v>
      </c>
      <c r="J404" s="1">
        <v>1.0</v>
      </c>
      <c r="K404" s="1">
        <v>2.0</v>
      </c>
      <c r="L404" s="1">
        <f t="shared" ref="L404:N404" si="1188">SUMPRODUCT($B404:$J404, INDEX($B$2:$J$4, L$10, 0)) + INDEX($K$2:$K$4, L$10,1)</f>
        <v>7.96930902</v>
      </c>
      <c r="M404" s="1">
        <f t="shared" si="1188"/>
        <v>7.549033273</v>
      </c>
      <c r="N404" s="1">
        <f t="shared" si="1188"/>
        <v>7.696535935</v>
      </c>
      <c r="O404" s="1">
        <f t="shared" ref="O404:Q404" si="1189">(L404-L$7)/(L$6-L$7)</f>
        <v>0.001806601159</v>
      </c>
      <c r="P404" s="1">
        <f t="shared" si="1189"/>
        <v>0.0003339577008</v>
      </c>
      <c r="Q404" s="1">
        <f t="shared" si="1189"/>
        <v>0.0001672977608</v>
      </c>
      <c r="R404" s="1">
        <f t="shared" ref="R404:T404" si="1190">1/(1+EXP(-O404))</f>
        <v>0.5004516502</v>
      </c>
      <c r="S404" s="1">
        <f t="shared" si="1190"/>
        <v>0.5000834894</v>
      </c>
      <c r="T404" s="1">
        <f t="shared" si="1190"/>
        <v>0.5000418244</v>
      </c>
      <c r="U404" s="1">
        <f t="shared" si="11"/>
        <v>2.475321683</v>
      </c>
      <c r="V404" s="1">
        <f t="shared" si="12"/>
        <v>0.2259307022</v>
      </c>
      <c r="W404" s="1">
        <f t="shared" si="13"/>
        <v>2</v>
      </c>
      <c r="X404" s="1">
        <f t="shared" si="14"/>
        <v>0</v>
      </c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ht="15.75" customHeight="1">
      <c r="A405" s="1"/>
      <c r="B405" s="1">
        <v>10.0</v>
      </c>
      <c r="C405" s="1">
        <v>10.0</v>
      </c>
      <c r="D405" s="1">
        <v>8.0</v>
      </c>
      <c r="E405" s="1">
        <v>6.0</v>
      </c>
      <c r="F405" s="1">
        <v>4.0</v>
      </c>
      <c r="G405" s="3">
        <v>5.0</v>
      </c>
      <c r="H405" s="1">
        <v>8.0</v>
      </c>
      <c r="I405" s="1">
        <v>10.0</v>
      </c>
      <c r="J405" s="1">
        <v>1.0</v>
      </c>
      <c r="K405" s="1">
        <v>4.0</v>
      </c>
      <c r="L405" s="1">
        <f t="shared" ref="L405:N405" si="1191">SUMPRODUCT($B405:$J405, INDEX($B$2:$J$4, L$10, 0)) + INDEX($K$2:$K$4, L$10,1)</f>
        <v>49.30981105</v>
      </c>
      <c r="M405" s="1">
        <f t="shared" si="1191"/>
        <v>47.10434525</v>
      </c>
      <c r="N405" s="1">
        <f t="shared" si="1191"/>
        <v>47.10264658</v>
      </c>
      <c r="O405" s="1">
        <f t="shared" ref="O405:Q405" si="1192">(L405-L$7)/(L$6-L$7)</f>
        <v>0.6778202882</v>
      </c>
      <c r="P405" s="1">
        <f t="shared" si="1192"/>
        <v>0.6776774893</v>
      </c>
      <c r="Q405" s="1">
        <f t="shared" si="1192"/>
        <v>0.6665506645</v>
      </c>
      <c r="R405" s="1">
        <f t="shared" ref="R405:T405" si="1193">1/(1+EXP(-O405))</f>
        <v>0.6632520348</v>
      </c>
      <c r="S405" s="1">
        <f t="shared" si="1193"/>
        <v>0.6632201401</v>
      </c>
      <c r="T405" s="1">
        <f t="shared" si="1193"/>
        <v>0.6607303655</v>
      </c>
      <c r="U405" s="1">
        <f t="shared" si="11"/>
        <v>3.277917647</v>
      </c>
      <c r="V405" s="1">
        <f t="shared" si="12"/>
        <v>0.5214029239</v>
      </c>
      <c r="W405" s="1">
        <f t="shared" si="13"/>
        <v>4</v>
      </c>
      <c r="X405" s="1">
        <f t="shared" si="14"/>
        <v>0</v>
      </c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ht="15.75" customHeight="1">
      <c r="A406" s="1"/>
      <c r="B406" s="1">
        <v>6.0</v>
      </c>
      <c r="C406" s="1">
        <v>10.0</v>
      </c>
      <c r="D406" s="1">
        <v>7.0</v>
      </c>
      <c r="E406" s="1">
        <v>7.0</v>
      </c>
      <c r="F406" s="1">
        <v>6.0</v>
      </c>
      <c r="G406" s="3">
        <v>4.0</v>
      </c>
      <c r="H406" s="1">
        <v>8.0</v>
      </c>
      <c r="I406" s="1">
        <v>10.0</v>
      </c>
      <c r="J406" s="1">
        <v>2.0</v>
      </c>
      <c r="K406" s="1">
        <v>4.0</v>
      </c>
      <c r="L406" s="1">
        <f t="shared" ref="L406:N406" si="1194">SUMPRODUCT($B406:$J406, INDEX($B$2:$J$4, L$10, 0)) + INDEX($K$2:$K$4, L$10,1)</f>
        <v>44.6098597</v>
      </c>
      <c r="M406" s="1">
        <f t="shared" si="1194"/>
        <v>42.49897099</v>
      </c>
      <c r="N406" s="1">
        <f t="shared" si="1194"/>
        <v>42.21511879</v>
      </c>
      <c r="O406" s="1">
        <f t="shared" ref="O406:Q406" si="1195">(L406-L$7)/(L$6-L$7)</f>
        <v>0.6009651151</v>
      </c>
      <c r="P406" s="1">
        <f t="shared" si="1195"/>
        <v>0.5988152503</v>
      </c>
      <c r="Q406" s="1">
        <f t="shared" si="1195"/>
        <v>0.5838993403</v>
      </c>
      <c r="R406" s="1">
        <f t="shared" ref="R406:T406" si="1196">1/(1+EXP(-O406))</f>
        <v>0.6458770783</v>
      </c>
      <c r="S406" s="1">
        <f t="shared" si="1196"/>
        <v>0.6453852074</v>
      </c>
      <c r="T406" s="1">
        <f t="shared" si="1196"/>
        <v>0.6419641501</v>
      </c>
      <c r="U406" s="1">
        <f t="shared" si="11"/>
        <v>3.188785995</v>
      </c>
      <c r="V406" s="1">
        <f t="shared" si="12"/>
        <v>0.6580681621</v>
      </c>
      <c r="W406" s="1">
        <f t="shared" si="13"/>
        <v>4</v>
      </c>
      <c r="X406" s="1">
        <f t="shared" si="14"/>
        <v>0</v>
      </c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ht="15.75" customHeight="1">
      <c r="A407" s="1"/>
      <c r="B407" s="1">
        <v>1.0</v>
      </c>
      <c r="C407" s="1">
        <v>1.0</v>
      </c>
      <c r="D407" s="1">
        <v>1.0</v>
      </c>
      <c r="E407" s="1">
        <v>1.0</v>
      </c>
      <c r="F407" s="1">
        <v>2.0</v>
      </c>
      <c r="G407" s="3">
        <v>1.0</v>
      </c>
      <c r="H407" s="1">
        <v>2.0</v>
      </c>
      <c r="I407" s="1">
        <v>1.0</v>
      </c>
      <c r="J407" s="1">
        <v>1.0</v>
      </c>
      <c r="K407" s="1">
        <v>2.0</v>
      </c>
      <c r="L407" s="1">
        <f t="shared" ref="L407:N407" si="1197">SUMPRODUCT($B407:$J407, INDEX($B$2:$J$4, L$10, 0)) + INDEX($K$2:$K$4, L$10,1)</f>
        <v>7.953432454</v>
      </c>
      <c r="M407" s="1">
        <f t="shared" si="1197"/>
        <v>7.529531272</v>
      </c>
      <c r="N407" s="1">
        <f t="shared" si="1197"/>
        <v>7.686646929</v>
      </c>
      <c r="O407" s="1">
        <f t="shared" ref="O407:Q407" si="1198">(L407-L$7)/(L$6-L$7)</f>
        <v>0.001546982238</v>
      </c>
      <c r="P407" s="1">
        <f t="shared" si="1198"/>
        <v>0.000000006234892308</v>
      </c>
      <c r="Q407" s="1">
        <f t="shared" si="1198"/>
        <v>0.00000006813089816</v>
      </c>
      <c r="R407" s="1">
        <f t="shared" ref="R407:T407" si="1199">1/(1+EXP(-O407))</f>
        <v>0.5003867455</v>
      </c>
      <c r="S407" s="1">
        <f t="shared" si="1199"/>
        <v>0.5000000016</v>
      </c>
      <c r="T407" s="1">
        <f t="shared" si="1199"/>
        <v>0.500000017</v>
      </c>
      <c r="U407" s="1">
        <f t="shared" si="11"/>
        <v>2.475009467</v>
      </c>
      <c r="V407" s="1">
        <f t="shared" si="12"/>
        <v>0.2256339933</v>
      </c>
      <c r="W407" s="1">
        <f t="shared" si="13"/>
        <v>2</v>
      </c>
      <c r="X407" s="1">
        <f t="shared" si="14"/>
        <v>0</v>
      </c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ht="15.75" customHeight="1">
      <c r="A408" s="1"/>
      <c r="B408" s="1">
        <v>10.0</v>
      </c>
      <c r="C408" s="1">
        <v>1.0</v>
      </c>
      <c r="D408" s="1">
        <v>1.0</v>
      </c>
      <c r="E408" s="1">
        <v>1.0</v>
      </c>
      <c r="F408" s="1">
        <v>2.0</v>
      </c>
      <c r="G408" s="3">
        <v>10.0</v>
      </c>
      <c r="H408" s="1">
        <v>5.0</v>
      </c>
      <c r="I408" s="1">
        <v>4.0</v>
      </c>
      <c r="J408" s="1">
        <v>1.0</v>
      </c>
      <c r="K408" s="1">
        <v>4.0</v>
      </c>
      <c r="L408" s="1">
        <f t="shared" ref="L408:N408" si="1200">SUMPRODUCT($B408:$J408, INDEX($B$2:$J$4, L$10, 0)) + INDEX($K$2:$K$4, L$10,1)</f>
        <v>38.2596252</v>
      </c>
      <c r="M408" s="1">
        <f t="shared" si="1200"/>
        <v>37.88790767</v>
      </c>
      <c r="N408" s="1">
        <f t="shared" si="1200"/>
        <v>38.69352454</v>
      </c>
      <c r="O408" s="1">
        <f t="shared" ref="O408:Q408" si="1201">(L408-L$7)/(L$6-L$7)</f>
        <v>0.4971239611</v>
      </c>
      <c r="P408" s="1">
        <f t="shared" si="1201"/>
        <v>0.5198555922</v>
      </c>
      <c r="Q408" s="1">
        <f t="shared" si="1201"/>
        <v>0.5243468548</v>
      </c>
      <c r="R408" s="1">
        <f t="shared" ref="R408:T408" si="1202">1/(1+EXP(-O408))</f>
        <v>0.6217832137</v>
      </c>
      <c r="S408" s="1">
        <f t="shared" si="1202"/>
        <v>0.6271139983</v>
      </c>
      <c r="T408" s="1">
        <f t="shared" si="1202"/>
        <v>0.6281636433</v>
      </c>
      <c r="U408" s="1">
        <f t="shared" si="11"/>
        <v>3.096821975</v>
      </c>
      <c r="V408" s="1">
        <f t="shared" si="12"/>
        <v>0.8157305444</v>
      </c>
      <c r="W408" s="1">
        <f t="shared" si="13"/>
        <v>4</v>
      </c>
      <c r="X408" s="1">
        <f t="shared" si="14"/>
        <v>0</v>
      </c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ht="15.75" customHeight="1">
      <c r="A409" s="1"/>
      <c r="B409" s="1">
        <v>5.0</v>
      </c>
      <c r="C409" s="1">
        <v>1.0</v>
      </c>
      <c r="D409" s="1">
        <v>2.0</v>
      </c>
      <c r="E409" s="1">
        <v>10.0</v>
      </c>
      <c r="F409" s="1">
        <v>4.0</v>
      </c>
      <c r="G409" s="3">
        <v>5.0</v>
      </c>
      <c r="H409" s="1">
        <v>2.0</v>
      </c>
      <c r="I409" s="1">
        <v>1.0</v>
      </c>
      <c r="J409" s="1">
        <v>1.0</v>
      </c>
      <c r="K409" s="1">
        <v>2.0</v>
      </c>
      <c r="L409" s="1">
        <f t="shared" ref="L409:N409" si="1203">SUMPRODUCT($B409:$J409, INDEX($B$2:$J$4, L$10, 0)) + INDEX($K$2:$K$4, L$10,1)</f>
        <v>22.96080403</v>
      </c>
      <c r="M409" s="1">
        <f t="shared" si="1203"/>
        <v>21.90306774</v>
      </c>
      <c r="N409" s="1">
        <f t="shared" si="1203"/>
        <v>22.60770758</v>
      </c>
      <c r="O409" s="1">
        <f t="shared" ref="O409:Q409" si="1204">(L409-L$7)/(L$6-L$7)</f>
        <v>0.2469525311</v>
      </c>
      <c r="P409" s="1">
        <f t="shared" si="1204"/>
        <v>0.2461318522</v>
      </c>
      <c r="Q409" s="1">
        <f t="shared" si="1204"/>
        <v>0.252325062</v>
      </c>
      <c r="R409" s="1">
        <f t="shared" ref="R409:T409" si="1205">1/(1+EXP(-O409))</f>
        <v>0.5614262734</v>
      </c>
      <c r="S409" s="1">
        <f t="shared" si="1205"/>
        <v>0.56122419</v>
      </c>
      <c r="T409" s="1">
        <f t="shared" si="1205"/>
        <v>0.5627486949</v>
      </c>
      <c r="U409" s="1">
        <f t="shared" si="11"/>
        <v>2.780319499</v>
      </c>
      <c r="V409" s="1">
        <f t="shared" si="12"/>
        <v>0.6088985211</v>
      </c>
      <c r="W409" s="1">
        <f t="shared" si="13"/>
        <v>2</v>
      </c>
      <c r="X409" s="1">
        <f t="shared" si="14"/>
        <v>0</v>
      </c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ht="15.75" customHeight="1">
      <c r="A410" s="1"/>
      <c r="B410" s="1">
        <v>4.0</v>
      </c>
      <c r="C410" s="1">
        <v>2.0</v>
      </c>
      <c r="D410" s="1">
        <v>1.0</v>
      </c>
      <c r="E410" s="1">
        <v>1.0</v>
      </c>
      <c r="F410" s="1">
        <v>2.0</v>
      </c>
      <c r="G410" s="3">
        <v>1.0</v>
      </c>
      <c r="H410" s="1">
        <v>1.0</v>
      </c>
      <c r="I410" s="1">
        <v>1.0</v>
      </c>
      <c r="J410" s="1">
        <v>1.0</v>
      </c>
      <c r="K410" s="1">
        <v>2.0</v>
      </c>
      <c r="L410" s="1">
        <f t="shared" ref="L410:N410" si="1206">SUMPRODUCT($B410:$J410, INDEX($B$2:$J$4, L$10, 0)) + INDEX($K$2:$K$4, L$10,1)</f>
        <v>9.564193081</v>
      </c>
      <c r="M410" s="1">
        <f t="shared" si="1206"/>
        <v>9.23701046</v>
      </c>
      <c r="N410" s="1">
        <f t="shared" si="1206"/>
        <v>9.122921208</v>
      </c>
      <c r="O410" s="1">
        <f t="shared" ref="O410:Q410" si="1207">(L410-L$7)/(L$6-L$7)</f>
        <v>0.02788667764</v>
      </c>
      <c r="P410" s="1">
        <f t="shared" si="1207"/>
        <v>0.02923880947</v>
      </c>
      <c r="Q410" s="1">
        <f t="shared" si="1207"/>
        <v>0.02428841514</v>
      </c>
      <c r="R410" s="1">
        <f t="shared" ref="R410:T410" si="1208">1/(1+EXP(-O410))</f>
        <v>0.5069712176</v>
      </c>
      <c r="S410" s="1">
        <f t="shared" si="1208"/>
        <v>0.5073091817</v>
      </c>
      <c r="T410" s="1">
        <f t="shared" si="1208"/>
        <v>0.5060718053</v>
      </c>
      <c r="U410" s="1">
        <f t="shared" si="11"/>
        <v>2.507910334</v>
      </c>
      <c r="V410" s="1">
        <f t="shared" si="12"/>
        <v>0.2579729071</v>
      </c>
      <c r="W410" s="1">
        <f t="shared" si="13"/>
        <v>2</v>
      </c>
      <c r="X410" s="1">
        <f t="shared" si="14"/>
        <v>0</v>
      </c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ht="15.75" customHeight="1">
      <c r="A411" s="1"/>
      <c r="B411" s="1">
        <v>1.0</v>
      </c>
      <c r="C411" s="1">
        <v>1.0</v>
      </c>
      <c r="D411" s="1">
        <v>1.0</v>
      </c>
      <c r="E411" s="1">
        <v>1.0</v>
      </c>
      <c r="F411" s="1">
        <v>2.0</v>
      </c>
      <c r="G411" s="3">
        <v>1.0</v>
      </c>
      <c r="H411" s="1">
        <v>3.0</v>
      </c>
      <c r="I411" s="1">
        <v>1.0</v>
      </c>
      <c r="J411" s="1">
        <v>1.0</v>
      </c>
      <c r="K411" s="1">
        <v>2.0</v>
      </c>
      <c r="L411" s="1">
        <f t="shared" ref="L411:N411" si="1209">SUMPRODUCT($B411:$J411, INDEX($B$2:$J$4, L$10, 0)) + INDEX($K$2:$K$4, L$10,1)</f>
        <v>7.985725177</v>
      </c>
      <c r="M411" s="1">
        <f t="shared" si="1209"/>
        <v>7.529531272</v>
      </c>
      <c r="N411" s="1">
        <f t="shared" si="1209"/>
        <v>7.686650958</v>
      </c>
      <c r="O411" s="1">
        <f t="shared" ref="O411:Q411" si="1210">(L411-L$7)/(L$6-L$7)</f>
        <v>0.002075043622</v>
      </c>
      <c r="P411" s="1">
        <f t="shared" si="1210"/>
        <v>0.000000006234892308</v>
      </c>
      <c r="Q411" s="1">
        <f t="shared" si="1210"/>
        <v>0.0000001362617963</v>
      </c>
      <c r="R411" s="1">
        <f t="shared" ref="R411:T411" si="1211">1/(1+EXP(-O411))</f>
        <v>0.5005187607</v>
      </c>
      <c r="S411" s="1">
        <f t="shared" si="1211"/>
        <v>0.5000000016</v>
      </c>
      <c r="T411" s="1">
        <f t="shared" si="1211"/>
        <v>0.5000000341</v>
      </c>
      <c r="U411" s="1">
        <f t="shared" si="11"/>
        <v>2.475218456</v>
      </c>
      <c r="V411" s="1">
        <f t="shared" si="12"/>
        <v>0.2258325805</v>
      </c>
      <c r="W411" s="1">
        <f t="shared" si="13"/>
        <v>2</v>
      </c>
      <c r="X411" s="1">
        <f t="shared" si="14"/>
        <v>0</v>
      </c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ht="15.75" customHeight="1">
      <c r="A412" s="1"/>
      <c r="B412" s="1">
        <v>5.0</v>
      </c>
      <c r="C412" s="1">
        <v>3.0</v>
      </c>
      <c r="D412" s="1">
        <v>2.0</v>
      </c>
      <c r="E412" s="1">
        <v>8.0</v>
      </c>
      <c r="F412" s="1">
        <v>5.0</v>
      </c>
      <c r="G412" s="3">
        <v>10.0</v>
      </c>
      <c r="H412" s="1">
        <v>8.0</v>
      </c>
      <c r="I412" s="1">
        <v>1.0</v>
      </c>
      <c r="J412" s="1">
        <v>2.0</v>
      </c>
      <c r="K412" s="1">
        <v>4.0</v>
      </c>
      <c r="L412" s="1">
        <f t="shared" ref="L412:N412" si="1212">SUMPRODUCT($B412:$J412, INDEX($B$2:$J$4, L$10, 0)) + INDEX($K$2:$K$4, L$10,1)</f>
        <v>42.57279117</v>
      </c>
      <c r="M412" s="1">
        <f t="shared" si="1212"/>
        <v>41.48128239</v>
      </c>
      <c r="N412" s="1">
        <f t="shared" si="1212"/>
        <v>42.09127483</v>
      </c>
      <c r="O412" s="1">
        <f t="shared" ref="O412:Q412" si="1213">(L412-L$7)/(L$6-L$7)</f>
        <v>0.5676542906</v>
      </c>
      <c r="P412" s="1">
        <f t="shared" si="1213"/>
        <v>0.5813883927</v>
      </c>
      <c r="Q412" s="1">
        <f t="shared" si="1213"/>
        <v>0.5818050571</v>
      </c>
      <c r="R412" s="1">
        <f t="shared" ref="R412:T412" si="1214">1/(1+EXP(-O412))</f>
        <v>0.638221739</v>
      </c>
      <c r="S412" s="1">
        <f t="shared" si="1214"/>
        <v>0.6413868129</v>
      </c>
      <c r="T412" s="1">
        <f t="shared" si="1214"/>
        <v>0.6414826441</v>
      </c>
      <c r="U412" s="1">
        <f t="shared" si="11"/>
        <v>3.169246213</v>
      </c>
      <c r="V412" s="1">
        <f t="shared" si="12"/>
        <v>0.6901518549</v>
      </c>
      <c r="W412" s="1">
        <f t="shared" si="13"/>
        <v>4</v>
      </c>
      <c r="X412" s="1">
        <f t="shared" si="14"/>
        <v>0</v>
      </c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ht="15.75" customHeight="1">
      <c r="A413" s="1"/>
      <c r="B413" s="1">
        <v>10.0</v>
      </c>
      <c r="C413" s="1">
        <v>5.0</v>
      </c>
      <c r="D413" s="1">
        <v>10.0</v>
      </c>
      <c r="E413" s="1">
        <v>3.0</v>
      </c>
      <c r="F413" s="1">
        <v>5.0</v>
      </c>
      <c r="G413" s="3">
        <v>8.0</v>
      </c>
      <c r="H413" s="1">
        <v>7.0</v>
      </c>
      <c r="I413" s="1">
        <v>8.0</v>
      </c>
      <c r="J413" s="1">
        <v>3.0</v>
      </c>
      <c r="K413" s="1">
        <v>4.0</v>
      </c>
      <c r="L413" s="1">
        <f t="shared" ref="L413:N413" si="1215">SUMPRODUCT($B413:$J413, INDEX($B$2:$J$4, L$10, 0)) + INDEX($K$2:$K$4, L$10,1)</f>
        <v>53.5293791</v>
      </c>
      <c r="M413" s="1">
        <f t="shared" si="1215"/>
        <v>50.58468316</v>
      </c>
      <c r="N413" s="1">
        <f t="shared" si="1215"/>
        <v>52.49710558</v>
      </c>
      <c r="O413" s="1">
        <f t="shared" ref="O413:Q413" si="1216">(L413-L$7)/(L$6-L$7)</f>
        <v>0.7468200733</v>
      </c>
      <c r="P413" s="1">
        <f t="shared" si="1216"/>
        <v>0.7372746522</v>
      </c>
      <c r="Q413" s="1">
        <f t="shared" si="1216"/>
        <v>0.7577745303</v>
      </c>
      <c r="R413" s="1">
        <f t="shared" ref="R413:T413" si="1217">1/(1+EXP(-O413))</f>
        <v>0.6784854146</v>
      </c>
      <c r="S413" s="1">
        <f t="shared" si="1217"/>
        <v>0.6763996105</v>
      </c>
      <c r="T413" s="1">
        <f t="shared" si="1217"/>
        <v>0.6808703654</v>
      </c>
      <c r="U413" s="1">
        <f t="shared" si="11"/>
        <v>3.358337107</v>
      </c>
      <c r="V413" s="1">
        <f t="shared" si="12"/>
        <v>0.4117312681</v>
      </c>
      <c r="W413" s="1">
        <f t="shared" si="13"/>
        <v>4</v>
      </c>
      <c r="X413" s="1">
        <f t="shared" si="14"/>
        <v>0</v>
      </c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ht="15.75" customHeight="1">
      <c r="A414" s="1"/>
      <c r="B414" s="1">
        <v>3.0</v>
      </c>
      <c r="C414" s="1">
        <v>2.0</v>
      </c>
      <c r="D414" s="1">
        <v>1.0</v>
      </c>
      <c r="E414" s="1">
        <v>1.0</v>
      </c>
      <c r="F414" s="1">
        <v>1.0</v>
      </c>
      <c r="G414" s="3">
        <v>1.0</v>
      </c>
      <c r="H414" s="1">
        <v>2.0</v>
      </c>
      <c r="I414" s="1">
        <v>1.0</v>
      </c>
      <c r="J414" s="1">
        <v>1.0</v>
      </c>
      <c r="K414" s="1">
        <v>2.0</v>
      </c>
      <c r="L414" s="1">
        <f t="shared" ref="L414:N414" si="1218">SUMPRODUCT($B414:$J414, INDEX($B$2:$J$4, L$10, 0)) + INDEX($K$2:$K$4, L$10,1)</f>
        <v>9.518298813</v>
      </c>
      <c r="M414" s="1">
        <f t="shared" si="1218"/>
        <v>9.217508095</v>
      </c>
      <c r="N414" s="1">
        <f t="shared" si="1218"/>
        <v>9.113036231</v>
      </c>
      <c r="O414" s="1">
        <f t="shared" ref="O414:Q414" si="1219">(L414-L$7)/(L$6-L$7)</f>
        <v>0.02713619925</v>
      </c>
      <c r="P414" s="1">
        <f t="shared" si="1219"/>
        <v>0.02890485176</v>
      </c>
      <c r="Q414" s="1">
        <f t="shared" si="1219"/>
        <v>0.02412125364</v>
      </c>
      <c r="R414" s="1">
        <f t="shared" ref="R414:T414" si="1220">1/(1+EXP(-O414))</f>
        <v>0.5067836335</v>
      </c>
      <c r="S414" s="1">
        <f t="shared" si="1220"/>
        <v>0.5072257099</v>
      </c>
      <c r="T414" s="1">
        <f t="shared" si="1220"/>
        <v>0.506030021</v>
      </c>
      <c r="U414" s="1">
        <f t="shared" si="11"/>
        <v>2.507404001</v>
      </c>
      <c r="V414" s="1">
        <f t="shared" si="12"/>
        <v>0.2574588204</v>
      </c>
      <c r="W414" s="1">
        <f t="shared" si="13"/>
        <v>2</v>
      </c>
      <c r="X414" s="1">
        <f t="shared" si="14"/>
        <v>0</v>
      </c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ht="15.75" customHeight="1">
      <c r="A415" s="1"/>
      <c r="B415" s="1">
        <v>1.0</v>
      </c>
      <c r="C415" s="1">
        <v>1.0</v>
      </c>
      <c r="D415" s="1">
        <v>1.0</v>
      </c>
      <c r="E415" s="1">
        <v>1.0</v>
      </c>
      <c r="F415" s="1">
        <v>2.0</v>
      </c>
      <c r="G415" s="3">
        <v>1.0</v>
      </c>
      <c r="H415" s="1">
        <v>2.0</v>
      </c>
      <c r="I415" s="1">
        <v>1.0</v>
      </c>
      <c r="J415" s="1">
        <v>2.0</v>
      </c>
      <c r="K415" s="1">
        <v>2.0</v>
      </c>
      <c r="L415" s="1">
        <f t="shared" ref="L415:N415" si="1221">SUMPRODUCT($B415:$J415, INDEX($B$2:$J$4, L$10, 0)) + INDEX($K$2:$K$4, L$10,1)</f>
        <v>7.953432454</v>
      </c>
      <c r="M415" s="1">
        <f t="shared" si="1221"/>
        <v>7.529531272</v>
      </c>
      <c r="N415" s="1">
        <f t="shared" si="1221"/>
        <v>7.686646929</v>
      </c>
      <c r="O415" s="1">
        <f t="shared" ref="O415:Q415" si="1222">(L415-L$7)/(L$6-L$7)</f>
        <v>0.001546982238</v>
      </c>
      <c r="P415" s="1">
        <f t="shared" si="1222"/>
        <v>0.000000006234892308</v>
      </c>
      <c r="Q415" s="1">
        <f t="shared" si="1222"/>
        <v>0.00000006813089816</v>
      </c>
      <c r="R415" s="1">
        <f t="shared" ref="R415:T415" si="1223">1/(1+EXP(-O415))</f>
        <v>0.5003867455</v>
      </c>
      <c r="S415" s="1">
        <f t="shared" si="1223"/>
        <v>0.5000000016</v>
      </c>
      <c r="T415" s="1">
        <f t="shared" si="1223"/>
        <v>0.500000017</v>
      </c>
      <c r="U415" s="1">
        <f t="shared" si="11"/>
        <v>2.475009467</v>
      </c>
      <c r="V415" s="1">
        <f t="shared" si="12"/>
        <v>0.2256339933</v>
      </c>
      <c r="W415" s="1">
        <f t="shared" si="13"/>
        <v>2</v>
      </c>
      <c r="X415" s="1">
        <f t="shared" si="14"/>
        <v>0</v>
      </c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ht="15.75" customHeight="1">
      <c r="A416" s="1"/>
      <c r="B416" s="1">
        <v>3.0</v>
      </c>
      <c r="C416" s="1">
        <v>1.0</v>
      </c>
      <c r="D416" s="1">
        <v>1.0</v>
      </c>
      <c r="E416" s="1">
        <v>1.0</v>
      </c>
      <c r="F416" s="1">
        <v>2.0</v>
      </c>
      <c r="G416" s="3">
        <v>1.0</v>
      </c>
      <c r="H416" s="1">
        <v>1.0</v>
      </c>
      <c r="I416" s="1">
        <v>1.0</v>
      </c>
      <c r="J416" s="1">
        <v>1.0</v>
      </c>
      <c r="K416" s="1">
        <v>2.0</v>
      </c>
      <c r="L416" s="1">
        <f t="shared" ref="L416:N416" si="1224">SUMPRODUCT($B416:$J416, INDEX($B$2:$J$4, L$10, 0)) + INDEX($K$2:$K$4, L$10,1)</f>
        <v>7.952892864</v>
      </c>
      <c r="M416" s="1">
        <f t="shared" si="1224"/>
        <v>7.568535274</v>
      </c>
      <c r="N416" s="1">
        <f t="shared" si="1224"/>
        <v>7.706420913</v>
      </c>
      <c r="O416" s="1">
        <f t="shared" ref="O416:Q416" si="1225">(L416-L$7)/(L$6-L$7)</f>
        <v>0.001538158696</v>
      </c>
      <c r="P416" s="1">
        <f t="shared" si="1225"/>
        <v>0.0006679091667</v>
      </c>
      <c r="Q416" s="1">
        <f t="shared" si="1225"/>
        <v>0.0003344592598</v>
      </c>
      <c r="R416" s="1">
        <f t="shared" ref="R416:T416" si="1226">1/(1+EXP(-O416))</f>
        <v>0.5003845396</v>
      </c>
      <c r="S416" s="1">
        <f t="shared" si="1226"/>
        <v>0.5001669773</v>
      </c>
      <c r="T416" s="1">
        <f t="shared" si="1226"/>
        <v>0.5000836148</v>
      </c>
      <c r="U416" s="1">
        <f t="shared" si="11"/>
        <v>2.47542491</v>
      </c>
      <c r="V416" s="1">
        <f t="shared" si="12"/>
        <v>0.2260288452</v>
      </c>
      <c r="W416" s="1">
        <f t="shared" si="13"/>
        <v>2</v>
      </c>
      <c r="X416" s="1">
        <f t="shared" si="14"/>
        <v>0</v>
      </c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ht="15.75" customHeight="1">
      <c r="A417" s="1"/>
      <c r="B417" s="1">
        <v>10.0</v>
      </c>
      <c r="C417" s="1">
        <v>7.0</v>
      </c>
      <c r="D417" s="1">
        <v>7.0</v>
      </c>
      <c r="E417" s="1">
        <v>4.0</v>
      </c>
      <c r="F417" s="1">
        <v>5.0</v>
      </c>
      <c r="G417" s="3">
        <v>10.0</v>
      </c>
      <c r="H417" s="1">
        <v>5.0</v>
      </c>
      <c r="I417" s="1">
        <v>7.0</v>
      </c>
      <c r="J417" s="1">
        <v>2.0</v>
      </c>
      <c r="K417" s="1">
        <v>4.0</v>
      </c>
      <c r="L417" s="1">
        <f t="shared" ref="L417:N417" si="1227">SUMPRODUCT($B417:$J417, INDEX($B$2:$J$4, L$10, 0)) + INDEX($K$2:$K$4, L$10,1)</f>
        <v>58.25289698</v>
      </c>
      <c r="M417" s="1">
        <f t="shared" si="1227"/>
        <v>56.28800444</v>
      </c>
      <c r="N417" s="1">
        <f t="shared" si="1227"/>
        <v>57.13632068</v>
      </c>
      <c r="O417" s="1">
        <f t="shared" ref="O417:Q417" si="1228">(L417-L$7)/(L$6-L$7)</f>
        <v>0.8240606142</v>
      </c>
      <c r="P417" s="1">
        <f t="shared" si="1228"/>
        <v>0.8349380906</v>
      </c>
      <c r="Q417" s="1">
        <f t="shared" si="1228"/>
        <v>0.8362267227</v>
      </c>
      <c r="R417" s="1">
        <f t="shared" ref="R417:T417" si="1229">1/(1+EXP(-O417))</f>
        <v>0.6950976153</v>
      </c>
      <c r="S417" s="1">
        <f t="shared" si="1229"/>
        <v>0.6973980496</v>
      </c>
      <c r="T417" s="1">
        <f t="shared" si="1229"/>
        <v>0.6976699256</v>
      </c>
      <c r="U417" s="1">
        <f t="shared" si="11"/>
        <v>3.448105042</v>
      </c>
      <c r="V417" s="1">
        <f t="shared" si="12"/>
        <v>0.3045880446</v>
      </c>
      <c r="W417" s="1">
        <f t="shared" si="13"/>
        <v>4</v>
      </c>
      <c r="X417" s="1">
        <f t="shared" si="14"/>
        <v>0</v>
      </c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ht="15.75" customHeight="1">
      <c r="A418" s="1"/>
      <c r="B418" s="1">
        <v>3.0</v>
      </c>
      <c r="C418" s="1">
        <v>1.0</v>
      </c>
      <c r="D418" s="1">
        <v>1.0</v>
      </c>
      <c r="E418" s="1">
        <v>3.0</v>
      </c>
      <c r="F418" s="1">
        <v>1.0</v>
      </c>
      <c r="G418" s="3">
        <v>1.0</v>
      </c>
      <c r="H418" s="1">
        <v>3.0</v>
      </c>
      <c r="I418" s="1">
        <v>1.0</v>
      </c>
      <c r="J418" s="1">
        <v>1.0</v>
      </c>
      <c r="K418" s="1">
        <v>2.0</v>
      </c>
      <c r="L418" s="1">
        <f t="shared" ref="L418:N418" si="1230">SUMPRODUCT($B418:$J418, INDEX($B$2:$J$4, L$10, 0)) + INDEX($K$2:$K$4, L$10,1)</f>
        <v>8.019299079</v>
      </c>
      <c r="M418" s="1">
        <f t="shared" si="1230"/>
        <v>7.56853491</v>
      </c>
      <c r="N418" s="1">
        <f t="shared" si="1230"/>
        <v>7.712025497</v>
      </c>
      <c r="O418" s="1">
        <f t="shared" ref="O418:Q418" si="1231">(L418-L$7)/(L$6-L$7)</f>
        <v>0.002624055277</v>
      </c>
      <c r="P418" s="1">
        <f t="shared" si="1231"/>
        <v>0.0006679029318</v>
      </c>
      <c r="Q418" s="1">
        <f t="shared" si="1231"/>
        <v>0.000429236481</v>
      </c>
      <c r="R418" s="1">
        <f t="shared" ref="R418:T418" si="1232">1/(1+EXP(-O418))</f>
        <v>0.5006560134</v>
      </c>
      <c r="S418" s="1">
        <f t="shared" si="1232"/>
        <v>0.5001669757</v>
      </c>
      <c r="T418" s="1">
        <f t="shared" si="1232"/>
        <v>0.5001073091</v>
      </c>
      <c r="U418" s="1">
        <f t="shared" si="11"/>
        <v>2.475895274</v>
      </c>
      <c r="V418" s="1">
        <f t="shared" si="12"/>
        <v>0.2264763117</v>
      </c>
      <c r="W418" s="1">
        <f t="shared" si="13"/>
        <v>2</v>
      </c>
      <c r="X418" s="1">
        <f t="shared" si="14"/>
        <v>0</v>
      </c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ht="15.75" customHeight="1">
      <c r="A419" s="1"/>
      <c r="B419" s="1">
        <v>10.0</v>
      </c>
      <c r="C419" s="1">
        <v>3.0</v>
      </c>
      <c r="D419" s="1">
        <v>5.0</v>
      </c>
      <c r="E419" s="1">
        <v>4.0</v>
      </c>
      <c r="F419" s="1">
        <v>3.0</v>
      </c>
      <c r="G419" s="3">
        <v>7.0</v>
      </c>
      <c r="H419" s="1">
        <v>3.0</v>
      </c>
      <c r="I419" s="1">
        <v>5.0</v>
      </c>
      <c r="J419" s="1">
        <v>3.0</v>
      </c>
      <c r="K419" s="1">
        <v>4.0</v>
      </c>
      <c r="L419" s="1">
        <f t="shared" ref="L419:N419" si="1233">SUMPRODUCT($B419:$J419, INDEX($B$2:$J$4, L$10, 0)) + INDEX($K$2:$K$4, L$10,1)</f>
        <v>38.28065365</v>
      </c>
      <c r="M419" s="1">
        <f t="shared" si="1233"/>
        <v>36.79573932</v>
      </c>
      <c r="N419" s="1">
        <f t="shared" si="1233"/>
        <v>37.87233477</v>
      </c>
      <c r="O419" s="1">
        <f t="shared" ref="O419:Q419" si="1234">(L419-L$7)/(L$6-L$7)</f>
        <v>0.4974678254</v>
      </c>
      <c r="P419" s="1">
        <f t="shared" si="1234"/>
        <v>0.5011533463</v>
      </c>
      <c r="Q419" s="1">
        <f t="shared" si="1234"/>
        <v>0.5104599932</v>
      </c>
      <c r="R419" s="1">
        <f t="shared" ref="R419:T419" si="1235">1/(1+EXP(-O419))</f>
        <v>0.6218640765</v>
      </c>
      <c r="S419" s="1">
        <f t="shared" si="1235"/>
        <v>0.6227303336</v>
      </c>
      <c r="T419" s="1">
        <f t="shared" si="1235"/>
        <v>0.6249143014</v>
      </c>
      <c r="U419" s="1">
        <f t="shared" si="11"/>
        <v>3.084141547</v>
      </c>
      <c r="V419" s="1">
        <f t="shared" si="12"/>
        <v>0.8387967052</v>
      </c>
      <c r="W419" s="1">
        <f t="shared" si="13"/>
        <v>4</v>
      </c>
      <c r="X419" s="1">
        <f t="shared" si="14"/>
        <v>0</v>
      </c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ht="15.75" customHeight="1">
      <c r="A420" s="1"/>
      <c r="B420" s="1">
        <v>2.0</v>
      </c>
      <c r="C420" s="1">
        <v>3.0</v>
      </c>
      <c r="D420" s="1">
        <v>1.0</v>
      </c>
      <c r="E420" s="1">
        <v>1.0</v>
      </c>
      <c r="F420" s="1">
        <v>5.0</v>
      </c>
      <c r="G420" s="3">
        <v>1.0</v>
      </c>
      <c r="H420" s="1">
        <v>1.0</v>
      </c>
      <c r="I420" s="1">
        <v>1.0</v>
      </c>
      <c r="J420" s="1">
        <v>1.0</v>
      </c>
      <c r="K420" s="1">
        <v>2.0</v>
      </c>
      <c r="L420" s="1">
        <f t="shared" ref="L420:N420" si="1236">SUMPRODUCT($B420:$J420, INDEX($B$2:$J$4, L$10, 0)) + INDEX($K$2:$K$4, L$10,1)</f>
        <v>11.31479487</v>
      </c>
      <c r="M420" s="1">
        <f t="shared" si="1236"/>
        <v>10.84698073</v>
      </c>
      <c r="N420" s="1">
        <f t="shared" si="1236"/>
        <v>10.50975448</v>
      </c>
      <c r="O420" s="1">
        <f t="shared" ref="O420:Q420" si="1237">(L420-L$7)/(L$6-L$7)</f>
        <v>0.05651310238</v>
      </c>
      <c r="P420" s="1">
        <f t="shared" si="1237"/>
        <v>0.05680787407</v>
      </c>
      <c r="Q420" s="1">
        <f t="shared" si="1237"/>
        <v>0.04774068213</v>
      </c>
      <c r="R420" s="1">
        <f t="shared" ref="R420:T420" si="1238">1/(1+EXP(-O420))</f>
        <v>0.5141245166</v>
      </c>
      <c r="S420" s="1">
        <f t="shared" si="1238"/>
        <v>0.5141981504</v>
      </c>
      <c r="T420" s="1">
        <f t="shared" si="1238"/>
        <v>0.5119329042</v>
      </c>
      <c r="U420" s="1">
        <f t="shared" si="11"/>
        <v>2.540656746</v>
      </c>
      <c r="V420" s="1">
        <f t="shared" si="12"/>
        <v>0.2923097171</v>
      </c>
      <c r="W420" s="1">
        <f t="shared" si="13"/>
        <v>2</v>
      </c>
      <c r="X420" s="1">
        <f t="shared" si="14"/>
        <v>0</v>
      </c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ht="15.75" customHeight="1">
      <c r="A421" s="1"/>
      <c r="B421" s="1">
        <v>3.0</v>
      </c>
      <c r="C421" s="1">
        <v>2.0</v>
      </c>
      <c r="D421" s="1">
        <v>2.0</v>
      </c>
      <c r="E421" s="1">
        <v>3.0</v>
      </c>
      <c r="F421" s="1">
        <v>2.0</v>
      </c>
      <c r="G421" s="3">
        <v>3.0</v>
      </c>
      <c r="H421" s="1">
        <v>3.0</v>
      </c>
      <c r="I421" s="1">
        <v>1.0</v>
      </c>
      <c r="J421" s="1">
        <v>1.0</v>
      </c>
      <c r="K421" s="1">
        <v>2.0</v>
      </c>
      <c r="L421" s="1">
        <f t="shared" ref="L421:N421" si="1239">SUMPRODUCT($B421:$J421, INDEX($B$2:$J$4, L$10, 0)) + INDEX($K$2:$K$4, L$10,1)</f>
        <v>17.71600553</v>
      </c>
      <c r="M421" s="1">
        <f t="shared" si="1239"/>
        <v>17.00092903</v>
      </c>
      <c r="N421" s="1">
        <f t="shared" si="1239"/>
        <v>17.30459023</v>
      </c>
      <c r="O421" s="1">
        <f t="shared" ref="O421:Q421" si="1240">(L421-L$7)/(L$6-L$7)</f>
        <v>0.1611878356</v>
      </c>
      <c r="P421" s="1">
        <f t="shared" si="1240"/>
        <v>0.162187831</v>
      </c>
      <c r="Q421" s="1">
        <f t="shared" si="1240"/>
        <v>0.1626458439</v>
      </c>
      <c r="R421" s="1">
        <f t="shared" ref="R421:T421" si="1241">1/(1+EXP(-O421))</f>
        <v>0.540209937</v>
      </c>
      <c r="S421" s="1">
        <f t="shared" si="1241"/>
        <v>0.540458309</v>
      </c>
      <c r="T421" s="1">
        <f t="shared" si="1241"/>
        <v>0.5405720604</v>
      </c>
      <c r="U421" s="1">
        <f t="shared" si="11"/>
        <v>2.674419226</v>
      </c>
      <c r="V421" s="1">
        <f t="shared" si="12"/>
        <v>0.4548412924</v>
      </c>
      <c r="W421" s="1">
        <f t="shared" si="13"/>
        <v>2</v>
      </c>
      <c r="X421" s="1">
        <f t="shared" si="14"/>
        <v>0</v>
      </c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ht="15.75" customHeight="1">
      <c r="A422" s="1"/>
      <c r="B422" s="1">
        <v>2.0</v>
      </c>
      <c r="C422" s="1">
        <v>1.0</v>
      </c>
      <c r="D422" s="1">
        <v>1.0</v>
      </c>
      <c r="E422" s="1">
        <v>1.0</v>
      </c>
      <c r="F422" s="1">
        <v>2.0</v>
      </c>
      <c r="G422" s="3">
        <v>1.0</v>
      </c>
      <c r="H422" s="1">
        <v>2.0</v>
      </c>
      <c r="I422" s="1">
        <v>1.0</v>
      </c>
      <c r="J422" s="1">
        <v>1.0</v>
      </c>
      <c r="K422" s="1">
        <v>2.0</v>
      </c>
      <c r="L422" s="1">
        <f t="shared" ref="L422:N422" si="1242">SUMPRODUCT($B422:$J422, INDEX($B$2:$J$4, L$10, 0)) + INDEX($K$2:$K$4, L$10,1)</f>
        <v>7.96930902</v>
      </c>
      <c r="M422" s="1">
        <f t="shared" si="1242"/>
        <v>7.549033273</v>
      </c>
      <c r="N422" s="1">
        <f t="shared" si="1242"/>
        <v>7.696535935</v>
      </c>
      <c r="O422" s="1">
        <f t="shared" ref="O422:Q422" si="1243">(L422-L$7)/(L$6-L$7)</f>
        <v>0.001806601159</v>
      </c>
      <c r="P422" s="1">
        <f t="shared" si="1243"/>
        <v>0.0003339577008</v>
      </c>
      <c r="Q422" s="1">
        <f t="shared" si="1243"/>
        <v>0.0001672977608</v>
      </c>
      <c r="R422" s="1">
        <f t="shared" ref="R422:T422" si="1244">1/(1+EXP(-O422))</f>
        <v>0.5004516502</v>
      </c>
      <c r="S422" s="1">
        <f t="shared" si="1244"/>
        <v>0.5000834894</v>
      </c>
      <c r="T422" s="1">
        <f t="shared" si="1244"/>
        <v>0.5000418244</v>
      </c>
      <c r="U422" s="1">
        <f t="shared" si="11"/>
        <v>2.475321683</v>
      </c>
      <c r="V422" s="1">
        <f t="shared" si="12"/>
        <v>0.2259307022</v>
      </c>
      <c r="W422" s="1">
        <f t="shared" si="13"/>
        <v>2</v>
      </c>
      <c r="X422" s="1">
        <f t="shared" si="14"/>
        <v>0</v>
      </c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ht="15.75" customHeight="1">
      <c r="A423" s="1"/>
      <c r="B423" s="1">
        <v>4.0</v>
      </c>
      <c r="C423" s="1">
        <v>1.0</v>
      </c>
      <c r="D423" s="1">
        <v>3.0</v>
      </c>
      <c r="E423" s="1">
        <v>3.0</v>
      </c>
      <c r="F423" s="1">
        <v>2.0</v>
      </c>
      <c r="G423" s="3">
        <v>1.0</v>
      </c>
      <c r="H423" s="1">
        <v>1.0</v>
      </c>
      <c r="I423" s="1">
        <v>1.0</v>
      </c>
      <c r="J423" s="1">
        <v>1.0</v>
      </c>
      <c r="K423" s="1">
        <v>2.0</v>
      </c>
      <c r="L423" s="1">
        <f t="shared" ref="L423:N423" si="1245">SUMPRODUCT($B423:$J423, INDEX($B$2:$J$4, L$10, 0)) + INDEX($K$2:$K$4, L$10,1)</f>
        <v>11.12748197</v>
      </c>
      <c r="M423" s="1">
        <f t="shared" si="1245"/>
        <v>10.13066408</v>
      </c>
      <c r="N423" s="1">
        <f t="shared" si="1245"/>
        <v>10.75307971</v>
      </c>
      <c r="O423" s="1">
        <f t="shared" ref="O423:Q423" si="1246">(L423-L$7)/(L$6-L$7)</f>
        <v>0.05345009929</v>
      </c>
      <c r="P423" s="1">
        <f t="shared" si="1246"/>
        <v>0.04454169728</v>
      </c>
      <c r="Q423" s="1">
        <f t="shared" si="1246"/>
        <v>0.05185547243</v>
      </c>
      <c r="R423" s="1">
        <f t="shared" ref="R423:T423" si="1247">1/(1+EXP(-O423))</f>
        <v>0.5133593444</v>
      </c>
      <c r="S423" s="1">
        <f t="shared" si="1247"/>
        <v>0.5111335837</v>
      </c>
      <c r="T423" s="1">
        <f t="shared" si="1247"/>
        <v>0.5129609639</v>
      </c>
      <c r="U423" s="1">
        <f t="shared" si="11"/>
        <v>2.536154355</v>
      </c>
      <c r="V423" s="1">
        <f t="shared" si="12"/>
        <v>0.2874614925</v>
      </c>
      <c r="W423" s="1">
        <f t="shared" si="13"/>
        <v>2</v>
      </c>
      <c r="X423" s="1">
        <f t="shared" si="14"/>
        <v>0</v>
      </c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ht="15.75" customHeight="1">
      <c r="A424" s="1"/>
      <c r="B424" s="1">
        <v>8.0</v>
      </c>
      <c r="C424" s="1">
        <v>8.0</v>
      </c>
      <c r="D424" s="1">
        <v>9.0</v>
      </c>
      <c r="E424" s="1">
        <v>6.0</v>
      </c>
      <c r="F424" s="1">
        <v>6.0</v>
      </c>
      <c r="G424" s="3">
        <v>3.0</v>
      </c>
      <c r="H424" s="1">
        <v>10.0</v>
      </c>
      <c r="I424" s="1">
        <v>10.0</v>
      </c>
      <c r="J424" s="1">
        <v>1.0</v>
      </c>
      <c r="K424" s="1">
        <v>4.0</v>
      </c>
      <c r="L424" s="1">
        <f t="shared" ref="L424:N424" si="1248">SUMPRODUCT($B424:$J424, INDEX($B$2:$J$4, L$10, 0)) + INDEX($K$2:$K$4, L$10,1)</f>
        <v>41.33202587</v>
      </c>
      <c r="M424" s="1">
        <f t="shared" si="1248"/>
        <v>38.52660185</v>
      </c>
      <c r="N424" s="1">
        <f t="shared" si="1248"/>
        <v>39.11487387</v>
      </c>
      <c r="O424" s="1">
        <f t="shared" ref="O424:Q424" si="1249">(L424-L$7)/(L$6-L$7)</f>
        <v>0.5473648823</v>
      </c>
      <c r="P424" s="1">
        <f t="shared" si="1249"/>
        <v>0.5307925649</v>
      </c>
      <c r="Q424" s="1">
        <f t="shared" si="1249"/>
        <v>0.5314721504</v>
      </c>
      <c r="R424" s="1">
        <f t="shared" ref="R424:T424" si="1250">1/(1+EXP(-O424))</f>
        <v>0.6335240077</v>
      </c>
      <c r="S424" s="1">
        <f t="shared" si="1250"/>
        <v>0.6296679462</v>
      </c>
      <c r="T424" s="1">
        <f t="shared" si="1250"/>
        <v>0.6298264022</v>
      </c>
      <c r="U424" s="1">
        <f t="shared" si="11"/>
        <v>3.1224728</v>
      </c>
      <c r="V424" s="1">
        <f t="shared" si="12"/>
        <v>0.7700539866</v>
      </c>
      <c r="W424" s="1">
        <f t="shared" si="13"/>
        <v>4</v>
      </c>
      <c r="X424" s="1">
        <f t="shared" si="14"/>
        <v>0</v>
      </c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ht="15.75" customHeight="1">
      <c r="A425" s="1"/>
      <c r="B425" s="1">
        <v>3.0</v>
      </c>
      <c r="C425" s="1">
        <v>1.0</v>
      </c>
      <c r="D425" s="1">
        <v>1.0</v>
      </c>
      <c r="E425" s="1">
        <v>2.0</v>
      </c>
      <c r="F425" s="1">
        <v>2.0</v>
      </c>
      <c r="G425" s="3">
        <v>1.0</v>
      </c>
      <c r="H425" s="1">
        <v>1.0</v>
      </c>
      <c r="I425" s="1">
        <v>1.0</v>
      </c>
      <c r="J425" s="1">
        <v>1.0</v>
      </c>
      <c r="K425" s="1">
        <v>2.0</v>
      </c>
      <c r="L425" s="1">
        <f t="shared" ref="L425:N425" si="1251">SUMPRODUCT($B425:$J425, INDEX($B$2:$J$4, L$10, 0)) + INDEX($K$2:$K$4, L$10,1)</f>
        <v>7.984958461</v>
      </c>
      <c r="M425" s="1">
        <f t="shared" si="1251"/>
        <v>7.568535274</v>
      </c>
      <c r="N425" s="1">
        <f t="shared" si="1251"/>
        <v>7.709219176</v>
      </c>
      <c r="O425" s="1">
        <f t="shared" ref="O425:Q425" si="1252">(L425-L$7)/(L$6-L$7)</f>
        <v>0.002062506029</v>
      </c>
      <c r="P425" s="1">
        <f t="shared" si="1252"/>
        <v>0.0006679091667</v>
      </c>
      <c r="Q425" s="1">
        <f t="shared" si="1252"/>
        <v>0.0003817797395</v>
      </c>
      <c r="R425" s="1">
        <f t="shared" ref="R425:T425" si="1253">1/(1+EXP(-O425))</f>
        <v>0.5005156263</v>
      </c>
      <c r="S425" s="1">
        <f t="shared" si="1253"/>
        <v>0.5001669773</v>
      </c>
      <c r="T425" s="1">
        <f t="shared" si="1253"/>
        <v>0.5000954449</v>
      </c>
      <c r="U425" s="1">
        <f t="shared" si="11"/>
        <v>2.475652703</v>
      </c>
      <c r="V425" s="1">
        <f t="shared" si="12"/>
        <v>0.2262454943</v>
      </c>
      <c r="W425" s="1">
        <f t="shared" si="13"/>
        <v>2</v>
      </c>
      <c r="X425" s="1">
        <f t="shared" si="14"/>
        <v>0</v>
      </c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ht="15.75" customHeight="1">
      <c r="A426" s="1"/>
      <c r="B426" s="1">
        <v>3.0</v>
      </c>
      <c r="C426" s="1">
        <v>1.0</v>
      </c>
      <c r="D426" s="1">
        <v>1.0</v>
      </c>
      <c r="E426" s="1">
        <v>1.0</v>
      </c>
      <c r="F426" s="1">
        <v>2.0</v>
      </c>
      <c r="G426" s="3">
        <v>1.0</v>
      </c>
      <c r="H426" s="1">
        <v>2.0</v>
      </c>
      <c r="I426" s="1">
        <v>1.0</v>
      </c>
      <c r="J426" s="1">
        <v>1.0</v>
      </c>
      <c r="K426" s="1">
        <v>2.0</v>
      </c>
      <c r="L426" s="1">
        <f t="shared" ref="L426:N426" si="1254">SUMPRODUCT($B426:$J426, INDEX($B$2:$J$4, L$10, 0)) + INDEX($K$2:$K$4, L$10,1)</f>
        <v>7.985185587</v>
      </c>
      <c r="M426" s="1">
        <f t="shared" si="1254"/>
        <v>7.568535274</v>
      </c>
      <c r="N426" s="1">
        <f t="shared" si="1254"/>
        <v>7.706424942</v>
      </c>
      <c r="O426" s="1">
        <f t="shared" ref="O426:Q426" si="1255">(L426-L$7)/(L$6-L$7)</f>
        <v>0.00206622008</v>
      </c>
      <c r="P426" s="1">
        <f t="shared" si="1255"/>
        <v>0.0006679091667</v>
      </c>
      <c r="Q426" s="1">
        <f t="shared" si="1255"/>
        <v>0.0003345273907</v>
      </c>
      <c r="R426" s="1">
        <f t="shared" ref="R426:T426" si="1256">1/(1+EXP(-O426))</f>
        <v>0.5005165548</v>
      </c>
      <c r="S426" s="1">
        <f t="shared" si="1256"/>
        <v>0.5001669773</v>
      </c>
      <c r="T426" s="1">
        <f t="shared" si="1256"/>
        <v>0.5000836318</v>
      </c>
      <c r="U426" s="1">
        <f t="shared" si="11"/>
        <v>2.475633899</v>
      </c>
      <c r="V426" s="1">
        <f t="shared" si="12"/>
        <v>0.226227606</v>
      </c>
      <c r="W426" s="1">
        <f t="shared" si="13"/>
        <v>2</v>
      </c>
      <c r="X426" s="1">
        <f t="shared" si="14"/>
        <v>0</v>
      </c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ht="15.75" customHeight="1">
      <c r="A427" s="1"/>
      <c r="B427" s="1">
        <v>5.0</v>
      </c>
      <c r="C427" s="1">
        <v>1.0</v>
      </c>
      <c r="D427" s="1">
        <v>2.0</v>
      </c>
      <c r="E427" s="1">
        <v>1.0</v>
      </c>
      <c r="F427" s="1">
        <v>2.0</v>
      </c>
      <c r="G427" s="3">
        <v>1.0</v>
      </c>
      <c r="H427" s="1">
        <v>1.0</v>
      </c>
      <c r="I427" s="1">
        <v>1.0</v>
      </c>
      <c r="J427" s="1">
        <v>1.0</v>
      </c>
      <c r="K427" s="1">
        <v>2.0</v>
      </c>
      <c r="L427" s="1">
        <f t="shared" ref="L427:N427" si="1257">SUMPRODUCT($B427:$J427, INDEX($B$2:$J$4, L$10, 0)) + INDEX($K$2:$K$4, L$10,1)</f>
        <v>9.531936671</v>
      </c>
      <c r="M427" s="1">
        <f t="shared" si="1257"/>
        <v>8.878852681</v>
      </c>
      <c r="N427" s="1">
        <f t="shared" si="1257"/>
        <v>9.241785557</v>
      </c>
      <c r="O427" s="1">
        <f t="shared" ref="O427:Q427" si="1258">(L427-L$7)/(L$6-L$7)</f>
        <v>0.02735921004</v>
      </c>
      <c r="P427" s="1">
        <f t="shared" si="1258"/>
        <v>0.02310573042</v>
      </c>
      <c r="Q427" s="1">
        <f t="shared" si="1258"/>
        <v>0.02629848981</v>
      </c>
      <c r="R427" s="1">
        <f t="shared" ref="R427:T427" si="1259">1/(1+EXP(-O427))</f>
        <v>0.5068393759</v>
      </c>
      <c r="S427" s="1">
        <f t="shared" si="1259"/>
        <v>0.5057761756</v>
      </c>
      <c r="T427" s="1">
        <f t="shared" si="1259"/>
        <v>0.5065742436</v>
      </c>
      <c r="U427" s="1">
        <f t="shared" si="11"/>
        <v>2.506034942</v>
      </c>
      <c r="V427" s="1">
        <f t="shared" si="12"/>
        <v>0.2560713622</v>
      </c>
      <c r="W427" s="1">
        <f t="shared" si="13"/>
        <v>2</v>
      </c>
      <c r="X427" s="1">
        <f t="shared" si="14"/>
        <v>0</v>
      </c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ht="15.75" customHeight="1">
      <c r="A428" s="1"/>
      <c r="B428" s="1">
        <v>8.0</v>
      </c>
      <c r="C428" s="1">
        <v>10.0</v>
      </c>
      <c r="D428" s="1">
        <v>10.0</v>
      </c>
      <c r="E428" s="1">
        <v>10.0</v>
      </c>
      <c r="F428" s="1">
        <v>6.0</v>
      </c>
      <c r="G428" s="3">
        <v>10.0</v>
      </c>
      <c r="H428" s="1">
        <v>10.0</v>
      </c>
      <c r="I428" s="1">
        <v>10.0</v>
      </c>
      <c r="J428" s="1">
        <v>10.0</v>
      </c>
      <c r="K428" s="1">
        <v>4.0</v>
      </c>
      <c r="L428" s="1">
        <f t="shared" ref="L428:N428" si="1260">SUMPRODUCT($B428:$J428, INDEX($B$2:$J$4, L$10, 0)) + INDEX($K$2:$K$4, L$10,1)</f>
        <v>68.91931221</v>
      </c>
      <c r="M428" s="1">
        <f t="shared" si="1260"/>
        <v>65.8882367</v>
      </c>
      <c r="N428" s="1">
        <f t="shared" si="1260"/>
        <v>66.80115997</v>
      </c>
      <c r="O428" s="1">
        <f t="shared" ref="O428:Q428" si="1261">(L428-L$7)/(L$6-L$7)</f>
        <v>0.9984813961</v>
      </c>
      <c r="P428" s="1">
        <f t="shared" si="1261"/>
        <v>0.9993320721</v>
      </c>
      <c r="Q428" s="1">
        <f t="shared" si="1261"/>
        <v>0.9996655407</v>
      </c>
      <c r="R428" s="1">
        <f t="shared" ref="R428:T428" si="1262">1/(1+EXP(-O428))</f>
        <v>0.7307598982</v>
      </c>
      <c r="S428" s="1">
        <f t="shared" si="1262"/>
        <v>0.7309272358</v>
      </c>
      <c r="T428" s="1">
        <f t="shared" si="1262"/>
        <v>0.7309928149</v>
      </c>
      <c r="U428" s="1">
        <f t="shared" si="11"/>
        <v>3.617056403</v>
      </c>
      <c r="V428" s="1">
        <f t="shared" si="12"/>
        <v>0.1466457984</v>
      </c>
      <c r="W428" s="1">
        <f t="shared" si="13"/>
        <v>4</v>
      </c>
      <c r="X428" s="1">
        <f t="shared" si="14"/>
        <v>0</v>
      </c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ht="15.75" customHeight="1">
      <c r="A429" s="1"/>
      <c r="B429" s="1">
        <v>5.0</v>
      </c>
      <c r="C429" s="1">
        <v>4.0</v>
      </c>
      <c r="D429" s="1">
        <v>5.0</v>
      </c>
      <c r="E429" s="1">
        <v>1.0</v>
      </c>
      <c r="F429" s="1">
        <v>8.0</v>
      </c>
      <c r="G429" s="3">
        <v>1.0</v>
      </c>
      <c r="H429" s="1">
        <v>3.0</v>
      </c>
      <c r="I429" s="1">
        <v>6.0</v>
      </c>
      <c r="J429" s="1">
        <v>1.0</v>
      </c>
      <c r="K429" s="1">
        <v>2.0</v>
      </c>
      <c r="L429" s="1">
        <f t="shared" ref="L429:N429" si="1263">SUMPRODUCT($B429:$J429, INDEX($B$2:$J$4, L$10, 0)) + INDEX($K$2:$K$4, L$10,1)</f>
        <v>20.82162393</v>
      </c>
      <c r="M429" s="1">
        <f t="shared" si="1263"/>
        <v>19.10367486</v>
      </c>
      <c r="N429" s="1">
        <f t="shared" si="1263"/>
        <v>19.51041041</v>
      </c>
      <c r="O429" s="1">
        <f t="shared" ref="O429:Q429" si="1264">(L429-L$7)/(L$6-L$7)</f>
        <v>0.2119719442</v>
      </c>
      <c r="P429" s="1">
        <f t="shared" si="1264"/>
        <v>0.1981951639</v>
      </c>
      <c r="Q429" s="1">
        <f t="shared" si="1264"/>
        <v>0.1999477206</v>
      </c>
      <c r="R429" s="1">
        <f t="shared" ref="R429:T429" si="1265">1/(1+EXP(-O429))</f>
        <v>0.5527954497</v>
      </c>
      <c r="S429" s="1">
        <f t="shared" si="1265"/>
        <v>0.5493872304</v>
      </c>
      <c r="T429" s="1">
        <f t="shared" si="1265"/>
        <v>0.5498210573</v>
      </c>
      <c r="U429" s="1">
        <f t="shared" si="11"/>
        <v>2.724943769</v>
      </c>
      <c r="V429" s="1">
        <f t="shared" si="12"/>
        <v>0.5255434681</v>
      </c>
      <c r="W429" s="1">
        <f t="shared" si="13"/>
        <v>2</v>
      </c>
      <c r="X429" s="1">
        <f t="shared" si="14"/>
        <v>0</v>
      </c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ht="15.75" customHeight="1">
      <c r="A430" s="1"/>
      <c r="B430" s="1">
        <v>1.0</v>
      </c>
      <c r="C430" s="1">
        <v>1.0</v>
      </c>
      <c r="D430" s="1">
        <v>3.0</v>
      </c>
      <c r="E430" s="1">
        <v>1.0</v>
      </c>
      <c r="F430" s="1">
        <v>2.0</v>
      </c>
      <c r="G430" s="3">
        <v>1.0</v>
      </c>
      <c r="H430" s="1">
        <v>2.0</v>
      </c>
      <c r="I430" s="1">
        <v>1.0</v>
      </c>
      <c r="J430" s="1">
        <v>1.0</v>
      </c>
      <c r="K430" s="1">
        <v>2.0</v>
      </c>
      <c r="L430" s="1">
        <f t="shared" ref="L430:N430" si="1266">SUMPRODUCT($B430:$J430, INDEX($B$2:$J$4, L$10, 0)) + INDEX($K$2:$K$4, L$10,1)</f>
        <v>11.0480138</v>
      </c>
      <c r="M430" s="1">
        <f t="shared" si="1266"/>
        <v>10.07215808</v>
      </c>
      <c r="N430" s="1">
        <f t="shared" si="1266"/>
        <v>10.71782019</v>
      </c>
      <c r="O430" s="1">
        <f t="shared" ref="O430:Q430" si="1267">(L430-L$7)/(L$6-L$7)</f>
        <v>0.05215060924</v>
      </c>
      <c r="P430" s="1">
        <f t="shared" si="1267"/>
        <v>0.04353984288</v>
      </c>
      <c r="Q430" s="1">
        <f t="shared" si="1267"/>
        <v>0.05125921072</v>
      </c>
      <c r="R430" s="1">
        <f t="shared" ref="R430:T430" si="1268">1/(1+EXP(-O430))</f>
        <v>0.5130346983</v>
      </c>
      <c r="S430" s="1">
        <f t="shared" si="1268"/>
        <v>0.5108832415</v>
      </c>
      <c r="T430" s="1">
        <f t="shared" si="1268"/>
        <v>0.5128119975</v>
      </c>
      <c r="U430" s="1">
        <f t="shared" si="11"/>
        <v>2.534971837</v>
      </c>
      <c r="V430" s="1">
        <f t="shared" si="12"/>
        <v>0.2861948659</v>
      </c>
      <c r="W430" s="1">
        <f t="shared" si="13"/>
        <v>2</v>
      </c>
      <c r="X430" s="1">
        <f t="shared" si="14"/>
        <v>0</v>
      </c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ht="15.75" customHeight="1">
      <c r="A431" s="1"/>
      <c r="B431" s="1">
        <v>1.0</v>
      </c>
      <c r="C431" s="1">
        <v>1.0</v>
      </c>
      <c r="D431" s="1">
        <v>1.0</v>
      </c>
      <c r="E431" s="1">
        <v>1.0</v>
      </c>
      <c r="F431" s="1">
        <v>2.0</v>
      </c>
      <c r="G431" s="3">
        <v>1.0</v>
      </c>
      <c r="H431" s="1">
        <v>1.0</v>
      </c>
      <c r="I431" s="1">
        <v>1.0</v>
      </c>
      <c r="J431" s="1">
        <v>1.0</v>
      </c>
      <c r="K431" s="1">
        <v>2.0</v>
      </c>
      <c r="L431" s="1">
        <f t="shared" ref="L431:N431" si="1269">SUMPRODUCT($B431:$J431, INDEX($B$2:$J$4, L$10, 0)) + INDEX($K$2:$K$4, L$10,1)</f>
        <v>7.921139731</v>
      </c>
      <c r="M431" s="1">
        <f t="shared" si="1269"/>
        <v>7.529531272</v>
      </c>
      <c r="N431" s="1">
        <f t="shared" si="1269"/>
        <v>7.6866429</v>
      </c>
      <c r="O431" s="1">
        <f t="shared" ref="O431:Q431" si="1270">(L431-L$7)/(L$6-L$7)</f>
        <v>0.001018920854</v>
      </c>
      <c r="P431" s="1">
        <f t="shared" si="1270"/>
        <v>0.000000006234892308</v>
      </c>
      <c r="Q431" s="1">
        <f t="shared" si="1270"/>
        <v>0</v>
      </c>
      <c r="R431" s="1">
        <f t="shared" ref="R431:T431" si="1271">1/(1+EXP(-O431))</f>
        <v>0.5002547302</v>
      </c>
      <c r="S431" s="1">
        <f t="shared" si="1271"/>
        <v>0.5000000016</v>
      </c>
      <c r="T431" s="1">
        <f t="shared" si="1271"/>
        <v>0.5</v>
      </c>
      <c r="U431" s="1">
        <f t="shared" si="11"/>
        <v>2.474800478</v>
      </c>
      <c r="V431" s="1">
        <f t="shared" si="12"/>
        <v>0.2254354935</v>
      </c>
      <c r="W431" s="1">
        <f t="shared" si="13"/>
        <v>2</v>
      </c>
      <c r="X431" s="1">
        <f t="shared" si="14"/>
        <v>0</v>
      </c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ht="15.75" customHeight="1">
      <c r="A432" s="1"/>
      <c r="B432" s="1">
        <v>10.0</v>
      </c>
      <c r="C432" s="1">
        <v>7.0</v>
      </c>
      <c r="D432" s="1">
        <v>7.0</v>
      </c>
      <c r="E432" s="1">
        <v>3.0</v>
      </c>
      <c r="F432" s="1">
        <v>8.0</v>
      </c>
      <c r="G432" s="3">
        <v>5.0</v>
      </c>
      <c r="H432" s="1">
        <v>7.0</v>
      </c>
      <c r="I432" s="1">
        <v>4.0</v>
      </c>
      <c r="J432" s="1">
        <v>3.0</v>
      </c>
      <c r="K432" s="1">
        <v>4.0</v>
      </c>
      <c r="L432" s="1">
        <f t="shared" ref="L432:N432" si="1272">SUMPRODUCT($B432:$J432, INDEX($B$2:$J$4, L$10, 0)) + INDEX($K$2:$K$4, L$10,1)</f>
        <v>41.38928604</v>
      </c>
      <c r="M432" s="1">
        <f t="shared" si="1272"/>
        <v>39.12936147</v>
      </c>
      <c r="N432" s="1">
        <f t="shared" si="1272"/>
        <v>39.55639962</v>
      </c>
      <c r="O432" s="1">
        <f t="shared" ref="O432:Q432" si="1273">(L432-L$7)/(L$6-L$7)</f>
        <v>0.5483012198</v>
      </c>
      <c r="P432" s="1">
        <f t="shared" si="1273"/>
        <v>0.5411141959</v>
      </c>
      <c r="Q432" s="1">
        <f t="shared" si="1273"/>
        <v>0.5389386426</v>
      </c>
      <c r="R432" s="1">
        <f t="shared" ref="R432:T432" si="1274">1/(1+EXP(-O432))</f>
        <v>0.6337413713</v>
      </c>
      <c r="S432" s="1">
        <f t="shared" si="1274"/>
        <v>0.63207157</v>
      </c>
      <c r="T432" s="1">
        <f t="shared" si="1274"/>
        <v>0.6315654844</v>
      </c>
      <c r="U432" s="1">
        <f t="shared" si="11"/>
        <v>3.129766815</v>
      </c>
      <c r="V432" s="1">
        <f t="shared" si="12"/>
        <v>0.7573057963</v>
      </c>
      <c r="W432" s="1">
        <f t="shared" si="13"/>
        <v>4</v>
      </c>
      <c r="X432" s="1">
        <f t="shared" si="14"/>
        <v>0</v>
      </c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ht="15.75" customHeight="1">
      <c r="A433" s="1"/>
      <c r="B433" s="1">
        <v>3.0</v>
      </c>
      <c r="C433" s="1">
        <v>3.0</v>
      </c>
      <c r="D433" s="1">
        <v>6.0</v>
      </c>
      <c r="E433" s="1">
        <v>4.0</v>
      </c>
      <c r="F433" s="1">
        <v>5.0</v>
      </c>
      <c r="G433" s="3">
        <v>8.0</v>
      </c>
      <c r="H433" s="1">
        <v>4.0</v>
      </c>
      <c r="I433" s="1">
        <v>4.0</v>
      </c>
      <c r="J433" s="1">
        <v>1.0</v>
      </c>
      <c r="K433" s="1">
        <v>4.0</v>
      </c>
      <c r="L433" s="1">
        <f t="shared" ref="L433:N433" si="1275">SUMPRODUCT($B433:$J433, INDEX($B$2:$J$4, L$10, 0)) + INDEX($K$2:$K$4, L$10,1)</f>
        <v>42.83494352</v>
      </c>
      <c r="M433" s="1">
        <f t="shared" si="1275"/>
        <v>40.89380098</v>
      </c>
      <c r="N433" s="1">
        <f t="shared" si="1275"/>
        <v>42.35348118</v>
      </c>
      <c r="O433" s="1">
        <f t="shared" ref="O433:Q433" si="1276">(L433-L$7)/(L$6-L$7)</f>
        <v>0.5719410934</v>
      </c>
      <c r="P433" s="1">
        <f t="shared" si="1276"/>
        <v>0.5713283852</v>
      </c>
      <c r="Q433" s="1">
        <f t="shared" si="1276"/>
        <v>0.5862391398</v>
      </c>
      <c r="R433" s="1">
        <f t="shared" ref="R433:T433" si="1277">1/(1+EXP(-O433))</f>
        <v>0.6392109516</v>
      </c>
      <c r="S433" s="1">
        <f t="shared" si="1277"/>
        <v>0.6390696366</v>
      </c>
      <c r="T433" s="1">
        <f t="shared" si="1277"/>
        <v>0.6425017652</v>
      </c>
      <c r="U433" s="1">
        <f t="shared" si="11"/>
        <v>3.168738377</v>
      </c>
      <c r="V433" s="1">
        <f t="shared" si="12"/>
        <v>0.6909958861</v>
      </c>
      <c r="W433" s="1">
        <f t="shared" si="13"/>
        <v>4</v>
      </c>
      <c r="X433" s="1">
        <f t="shared" si="14"/>
        <v>0</v>
      </c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ht="15.75" customHeight="1">
      <c r="A434" s="1"/>
      <c r="B434" s="1">
        <v>2.0</v>
      </c>
      <c r="C434" s="1">
        <v>1.0</v>
      </c>
      <c r="D434" s="1">
        <v>1.0</v>
      </c>
      <c r="E434" s="1">
        <v>2.0</v>
      </c>
      <c r="F434" s="1">
        <v>2.0</v>
      </c>
      <c r="G434" s="3">
        <v>1.0</v>
      </c>
      <c r="H434" s="1">
        <v>1.0</v>
      </c>
      <c r="I434" s="1">
        <v>1.0</v>
      </c>
      <c r="J434" s="1">
        <v>1.0</v>
      </c>
      <c r="K434" s="1">
        <v>2.0</v>
      </c>
      <c r="L434" s="1">
        <f t="shared" ref="L434:N434" si="1278">SUMPRODUCT($B434:$J434, INDEX($B$2:$J$4, L$10, 0)) + INDEX($K$2:$K$4, L$10,1)</f>
        <v>7.969081894</v>
      </c>
      <c r="M434" s="1">
        <f t="shared" si="1278"/>
        <v>7.549033273</v>
      </c>
      <c r="N434" s="1">
        <f t="shared" si="1278"/>
        <v>7.69933017</v>
      </c>
      <c r="O434" s="1">
        <f t="shared" ref="O434:Q434" si="1279">(L434-L$7)/(L$6-L$7)</f>
        <v>0.001802887108</v>
      </c>
      <c r="P434" s="1">
        <f t="shared" si="1279"/>
        <v>0.0003339577008</v>
      </c>
      <c r="Q434" s="1">
        <f t="shared" si="1279"/>
        <v>0.0002145501096</v>
      </c>
      <c r="R434" s="1">
        <f t="shared" ref="R434:T434" si="1280">1/(1+EXP(-O434))</f>
        <v>0.5004507217</v>
      </c>
      <c r="S434" s="1">
        <f t="shared" si="1280"/>
        <v>0.5000834894</v>
      </c>
      <c r="T434" s="1">
        <f t="shared" si="1280"/>
        <v>0.5000536375</v>
      </c>
      <c r="U434" s="1">
        <f t="shared" si="11"/>
        <v>2.475340487</v>
      </c>
      <c r="V434" s="1">
        <f t="shared" si="12"/>
        <v>0.2259485788</v>
      </c>
      <c r="W434" s="1">
        <f t="shared" si="13"/>
        <v>2</v>
      </c>
      <c r="X434" s="1">
        <f t="shared" si="14"/>
        <v>0</v>
      </c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ht="15.75" customHeight="1">
      <c r="A435" s="1"/>
      <c r="B435" s="1">
        <v>7.0</v>
      </c>
      <c r="C435" s="1">
        <v>5.0</v>
      </c>
      <c r="D435" s="1">
        <v>6.0</v>
      </c>
      <c r="E435" s="1">
        <v>10.0</v>
      </c>
      <c r="F435" s="1">
        <v>5.0</v>
      </c>
      <c r="G435" s="3">
        <v>10.0</v>
      </c>
      <c r="H435" s="1">
        <v>7.0</v>
      </c>
      <c r="I435" s="1">
        <v>9.0</v>
      </c>
      <c r="J435" s="1">
        <v>4.0</v>
      </c>
      <c r="K435" s="1">
        <v>4.0</v>
      </c>
      <c r="L435" s="1">
        <f t="shared" ref="L435:N435" si="1281">SUMPRODUCT($B435:$J435, INDEX($B$2:$J$4, L$10, 0)) + INDEX($K$2:$K$4, L$10,1)</f>
        <v>54.29334685</v>
      </c>
      <c r="M435" s="1">
        <f t="shared" si="1281"/>
        <v>52.24582275</v>
      </c>
      <c r="N435" s="1">
        <f t="shared" si="1281"/>
        <v>53.3954513</v>
      </c>
      <c r="O435" s="1">
        <f t="shared" ref="O435:Q435" si="1282">(L435-L$7)/(L$6-L$7)</f>
        <v>0.759312729</v>
      </c>
      <c r="P435" s="1">
        <f t="shared" si="1282"/>
        <v>0.765719938</v>
      </c>
      <c r="Q435" s="1">
        <f t="shared" si="1282"/>
        <v>0.7729661499</v>
      </c>
      <c r="R435" s="1">
        <f t="shared" ref="R435:T435" si="1283">1/(1+EXP(-O435))</f>
        <v>0.6812045012</v>
      </c>
      <c r="S435" s="1">
        <f t="shared" si="1283"/>
        <v>0.682594304</v>
      </c>
      <c r="T435" s="1">
        <f t="shared" si="1283"/>
        <v>0.684162182</v>
      </c>
      <c r="U435" s="1">
        <f t="shared" si="11"/>
        <v>3.378509987</v>
      </c>
      <c r="V435" s="1">
        <f t="shared" si="12"/>
        <v>0.3862498358</v>
      </c>
      <c r="W435" s="1">
        <f t="shared" si="13"/>
        <v>4</v>
      </c>
      <c r="X435" s="1">
        <f t="shared" si="14"/>
        <v>0</v>
      </c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ht="15.75" customHeight="1">
      <c r="A436" s="1"/>
      <c r="B436" s="1">
        <v>5.0</v>
      </c>
      <c r="C436" s="1">
        <v>10.0</v>
      </c>
      <c r="D436" s="1">
        <v>8.0</v>
      </c>
      <c r="E436" s="1">
        <v>10.0</v>
      </c>
      <c r="F436" s="1">
        <v>8.0</v>
      </c>
      <c r="G436" s="3">
        <v>10.0</v>
      </c>
      <c r="H436" s="1">
        <v>3.0</v>
      </c>
      <c r="I436" s="1">
        <v>6.0</v>
      </c>
      <c r="J436" s="1">
        <v>3.0</v>
      </c>
      <c r="K436" s="1">
        <v>4.0</v>
      </c>
      <c r="L436" s="1">
        <f t="shared" ref="L436:N436" si="1284">SUMPRODUCT($B436:$J436, INDEX($B$2:$J$4, L$10, 0)) + INDEX($K$2:$K$4, L$10,1)</f>
        <v>64.53719591</v>
      </c>
      <c r="M436" s="1">
        <f t="shared" si="1284"/>
        <v>62.11593644</v>
      </c>
      <c r="N436" s="1">
        <f t="shared" si="1284"/>
        <v>62.53867306</v>
      </c>
      <c r="O436" s="1">
        <f t="shared" ref="O436:Q436" si="1285">(L436-L$7)/(L$6-L$7)</f>
        <v>0.9268235678</v>
      </c>
      <c r="P436" s="1">
        <f t="shared" si="1285"/>
        <v>0.9347353578</v>
      </c>
      <c r="Q436" s="1">
        <f t="shared" si="1285"/>
        <v>0.9275840708</v>
      </c>
      <c r="R436" s="1">
        <f t="shared" ref="R436:T436" si="1286">1/(1+EXP(-O436))</f>
        <v>0.7164304121</v>
      </c>
      <c r="S436" s="1">
        <f t="shared" si="1286"/>
        <v>0.7180349986</v>
      </c>
      <c r="T436" s="1">
        <f t="shared" si="1286"/>
        <v>0.7165848889</v>
      </c>
      <c r="U436" s="1">
        <f t="shared" si="11"/>
        <v>3.54837914</v>
      </c>
      <c r="V436" s="1">
        <f t="shared" si="12"/>
        <v>0.2039614015</v>
      </c>
      <c r="W436" s="1">
        <f t="shared" si="13"/>
        <v>4</v>
      </c>
      <c r="X436" s="1">
        <f t="shared" si="14"/>
        <v>0</v>
      </c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ht="15.75" customHeight="1">
      <c r="A437" s="1"/>
      <c r="B437" s="1">
        <v>8.0</v>
      </c>
      <c r="C437" s="1">
        <v>6.0</v>
      </c>
      <c r="D437" s="1">
        <v>5.0</v>
      </c>
      <c r="E437" s="1">
        <v>4.0</v>
      </c>
      <c r="F437" s="1">
        <v>3.0</v>
      </c>
      <c r="G437" s="3">
        <v>10.0</v>
      </c>
      <c r="H437" s="1">
        <v>6.0</v>
      </c>
      <c r="I437" s="1">
        <v>1.0</v>
      </c>
      <c r="J437" s="1">
        <v>1.0</v>
      </c>
      <c r="K437" s="1">
        <v>4.0</v>
      </c>
      <c r="L437" s="1">
        <f t="shared" ref="L437:N437" si="1287">SUMPRODUCT($B437:$J437, INDEX($B$2:$J$4, L$10, 0)) + INDEX($K$2:$K$4, L$10,1)</f>
        <v>51.73109516</v>
      </c>
      <c r="M437" s="1">
        <f t="shared" si="1287"/>
        <v>50.30064744</v>
      </c>
      <c r="N437" s="1">
        <f t="shared" si="1287"/>
        <v>50.8763345</v>
      </c>
      <c r="O437" s="1">
        <f t="shared" ref="O437:Q437" si="1288">(L437-L$7)/(L$6-L$7)</f>
        <v>0.7174139341</v>
      </c>
      <c r="P437" s="1">
        <f t="shared" si="1288"/>
        <v>0.7324108361</v>
      </c>
      <c r="Q437" s="1">
        <f t="shared" si="1288"/>
        <v>0.7303662204</v>
      </c>
      <c r="R437" s="1">
        <f t="shared" ref="R437:T437" si="1289">1/(1+EXP(-O437))</f>
        <v>0.6720372937</v>
      </c>
      <c r="S437" s="1">
        <f t="shared" si="1289"/>
        <v>0.6753340909</v>
      </c>
      <c r="T437" s="1">
        <f t="shared" si="1289"/>
        <v>0.674885632</v>
      </c>
      <c r="U437" s="1">
        <f t="shared" si="11"/>
        <v>3.336101687</v>
      </c>
      <c r="V437" s="1">
        <f t="shared" si="12"/>
        <v>0.4407609705</v>
      </c>
      <c r="W437" s="1">
        <f t="shared" si="13"/>
        <v>4</v>
      </c>
      <c r="X437" s="1">
        <f t="shared" si="14"/>
        <v>0</v>
      </c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ht="15.75" customHeight="1">
      <c r="A438" s="1"/>
      <c r="B438" s="1">
        <v>10.0</v>
      </c>
      <c r="C438" s="1">
        <v>10.0</v>
      </c>
      <c r="D438" s="1">
        <v>6.0</v>
      </c>
      <c r="E438" s="1">
        <v>3.0</v>
      </c>
      <c r="F438" s="1">
        <v>3.0</v>
      </c>
      <c r="G438" s="3">
        <v>10.0</v>
      </c>
      <c r="H438" s="1">
        <v>4.0</v>
      </c>
      <c r="I438" s="1">
        <v>3.0</v>
      </c>
      <c r="J438" s="1">
        <v>2.0</v>
      </c>
      <c r="K438" s="1">
        <v>4.0</v>
      </c>
      <c r="L438" s="1">
        <f t="shared" ref="L438:N438" si="1290">SUMPRODUCT($B438:$J438, INDEX($B$2:$J$4, L$10, 0)) + INDEX($K$2:$K$4, L$10,1)</f>
        <v>60.16442104</v>
      </c>
      <c r="M438" s="1">
        <f t="shared" si="1290"/>
        <v>58.79244167</v>
      </c>
      <c r="N438" s="1">
        <f t="shared" si="1290"/>
        <v>58.63614719</v>
      </c>
      <c r="O438" s="1">
        <f t="shared" ref="O438:Q438" si="1291">(L438-L$7)/(L$6-L$7)</f>
        <v>0.8553184937</v>
      </c>
      <c r="P438" s="1">
        <f t="shared" si="1291"/>
        <v>0.8778239706</v>
      </c>
      <c r="Q438" s="1">
        <f t="shared" si="1291"/>
        <v>0.86158978</v>
      </c>
      <c r="R438" s="1">
        <f t="shared" ref="R438:T438" si="1292">1/(1+EXP(-O438))</f>
        <v>0.7016816264</v>
      </c>
      <c r="S438" s="1">
        <f t="shared" si="1292"/>
        <v>0.7063710915</v>
      </c>
      <c r="T438" s="1">
        <f t="shared" si="1292"/>
        <v>0.7029926979</v>
      </c>
      <c r="U438" s="1">
        <f t="shared" si="11"/>
        <v>3.482464574</v>
      </c>
      <c r="V438" s="1">
        <f t="shared" si="12"/>
        <v>0.2678429176</v>
      </c>
      <c r="W438" s="1">
        <f t="shared" si="13"/>
        <v>4</v>
      </c>
      <c r="X438" s="1">
        <f t="shared" si="14"/>
        <v>0</v>
      </c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ht="15.75" customHeight="1">
      <c r="A439" s="1"/>
      <c r="B439" s="1">
        <v>1.0</v>
      </c>
      <c r="C439" s="1">
        <v>1.0</v>
      </c>
      <c r="D439" s="1">
        <v>1.0</v>
      </c>
      <c r="E439" s="1">
        <v>1.0</v>
      </c>
      <c r="F439" s="1">
        <v>1.0</v>
      </c>
      <c r="G439" s="3">
        <v>1.0</v>
      </c>
      <c r="H439" s="1">
        <v>2.0</v>
      </c>
      <c r="I439" s="1">
        <v>1.0</v>
      </c>
      <c r="J439" s="1">
        <v>1.0</v>
      </c>
      <c r="K439" s="1">
        <v>2.0</v>
      </c>
      <c r="L439" s="1">
        <f t="shared" ref="L439:N439" si="1293">SUMPRODUCT($B439:$J439, INDEX($B$2:$J$4, L$10, 0)) + INDEX($K$2:$K$4, L$10,1)</f>
        <v>7.891122029</v>
      </c>
      <c r="M439" s="1">
        <f t="shared" si="1293"/>
        <v>7.529530907</v>
      </c>
      <c r="N439" s="1">
        <f t="shared" si="1293"/>
        <v>7.686646929</v>
      </c>
      <c r="O439" s="1">
        <f t="shared" ref="O439:Q439" si="1294">(L439-L$7)/(L$6-L$7)</f>
        <v>0.0005280613841</v>
      </c>
      <c r="P439" s="1">
        <f t="shared" si="1294"/>
        <v>0</v>
      </c>
      <c r="Q439" s="1">
        <f t="shared" si="1294"/>
        <v>0.00000006813089816</v>
      </c>
      <c r="R439" s="1">
        <f t="shared" ref="R439:T439" si="1295">1/(1+EXP(-O439))</f>
        <v>0.5001320153</v>
      </c>
      <c r="S439" s="1">
        <f t="shared" si="1295"/>
        <v>0.5</v>
      </c>
      <c r="T439" s="1">
        <f t="shared" si="1295"/>
        <v>0.500000017</v>
      </c>
      <c r="U439" s="1">
        <f t="shared" si="11"/>
        <v>2.474606266</v>
      </c>
      <c r="V439" s="1">
        <f t="shared" si="12"/>
        <v>0.2252511073</v>
      </c>
      <c r="W439" s="1">
        <f t="shared" si="13"/>
        <v>2</v>
      </c>
      <c r="X439" s="1">
        <f t="shared" si="14"/>
        <v>0</v>
      </c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ht="15.75" customHeight="1">
      <c r="A440" s="1"/>
      <c r="B440" s="1">
        <v>10.0</v>
      </c>
      <c r="C440" s="1">
        <v>10.0</v>
      </c>
      <c r="D440" s="1">
        <v>10.0</v>
      </c>
      <c r="E440" s="1">
        <v>7.0</v>
      </c>
      <c r="F440" s="1">
        <v>10.0</v>
      </c>
      <c r="G440" s="3">
        <v>10.0</v>
      </c>
      <c r="H440" s="1">
        <v>8.0</v>
      </c>
      <c r="I440" s="1">
        <v>2.0</v>
      </c>
      <c r="J440" s="1">
        <v>1.0</v>
      </c>
      <c r="K440" s="1">
        <v>4.0</v>
      </c>
      <c r="L440" s="1">
        <f t="shared" ref="L440:N440" si="1296">SUMPRODUCT($B440:$J440, INDEX($B$2:$J$4, L$10, 0)) + INDEX($K$2:$K$4, L$10,1)</f>
        <v>66.76257072</v>
      </c>
      <c r="M440" s="1">
        <f t="shared" si="1296"/>
        <v>63.58490579</v>
      </c>
      <c r="N440" s="1">
        <f t="shared" si="1296"/>
        <v>64.40929828</v>
      </c>
      <c r="O440" s="1">
        <f t="shared" ref="O440:Q440" si="1297">(L440-L$7)/(L$6-L$7)</f>
        <v>0.9632136394</v>
      </c>
      <c r="P440" s="1">
        <f t="shared" si="1297"/>
        <v>0.9598899286</v>
      </c>
      <c r="Q440" s="1">
        <f t="shared" si="1297"/>
        <v>0.9592175792</v>
      </c>
      <c r="R440" s="1">
        <f t="shared" ref="R440:T440" si="1298">1/(1+EXP(-O440))</f>
        <v>0.7237647677</v>
      </c>
      <c r="S440" s="1">
        <f t="shared" si="1298"/>
        <v>0.7230997664</v>
      </c>
      <c r="T440" s="1">
        <f t="shared" si="1298"/>
        <v>0.7229651241</v>
      </c>
      <c r="U440" s="1">
        <f t="shared" si="11"/>
        <v>3.579293701</v>
      </c>
      <c r="V440" s="1">
        <f t="shared" si="12"/>
        <v>0.1769937902</v>
      </c>
      <c r="W440" s="1">
        <f t="shared" si="13"/>
        <v>4</v>
      </c>
      <c r="X440" s="1">
        <f t="shared" si="14"/>
        <v>0</v>
      </c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ht="15.75" customHeight="1">
      <c r="A441" s="1"/>
      <c r="B441" s="1">
        <v>3.0</v>
      </c>
      <c r="C441" s="1">
        <v>1.0</v>
      </c>
      <c r="D441" s="1">
        <v>1.0</v>
      </c>
      <c r="E441" s="1">
        <v>3.0</v>
      </c>
      <c r="F441" s="1">
        <v>2.0</v>
      </c>
      <c r="G441" s="3">
        <v>1.0</v>
      </c>
      <c r="H441" s="1">
        <v>1.0</v>
      </c>
      <c r="I441" s="1">
        <v>1.0</v>
      </c>
      <c r="J441" s="1">
        <v>1.0</v>
      </c>
      <c r="K441" s="1">
        <v>2.0</v>
      </c>
      <c r="L441" s="1">
        <f t="shared" ref="L441:N441" si="1299">SUMPRODUCT($B441:$J441, INDEX($B$2:$J$4, L$10, 0)) + INDEX($K$2:$K$4, L$10,1)</f>
        <v>8.017024057</v>
      </c>
      <c r="M441" s="1">
        <f t="shared" si="1299"/>
        <v>7.568535274</v>
      </c>
      <c r="N441" s="1">
        <f t="shared" si="1299"/>
        <v>7.712017439</v>
      </c>
      <c r="O441" s="1">
        <f t="shared" ref="O441:Q441" si="1300">(L441-L$7)/(L$6-L$7)</f>
        <v>0.002586853363</v>
      </c>
      <c r="P441" s="1">
        <f t="shared" si="1300"/>
        <v>0.0006679091667</v>
      </c>
      <c r="Q441" s="1">
        <f t="shared" si="1300"/>
        <v>0.0004291002192</v>
      </c>
      <c r="R441" s="1">
        <f t="shared" ref="R441:T441" si="1301">1/(1+EXP(-O441))</f>
        <v>0.500646713</v>
      </c>
      <c r="S441" s="1">
        <f t="shared" si="1301"/>
        <v>0.5001669773</v>
      </c>
      <c r="T441" s="1">
        <f t="shared" si="1301"/>
        <v>0.5001072751</v>
      </c>
      <c r="U441" s="1">
        <f t="shared" si="11"/>
        <v>2.475880497</v>
      </c>
      <c r="V441" s="1">
        <f t="shared" si="12"/>
        <v>0.2264622472</v>
      </c>
      <c r="W441" s="1">
        <f t="shared" si="13"/>
        <v>2</v>
      </c>
      <c r="X441" s="1">
        <f t="shared" si="14"/>
        <v>0</v>
      </c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ht="15.75" customHeight="1">
      <c r="A442" s="1"/>
      <c r="B442" s="1">
        <v>4.0</v>
      </c>
      <c r="C442" s="1">
        <v>1.0</v>
      </c>
      <c r="D442" s="1">
        <v>1.0</v>
      </c>
      <c r="E442" s="1">
        <v>1.0</v>
      </c>
      <c r="F442" s="1">
        <v>2.0</v>
      </c>
      <c r="G442" s="3">
        <v>1.0</v>
      </c>
      <c r="H442" s="1">
        <v>2.0</v>
      </c>
      <c r="I442" s="1">
        <v>1.0</v>
      </c>
      <c r="J442" s="1">
        <v>1.0</v>
      </c>
      <c r="K442" s="1">
        <v>2.0</v>
      </c>
      <c r="L442" s="1">
        <f t="shared" ref="L442:N442" si="1302">SUMPRODUCT($B442:$J442, INDEX($B$2:$J$4, L$10, 0)) + INDEX($K$2:$K$4, L$10,1)</f>
        <v>8.001062154</v>
      </c>
      <c r="M442" s="1">
        <f t="shared" si="1302"/>
        <v>7.588037275</v>
      </c>
      <c r="N442" s="1">
        <f t="shared" si="1302"/>
        <v>7.716313948</v>
      </c>
      <c r="O442" s="1">
        <f t="shared" ref="O442:Q442" si="1303">(L442-L$7)/(L$6-L$7)</f>
        <v>0.002325839001</v>
      </c>
      <c r="P442" s="1">
        <f t="shared" si="1303"/>
        <v>0.001001860633</v>
      </c>
      <c r="Q442" s="1">
        <f t="shared" si="1303"/>
        <v>0.0005017570206</v>
      </c>
      <c r="R442" s="1">
        <f t="shared" ref="R442:T442" si="1304">1/(1+EXP(-O442))</f>
        <v>0.5005814595</v>
      </c>
      <c r="S442" s="1">
        <f t="shared" si="1304"/>
        <v>0.5002504651</v>
      </c>
      <c r="T442" s="1">
        <f t="shared" si="1304"/>
        <v>0.5001254393</v>
      </c>
      <c r="U442" s="1">
        <f t="shared" si="11"/>
        <v>2.475946115</v>
      </c>
      <c r="V442" s="1">
        <f t="shared" si="12"/>
        <v>0.2265247046</v>
      </c>
      <c r="W442" s="1">
        <f t="shared" si="13"/>
        <v>2</v>
      </c>
      <c r="X442" s="1">
        <f t="shared" si="14"/>
        <v>0</v>
      </c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ht="15.75" customHeight="1">
      <c r="A443" s="1"/>
      <c r="B443" s="1">
        <v>10.0</v>
      </c>
      <c r="C443" s="1">
        <v>4.0</v>
      </c>
      <c r="D443" s="1">
        <v>5.0</v>
      </c>
      <c r="E443" s="1">
        <v>4.0</v>
      </c>
      <c r="F443" s="1">
        <v>3.0</v>
      </c>
      <c r="G443" s="3">
        <v>5.0</v>
      </c>
      <c r="H443" s="1">
        <v>7.0</v>
      </c>
      <c r="I443" s="1">
        <v>3.0</v>
      </c>
      <c r="J443" s="1">
        <v>1.0</v>
      </c>
      <c r="K443" s="1">
        <v>4.0</v>
      </c>
      <c r="L443" s="1">
        <f t="shared" ref="L443:N443" si="1305">SUMPRODUCT($B443:$J443, INDEX($B$2:$J$4, L$10, 0)) + INDEX($K$2:$K$4, L$10,1)</f>
        <v>32.94432796</v>
      </c>
      <c r="M443" s="1">
        <f t="shared" si="1305"/>
        <v>31.34702124</v>
      </c>
      <c r="N443" s="1">
        <f t="shared" si="1305"/>
        <v>32.00778615</v>
      </c>
      <c r="O443" s="1">
        <f t="shared" ref="O443:Q443" si="1306">(L443-L$7)/(L$6-L$7)</f>
        <v>0.4102064466</v>
      </c>
      <c r="P443" s="1">
        <f t="shared" si="1306"/>
        <v>0.4078497226</v>
      </c>
      <c r="Q443" s="1">
        <f t="shared" si="1306"/>
        <v>0.4112866014</v>
      </c>
      <c r="R443" s="1">
        <f t="shared" ref="R443:T443" si="1307">1/(1+EXP(-O443))</f>
        <v>0.6011373798</v>
      </c>
      <c r="S443" s="1">
        <f t="shared" si="1307"/>
        <v>0.6005721708</v>
      </c>
      <c r="T443" s="1">
        <f t="shared" si="1307"/>
        <v>0.6013963416</v>
      </c>
      <c r="U443" s="1">
        <f t="shared" si="11"/>
        <v>2.974417402</v>
      </c>
      <c r="V443" s="1">
        <f t="shared" si="12"/>
        <v>1.051819666</v>
      </c>
      <c r="W443" s="1">
        <f t="shared" si="13"/>
        <v>4</v>
      </c>
      <c r="X443" s="1">
        <f t="shared" si="14"/>
        <v>0</v>
      </c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ht="15.75" customHeight="1">
      <c r="A444" s="1"/>
      <c r="B444" s="1">
        <v>10.0</v>
      </c>
      <c r="C444" s="1">
        <v>9.0</v>
      </c>
      <c r="D444" s="1">
        <v>7.0</v>
      </c>
      <c r="E444" s="1">
        <v>3.0</v>
      </c>
      <c r="F444" s="1">
        <v>4.0</v>
      </c>
      <c r="G444" s="3">
        <v>2.0</v>
      </c>
      <c r="H444" s="1">
        <v>7.0</v>
      </c>
      <c r="I444" s="1">
        <v>7.0</v>
      </c>
      <c r="J444" s="1">
        <v>1.0</v>
      </c>
      <c r="K444" s="1">
        <v>4.0</v>
      </c>
      <c r="L444" s="1">
        <f t="shared" ref="L444:N444" si="1308">SUMPRODUCT($B444:$J444, INDEX($B$2:$J$4, L$10, 0)) + INDEX($K$2:$K$4, L$10,1)</f>
        <v>35.44722687</v>
      </c>
      <c r="M444" s="1">
        <f t="shared" si="1308"/>
        <v>33.53752178</v>
      </c>
      <c r="N444" s="1">
        <f t="shared" si="1308"/>
        <v>33.26528581</v>
      </c>
      <c r="O444" s="1">
        <f t="shared" ref="O444:Q444" si="1309">(L444-L$7)/(L$6-L$7)</f>
        <v>0.4511346849</v>
      </c>
      <c r="P444" s="1">
        <f t="shared" si="1309"/>
        <v>0.4453597634</v>
      </c>
      <c r="Q444" s="1">
        <f t="shared" si="1309"/>
        <v>0.4325517514</v>
      </c>
      <c r="R444" s="1">
        <f t="shared" ref="R444:T444" si="1310">1/(1+EXP(-O444))</f>
        <v>0.6109089815</v>
      </c>
      <c r="S444" s="1">
        <f t="shared" si="1310"/>
        <v>0.6095354114</v>
      </c>
      <c r="T444" s="1">
        <f t="shared" si="1310"/>
        <v>0.6064828382</v>
      </c>
      <c r="U444" s="1">
        <f t="shared" si="11"/>
        <v>3.013400721</v>
      </c>
      <c r="V444" s="1">
        <f t="shared" si="12"/>
        <v>0.9733781374</v>
      </c>
      <c r="W444" s="1">
        <f t="shared" si="13"/>
        <v>4</v>
      </c>
      <c r="X444" s="1">
        <f t="shared" si="14"/>
        <v>0</v>
      </c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ht="15.75" customHeight="1">
      <c r="A445" s="1"/>
      <c r="B445" s="1">
        <v>10.0</v>
      </c>
      <c r="C445" s="1">
        <v>3.0</v>
      </c>
      <c r="D445" s="1">
        <v>4.0</v>
      </c>
      <c r="E445" s="1">
        <v>5.0</v>
      </c>
      <c r="F445" s="1">
        <v>3.0</v>
      </c>
      <c r="G445" s="3">
        <v>10.0</v>
      </c>
      <c r="H445" s="1">
        <v>4.0</v>
      </c>
      <c r="I445" s="1">
        <v>1.0</v>
      </c>
      <c r="J445" s="1">
        <v>1.0</v>
      </c>
      <c r="K445" s="1">
        <v>4.0</v>
      </c>
      <c r="L445" s="1">
        <f t="shared" ref="L445:N445" si="1311">SUMPRODUCT($B445:$J445, INDEX($B$2:$J$4, L$10, 0)) + INDEX($K$2:$K$4, L$10,1)</f>
        <v>45.39676682</v>
      </c>
      <c r="M445" s="1">
        <f t="shared" si="1311"/>
        <v>44.12141848</v>
      </c>
      <c r="N445" s="1">
        <f t="shared" si="1311"/>
        <v>45.16348222</v>
      </c>
      <c r="O445" s="1">
        <f t="shared" ref="O445:Q445" si="1312">(L445-L$7)/(L$6-L$7)</f>
        <v>0.613832883</v>
      </c>
      <c r="P445" s="1">
        <f t="shared" si="1312"/>
        <v>0.6265979742</v>
      </c>
      <c r="Q445" s="1">
        <f t="shared" si="1312"/>
        <v>0.6337581138</v>
      </c>
      <c r="R445" s="1">
        <f t="shared" ref="R445:T445" si="1313">1/(1+EXP(-O445))</f>
        <v>0.6488146379</v>
      </c>
      <c r="S445" s="1">
        <f t="shared" si="1313"/>
        <v>0.6517176635</v>
      </c>
      <c r="T445" s="1">
        <f t="shared" si="1313"/>
        <v>0.653341114</v>
      </c>
      <c r="U445" s="1">
        <f t="shared" si="11"/>
        <v>3.223408015</v>
      </c>
      <c r="V445" s="1">
        <f t="shared" si="12"/>
        <v>0.6030951105</v>
      </c>
      <c r="W445" s="1">
        <f t="shared" si="13"/>
        <v>4</v>
      </c>
      <c r="X445" s="1">
        <f t="shared" si="14"/>
        <v>0</v>
      </c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ht="15.75" customHeight="1">
      <c r="A446" s="1"/>
      <c r="B446" s="1">
        <v>4.0</v>
      </c>
      <c r="C446" s="1">
        <v>1.0</v>
      </c>
      <c r="D446" s="1">
        <v>1.0</v>
      </c>
      <c r="E446" s="1">
        <v>3.0</v>
      </c>
      <c r="F446" s="1">
        <v>2.0</v>
      </c>
      <c r="G446" s="3">
        <v>1.0</v>
      </c>
      <c r="H446" s="1">
        <v>3.0</v>
      </c>
      <c r="I446" s="1">
        <v>1.0</v>
      </c>
      <c r="J446" s="1">
        <v>1.0</v>
      </c>
      <c r="K446" s="1">
        <v>2.0</v>
      </c>
      <c r="L446" s="1">
        <f t="shared" ref="L446:N446" si="1314">SUMPRODUCT($B446:$J446, INDEX($B$2:$J$4, L$10, 0)) + INDEX($K$2:$K$4, L$10,1)</f>
        <v>8.09748607</v>
      </c>
      <c r="M446" s="1">
        <f t="shared" si="1314"/>
        <v>7.588037275</v>
      </c>
      <c r="N446" s="1">
        <f t="shared" si="1314"/>
        <v>7.721914503</v>
      </c>
      <c r="O446" s="1">
        <f t="shared" ref="O446:Q446" si="1315">(L446-L$7)/(L$6-L$7)</f>
        <v>0.003902595052</v>
      </c>
      <c r="P446" s="1">
        <f t="shared" si="1315"/>
        <v>0.001001860633</v>
      </c>
      <c r="Q446" s="1">
        <f t="shared" si="1315"/>
        <v>0.0005964661109</v>
      </c>
      <c r="R446" s="1">
        <f t="shared" ref="R446:T446" si="1316">1/(1+EXP(-O446))</f>
        <v>0.5009756475</v>
      </c>
      <c r="S446" s="1">
        <f t="shared" si="1316"/>
        <v>0.5002504651</v>
      </c>
      <c r="T446" s="1">
        <f t="shared" si="1316"/>
        <v>0.5001491165</v>
      </c>
      <c r="U446" s="1">
        <f t="shared" si="11"/>
        <v>2.47661069</v>
      </c>
      <c r="V446" s="1">
        <f t="shared" si="12"/>
        <v>0.2271577497</v>
      </c>
      <c r="W446" s="1">
        <f t="shared" si="13"/>
        <v>2</v>
      </c>
      <c r="X446" s="1">
        <f t="shared" si="14"/>
        <v>0</v>
      </c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ht="15.75" customHeight="1">
      <c r="A447" s="1"/>
      <c r="B447" s="1">
        <v>1.0</v>
      </c>
      <c r="C447" s="1">
        <v>1.0</v>
      </c>
      <c r="D447" s="1">
        <v>1.0</v>
      </c>
      <c r="E447" s="1">
        <v>1.0</v>
      </c>
      <c r="F447" s="1">
        <v>2.0</v>
      </c>
      <c r="G447" s="3">
        <v>1.0</v>
      </c>
      <c r="H447" s="1">
        <v>2.0</v>
      </c>
      <c r="I447" s="1">
        <v>1.0</v>
      </c>
      <c r="J447" s="1">
        <v>1.0</v>
      </c>
      <c r="K447" s="1">
        <v>2.0</v>
      </c>
      <c r="L447" s="1">
        <f t="shared" ref="L447:N447" si="1317">SUMPRODUCT($B447:$J447, INDEX($B$2:$J$4, L$10, 0)) + INDEX($K$2:$K$4, L$10,1)</f>
        <v>7.953432454</v>
      </c>
      <c r="M447" s="1">
        <f t="shared" si="1317"/>
        <v>7.529531272</v>
      </c>
      <c r="N447" s="1">
        <f t="shared" si="1317"/>
        <v>7.686646929</v>
      </c>
      <c r="O447" s="1">
        <f t="shared" ref="O447:Q447" si="1318">(L447-L$7)/(L$6-L$7)</f>
        <v>0.001546982238</v>
      </c>
      <c r="P447" s="1">
        <f t="shared" si="1318"/>
        <v>0.000000006234892308</v>
      </c>
      <c r="Q447" s="1">
        <f t="shared" si="1318"/>
        <v>0.00000006813089816</v>
      </c>
      <c r="R447" s="1">
        <f t="shared" ref="R447:T447" si="1319">1/(1+EXP(-O447))</f>
        <v>0.5003867455</v>
      </c>
      <c r="S447" s="1">
        <f t="shared" si="1319"/>
        <v>0.5000000016</v>
      </c>
      <c r="T447" s="1">
        <f t="shared" si="1319"/>
        <v>0.500000017</v>
      </c>
      <c r="U447" s="1">
        <f t="shared" si="11"/>
        <v>2.475009467</v>
      </c>
      <c r="V447" s="1">
        <f t="shared" si="12"/>
        <v>0.2256339933</v>
      </c>
      <c r="W447" s="1">
        <f t="shared" si="13"/>
        <v>2</v>
      </c>
      <c r="X447" s="1">
        <f t="shared" si="14"/>
        <v>0</v>
      </c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ht="15.75" customHeight="1">
      <c r="A448" s="1"/>
      <c r="B448" s="1">
        <v>6.0</v>
      </c>
      <c r="C448" s="1">
        <v>10.0</v>
      </c>
      <c r="D448" s="1">
        <v>2.0</v>
      </c>
      <c r="E448" s="1">
        <v>8.0</v>
      </c>
      <c r="F448" s="1">
        <v>10.0</v>
      </c>
      <c r="G448" s="3">
        <v>2.0</v>
      </c>
      <c r="H448" s="1">
        <v>7.0</v>
      </c>
      <c r="I448" s="1">
        <v>8.0</v>
      </c>
      <c r="J448" s="1">
        <v>10.0</v>
      </c>
      <c r="K448" s="1">
        <v>4.0</v>
      </c>
      <c r="L448" s="1">
        <f t="shared" ref="L448:N448" si="1320">SUMPRODUCT($B448:$J448, INDEX($B$2:$J$4, L$10, 0)) + INDEX($K$2:$K$4, L$10,1)</f>
        <v>30.06150067</v>
      </c>
      <c r="M448" s="1">
        <f t="shared" si="1320"/>
        <v>29.04471416</v>
      </c>
      <c r="N448" s="1">
        <f t="shared" si="1320"/>
        <v>27.36880384</v>
      </c>
      <c r="O448" s="1">
        <f t="shared" ref="O448:Q448" si="1321">(L448-L$7)/(L$6-L$7)</f>
        <v>0.3630654926</v>
      </c>
      <c r="P448" s="1">
        <f t="shared" si="1321"/>
        <v>0.3684251111</v>
      </c>
      <c r="Q448" s="1">
        <f t="shared" si="1321"/>
        <v>0.3328383455</v>
      </c>
      <c r="R448" s="1">
        <f t="shared" ref="R448:T448" si="1322">1/(1+EXP(-O448))</f>
        <v>0.5897823003</v>
      </c>
      <c r="S448" s="1">
        <f t="shared" si="1322"/>
        <v>0.591078375</v>
      </c>
      <c r="T448" s="1">
        <f t="shared" si="1322"/>
        <v>0.5824498293</v>
      </c>
      <c r="U448" s="1">
        <f t="shared" si="11"/>
        <v>2.908265291</v>
      </c>
      <c r="V448" s="1">
        <f t="shared" si="12"/>
        <v>1.191884675</v>
      </c>
      <c r="W448" s="1">
        <f t="shared" si="13"/>
        <v>4</v>
      </c>
      <c r="X448" s="1">
        <f t="shared" si="14"/>
        <v>0</v>
      </c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ht="15.75" customHeight="1">
      <c r="A449" s="1"/>
      <c r="B449" s="1">
        <v>2.0</v>
      </c>
      <c r="C449" s="1">
        <v>1.0</v>
      </c>
      <c r="D449" s="1">
        <v>1.0</v>
      </c>
      <c r="E449" s="1">
        <v>2.0</v>
      </c>
      <c r="F449" s="1">
        <v>3.0</v>
      </c>
      <c r="G449" s="3">
        <v>1.0</v>
      </c>
      <c r="H449" s="1">
        <v>2.0</v>
      </c>
      <c r="I449" s="1">
        <v>1.0</v>
      </c>
      <c r="J449" s="1">
        <v>1.0</v>
      </c>
      <c r="K449" s="1">
        <v>2.0</v>
      </c>
      <c r="L449" s="1">
        <f t="shared" ref="L449:N449" si="1323">SUMPRODUCT($B449:$J449, INDEX($B$2:$J$4, L$10, 0)) + INDEX($K$2:$K$4, L$10,1)</f>
        <v>8.063685041</v>
      </c>
      <c r="M449" s="1">
        <f t="shared" si="1323"/>
        <v>7.549033637</v>
      </c>
      <c r="N449" s="1">
        <f t="shared" si="1323"/>
        <v>7.699334199</v>
      </c>
      <c r="O449" s="1">
        <f t="shared" ref="O449:Q449" si="1324">(L449-L$7)/(L$6-L$7)</f>
        <v>0.003349869346</v>
      </c>
      <c r="P449" s="1">
        <f t="shared" si="1324"/>
        <v>0.0003339639357</v>
      </c>
      <c r="Q449" s="1">
        <f t="shared" si="1324"/>
        <v>0.0002146182405</v>
      </c>
      <c r="R449" s="1">
        <f t="shared" ref="R449:T449" si="1325">1/(1+EXP(-O449))</f>
        <v>0.5008374666</v>
      </c>
      <c r="S449" s="1">
        <f t="shared" si="1325"/>
        <v>0.500083491</v>
      </c>
      <c r="T449" s="1">
        <f t="shared" si="1325"/>
        <v>0.5000536546</v>
      </c>
      <c r="U449" s="1">
        <f t="shared" si="11"/>
        <v>2.475952676</v>
      </c>
      <c r="V449" s="1">
        <f t="shared" si="12"/>
        <v>0.2265309502</v>
      </c>
      <c r="W449" s="1">
        <f t="shared" si="13"/>
        <v>2</v>
      </c>
      <c r="X449" s="1">
        <f t="shared" si="14"/>
        <v>0</v>
      </c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ht="15.75" customHeight="1">
      <c r="A450" s="1"/>
      <c r="B450" s="1">
        <v>5.0</v>
      </c>
      <c r="C450" s="1">
        <v>1.0</v>
      </c>
      <c r="D450" s="1">
        <v>3.0</v>
      </c>
      <c r="E450" s="1">
        <v>1.0</v>
      </c>
      <c r="F450" s="1">
        <v>2.0</v>
      </c>
      <c r="G450" s="3">
        <v>1.0</v>
      </c>
      <c r="H450" s="1">
        <v>2.0</v>
      </c>
      <c r="I450" s="1">
        <v>1.0</v>
      </c>
      <c r="J450" s="1">
        <v>1.0</v>
      </c>
      <c r="K450" s="1">
        <v>2.0</v>
      </c>
      <c r="L450" s="1">
        <f t="shared" ref="L450:N450" si="1326">SUMPRODUCT($B450:$J450, INDEX($B$2:$J$4, L$10, 0)) + INDEX($K$2:$K$4, L$10,1)</f>
        <v>11.11152007</v>
      </c>
      <c r="M450" s="1">
        <f t="shared" si="1326"/>
        <v>10.15016609</v>
      </c>
      <c r="N450" s="1">
        <f t="shared" si="1326"/>
        <v>10.75737622</v>
      </c>
      <c r="O450" s="1">
        <f t="shared" ref="O450:Q450" si="1327">(L450-L$7)/(L$6-L$7)</f>
        <v>0.05318908492</v>
      </c>
      <c r="P450" s="1">
        <f t="shared" si="1327"/>
        <v>0.04487564874</v>
      </c>
      <c r="Q450" s="1">
        <f t="shared" si="1327"/>
        <v>0.05192812924</v>
      </c>
      <c r="R450" s="1">
        <f t="shared" ref="R450:T450" si="1328">1/(1+EXP(-O450))</f>
        <v>0.5132941372</v>
      </c>
      <c r="S450" s="1">
        <f t="shared" si="1328"/>
        <v>0.5112170298</v>
      </c>
      <c r="T450" s="1">
        <f t="shared" si="1328"/>
        <v>0.5129791159</v>
      </c>
      <c r="U450" s="1">
        <f t="shared" si="11"/>
        <v>2.536219957</v>
      </c>
      <c r="V450" s="1">
        <f t="shared" si="12"/>
        <v>0.2875318424</v>
      </c>
      <c r="W450" s="1">
        <f t="shared" si="13"/>
        <v>2</v>
      </c>
      <c r="X450" s="1">
        <f t="shared" si="14"/>
        <v>0</v>
      </c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ht="15.75" customHeight="1">
      <c r="A451" s="1"/>
      <c r="B451" s="1">
        <v>4.0</v>
      </c>
      <c r="C451" s="1">
        <v>1.0</v>
      </c>
      <c r="D451" s="1">
        <v>1.0</v>
      </c>
      <c r="E451" s="1">
        <v>1.0</v>
      </c>
      <c r="F451" s="1">
        <v>2.0</v>
      </c>
      <c r="G451" s="3">
        <v>1.0</v>
      </c>
      <c r="H451" s="1">
        <v>3.0</v>
      </c>
      <c r="I451" s="1">
        <v>2.0</v>
      </c>
      <c r="J451" s="1">
        <v>1.0</v>
      </c>
      <c r="K451" s="1">
        <v>2.0</v>
      </c>
      <c r="L451" s="1">
        <f t="shared" ref="L451:N451" si="1329">SUMPRODUCT($B451:$J451, INDEX($B$2:$J$4, L$10, 0)) + INDEX($K$2:$K$4, L$10,1)</f>
        <v>8.317974138</v>
      </c>
      <c r="M451" s="1">
        <f t="shared" si="1329"/>
        <v>7.880829322</v>
      </c>
      <c r="N451" s="1">
        <f t="shared" si="1329"/>
        <v>8.016722584</v>
      </c>
      <c r="O451" s="1">
        <f t="shared" ref="O451:Q451" si="1330">(L451-L$7)/(L$6-L$7)</f>
        <v>0.007508089532</v>
      </c>
      <c r="P451" s="1">
        <f t="shared" si="1330"/>
        <v>0.006015619563</v>
      </c>
      <c r="Q451" s="1">
        <f t="shared" si="1330"/>
        <v>0.005581865537</v>
      </c>
      <c r="R451" s="1">
        <f t="shared" ref="R451:T451" si="1331">1/(1+EXP(-O451))</f>
        <v>0.5018770136</v>
      </c>
      <c r="S451" s="1">
        <f t="shared" si="1331"/>
        <v>0.5015039004</v>
      </c>
      <c r="T451" s="1">
        <f t="shared" si="1331"/>
        <v>0.5013954628</v>
      </c>
      <c r="U451" s="1">
        <f t="shared" si="11"/>
        <v>2.482244246</v>
      </c>
      <c r="V451" s="1">
        <f t="shared" si="12"/>
        <v>0.2325595126</v>
      </c>
      <c r="W451" s="1">
        <f t="shared" si="13"/>
        <v>2</v>
      </c>
      <c r="X451" s="1">
        <f t="shared" si="14"/>
        <v>0</v>
      </c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ht="15.75" customHeight="1">
      <c r="A452" s="1"/>
      <c r="B452" s="1">
        <v>3.0</v>
      </c>
      <c r="C452" s="1">
        <v>3.0</v>
      </c>
      <c r="D452" s="1">
        <v>5.0</v>
      </c>
      <c r="E452" s="1">
        <v>2.0</v>
      </c>
      <c r="F452" s="1">
        <v>3.0</v>
      </c>
      <c r="G452" s="3">
        <v>10.0</v>
      </c>
      <c r="H452" s="1">
        <v>7.0</v>
      </c>
      <c r="I452" s="1">
        <v>1.0</v>
      </c>
      <c r="J452" s="1">
        <v>1.0</v>
      </c>
      <c r="K452" s="1">
        <v>4.0</v>
      </c>
      <c r="L452" s="1">
        <f t="shared" ref="L452:N452" si="1332">SUMPRODUCT($B452:$J452, INDEX($B$2:$J$4, L$10, 0)) + INDEX($K$2:$K$4, L$10,1)</f>
        <v>46.8336029</v>
      </c>
      <c r="M452" s="1">
        <f t="shared" si="1332"/>
        <v>45.25621787</v>
      </c>
      <c r="N452" s="1">
        <f t="shared" si="1332"/>
        <v>46.6014631</v>
      </c>
      <c r="O452" s="1">
        <f t="shared" ref="O452:Q452" si="1333">(L452-L$7)/(L$6-L$7)</f>
        <v>0.6373285062</v>
      </c>
      <c r="P452" s="1">
        <f t="shared" si="1333"/>
        <v>0.6460302323</v>
      </c>
      <c r="Q452" s="1">
        <f t="shared" si="1333"/>
        <v>0.6580753207</v>
      </c>
      <c r="R452" s="1">
        <f t="shared" ref="R452:T452" si="1334">1/(1+EXP(-O452))</f>
        <v>0.6541493164</v>
      </c>
      <c r="S452" s="1">
        <f t="shared" si="1334"/>
        <v>0.6561153278</v>
      </c>
      <c r="T452" s="1">
        <f t="shared" si="1334"/>
        <v>0.6588279035</v>
      </c>
      <c r="U452" s="1">
        <f t="shared" si="11"/>
        <v>3.248523503</v>
      </c>
      <c r="V452" s="1">
        <f t="shared" si="12"/>
        <v>0.5647169262</v>
      </c>
      <c r="W452" s="1">
        <f t="shared" si="13"/>
        <v>4</v>
      </c>
      <c r="X452" s="1">
        <f t="shared" si="14"/>
        <v>0</v>
      </c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ht="15.75" customHeight="1">
      <c r="A453" s="1"/>
      <c r="B453" s="1">
        <v>2.0</v>
      </c>
      <c r="C453" s="1">
        <v>1.0</v>
      </c>
      <c r="D453" s="1">
        <v>1.0</v>
      </c>
      <c r="E453" s="1">
        <v>1.0</v>
      </c>
      <c r="F453" s="1">
        <v>3.0</v>
      </c>
      <c r="G453" s="3">
        <v>1.0</v>
      </c>
      <c r="H453" s="1">
        <v>2.0</v>
      </c>
      <c r="I453" s="1">
        <v>1.0</v>
      </c>
      <c r="J453" s="1">
        <v>1.0</v>
      </c>
      <c r="K453" s="1">
        <v>2.0</v>
      </c>
      <c r="L453" s="1">
        <f t="shared" ref="L453:N453" si="1335">SUMPRODUCT($B453:$J453, INDEX($B$2:$J$4, L$10, 0)) + INDEX($K$2:$K$4, L$10,1)</f>
        <v>8.031619445</v>
      </c>
      <c r="M453" s="1">
        <f t="shared" si="1335"/>
        <v>7.549033637</v>
      </c>
      <c r="N453" s="1">
        <f t="shared" si="1335"/>
        <v>7.696535935</v>
      </c>
      <c r="O453" s="1">
        <f t="shared" ref="O453:Q453" si="1336">(L453-L$7)/(L$6-L$7)</f>
        <v>0.002825522013</v>
      </c>
      <c r="P453" s="1">
        <f t="shared" si="1336"/>
        <v>0.0003339639357</v>
      </c>
      <c r="Q453" s="1">
        <f t="shared" si="1336"/>
        <v>0.0001672977608</v>
      </c>
      <c r="R453" s="1">
        <f t="shared" ref="R453:T453" si="1337">1/(1+EXP(-O453))</f>
        <v>0.50070638</v>
      </c>
      <c r="S453" s="1">
        <f t="shared" si="1337"/>
        <v>0.500083491</v>
      </c>
      <c r="T453" s="1">
        <f t="shared" si="1337"/>
        <v>0.5000418244</v>
      </c>
      <c r="U453" s="1">
        <f t="shared" si="11"/>
        <v>2.475724883</v>
      </c>
      <c r="V453" s="1">
        <f t="shared" si="12"/>
        <v>0.2263141647</v>
      </c>
      <c r="W453" s="1">
        <f t="shared" si="13"/>
        <v>2</v>
      </c>
      <c r="X453" s="1">
        <f t="shared" si="14"/>
        <v>0</v>
      </c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ht="15.75" customHeight="1">
      <c r="A454" s="1"/>
      <c r="B454" s="1">
        <v>3.0</v>
      </c>
      <c r="C454" s="1">
        <v>1.0</v>
      </c>
      <c r="D454" s="1">
        <v>1.0</v>
      </c>
      <c r="E454" s="1">
        <v>1.0</v>
      </c>
      <c r="F454" s="1">
        <v>2.0</v>
      </c>
      <c r="G454" s="3">
        <v>1.0</v>
      </c>
      <c r="H454" s="1">
        <v>3.0</v>
      </c>
      <c r="I454" s="1">
        <v>1.0</v>
      </c>
      <c r="J454" s="1">
        <v>1.0</v>
      </c>
      <c r="K454" s="1">
        <v>2.0</v>
      </c>
      <c r="L454" s="1">
        <f t="shared" ref="L454:N454" si="1338">SUMPRODUCT($B454:$J454, INDEX($B$2:$J$4, L$10, 0)) + INDEX($K$2:$K$4, L$10,1)</f>
        <v>8.01747831</v>
      </c>
      <c r="M454" s="1">
        <f t="shared" si="1338"/>
        <v>7.568535274</v>
      </c>
      <c r="N454" s="1">
        <f t="shared" si="1338"/>
        <v>7.70642897</v>
      </c>
      <c r="O454" s="1">
        <f t="shared" ref="O454:Q454" si="1339">(L454-L$7)/(L$6-L$7)</f>
        <v>0.002594281464</v>
      </c>
      <c r="P454" s="1">
        <f t="shared" si="1339"/>
        <v>0.0006679091667</v>
      </c>
      <c r="Q454" s="1">
        <f t="shared" si="1339"/>
        <v>0.0003345955216</v>
      </c>
      <c r="R454" s="1">
        <f t="shared" ref="R454:T454" si="1340">1/(1+EXP(-O454))</f>
        <v>0.50064857</v>
      </c>
      <c r="S454" s="1">
        <f t="shared" si="1340"/>
        <v>0.5001669773</v>
      </c>
      <c r="T454" s="1">
        <f t="shared" si="1340"/>
        <v>0.5000836489</v>
      </c>
      <c r="U454" s="1">
        <f t="shared" si="11"/>
        <v>2.475842888</v>
      </c>
      <c r="V454" s="1">
        <f t="shared" si="12"/>
        <v>0.226426454</v>
      </c>
      <c r="W454" s="1">
        <f t="shared" si="13"/>
        <v>2</v>
      </c>
      <c r="X454" s="1">
        <f t="shared" si="14"/>
        <v>0</v>
      </c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ht="15.75" customHeight="1">
      <c r="A455" s="1"/>
      <c r="B455" s="1">
        <v>3.0</v>
      </c>
      <c r="C455" s="1">
        <v>1.0</v>
      </c>
      <c r="D455" s="1">
        <v>2.0</v>
      </c>
      <c r="E455" s="1">
        <v>1.0</v>
      </c>
      <c r="F455" s="1">
        <v>2.0</v>
      </c>
      <c r="G455" s="3">
        <v>1.0</v>
      </c>
      <c r="H455" s="1">
        <v>2.0</v>
      </c>
      <c r="I455" s="1">
        <v>1.0</v>
      </c>
      <c r="J455" s="1">
        <v>1.0</v>
      </c>
      <c r="K455" s="1">
        <v>2.0</v>
      </c>
      <c r="L455" s="1">
        <f t="shared" ref="L455:N455" si="1341">SUMPRODUCT($B455:$J455, INDEX($B$2:$J$4, L$10, 0)) + INDEX($K$2:$K$4, L$10,1)</f>
        <v>9.53247626</v>
      </c>
      <c r="M455" s="1">
        <f t="shared" si="1341"/>
        <v>8.839848678</v>
      </c>
      <c r="N455" s="1">
        <f t="shared" si="1341"/>
        <v>9.222011573</v>
      </c>
      <c r="O455" s="1">
        <f t="shared" ref="O455:Q455" si="1342">(L455-L$7)/(L$6-L$7)</f>
        <v>0.02736803358</v>
      </c>
      <c r="P455" s="1">
        <f t="shared" si="1342"/>
        <v>0.02243782749</v>
      </c>
      <c r="Q455" s="1">
        <f t="shared" si="1342"/>
        <v>0.02596409868</v>
      </c>
      <c r="R455" s="1">
        <f t="shared" ref="R455:T455" si="1343">1/(1+EXP(-O455))</f>
        <v>0.5068415814</v>
      </c>
      <c r="S455" s="1">
        <f t="shared" si="1343"/>
        <v>0.5056092215</v>
      </c>
      <c r="T455" s="1">
        <f t="shared" si="1343"/>
        <v>0.50649066</v>
      </c>
      <c r="U455" s="1">
        <f t="shared" si="11"/>
        <v>2.505619558</v>
      </c>
      <c r="V455" s="1">
        <f t="shared" si="12"/>
        <v>0.255651137</v>
      </c>
      <c r="W455" s="1">
        <f t="shared" si="13"/>
        <v>2</v>
      </c>
      <c r="X455" s="1">
        <f t="shared" si="14"/>
        <v>0</v>
      </c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ht="15.75" customHeight="1">
      <c r="A456" s="1"/>
      <c r="B456" s="1">
        <v>5.0</v>
      </c>
      <c r="C456" s="1">
        <v>2.0</v>
      </c>
      <c r="D456" s="1">
        <v>2.0</v>
      </c>
      <c r="E456" s="1">
        <v>4.0</v>
      </c>
      <c r="F456" s="1">
        <v>2.0</v>
      </c>
      <c r="G456" s="3">
        <v>4.0</v>
      </c>
      <c r="H456" s="1">
        <v>1.0</v>
      </c>
      <c r="I456" s="1">
        <v>1.0</v>
      </c>
      <c r="J456" s="1">
        <v>1.0</v>
      </c>
      <c r="K456" s="1">
        <v>2.0</v>
      </c>
      <c r="L456" s="1">
        <f t="shared" ref="L456:N456" si="1344">SUMPRODUCT($B456:$J456, INDEX($B$2:$J$4, L$10, 0)) + INDEX($K$2:$K$4, L$10,1)</f>
        <v>20.96107967</v>
      </c>
      <c r="M456" s="1">
        <f t="shared" si="1344"/>
        <v>20.29598662</v>
      </c>
      <c r="N456" s="1">
        <f t="shared" si="1344"/>
        <v>20.66234185</v>
      </c>
      <c r="O456" s="1">
        <f t="shared" ref="O456:Q456" si="1345">(L456-L$7)/(L$6-L$7)</f>
        <v>0.214252371</v>
      </c>
      <c r="P456" s="1">
        <f t="shared" si="1345"/>
        <v>0.2186122612</v>
      </c>
      <c r="Q456" s="1">
        <f t="shared" si="1345"/>
        <v>0.2194276423</v>
      </c>
      <c r="R456" s="1">
        <f t="shared" ref="R456:T456" si="1346">1/(1+EXP(-O456))</f>
        <v>0.5533591319</v>
      </c>
      <c r="S456" s="1">
        <f t="shared" si="1346"/>
        <v>0.5544364387</v>
      </c>
      <c r="T456" s="1">
        <f t="shared" si="1346"/>
        <v>0.5546378588</v>
      </c>
      <c r="U456" s="1">
        <f t="shared" si="11"/>
        <v>2.742432503</v>
      </c>
      <c r="V456" s="1">
        <f t="shared" si="12"/>
        <v>0.5512060218</v>
      </c>
      <c r="W456" s="1">
        <f t="shared" si="13"/>
        <v>2</v>
      </c>
      <c r="X456" s="1">
        <f t="shared" si="14"/>
        <v>0</v>
      </c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ht="15.75" customHeight="1">
      <c r="A457" s="1"/>
      <c r="B457" s="1">
        <v>5.0</v>
      </c>
      <c r="C457" s="1">
        <v>3.0</v>
      </c>
      <c r="D457" s="1">
        <v>2.0</v>
      </c>
      <c r="E457" s="1">
        <v>4.0</v>
      </c>
      <c r="F457" s="1">
        <v>2.0</v>
      </c>
      <c r="G457" s="3">
        <v>1.0</v>
      </c>
      <c r="H457" s="1">
        <v>1.0</v>
      </c>
      <c r="I457" s="1">
        <v>1.0</v>
      </c>
      <c r="J457" s="1">
        <v>1.0</v>
      </c>
      <c r="K457" s="1">
        <v>2.0</v>
      </c>
      <c r="L457" s="1">
        <f t="shared" ref="L457:N457" si="1347">SUMPRODUCT($B457:$J457, INDEX($B$2:$J$4, L$10, 0)) + INDEX($K$2:$K$4, L$10,1)</f>
        <v>12.81898076</v>
      </c>
      <c r="M457" s="1">
        <f t="shared" si="1347"/>
        <v>12.17679905</v>
      </c>
      <c r="N457" s="1">
        <f t="shared" si="1347"/>
        <v>12.06340292</v>
      </c>
      <c r="O457" s="1">
        <f t="shared" ref="O457:Q457" si="1348">(L457-L$7)/(L$6-L$7)</f>
        <v>0.08111005208</v>
      </c>
      <c r="P457" s="1">
        <f t="shared" si="1348"/>
        <v>0.07957962809</v>
      </c>
      <c r="Q457" s="1">
        <f t="shared" si="1348"/>
        <v>0.07401390375</v>
      </c>
      <c r="R457" s="1">
        <f t="shared" ref="R457:T457" si="1349">1/(1+EXP(-O457))</f>
        <v>0.5202664035</v>
      </c>
      <c r="S457" s="1">
        <f t="shared" si="1349"/>
        <v>0.5198844143</v>
      </c>
      <c r="T457" s="1">
        <f t="shared" si="1349"/>
        <v>0.5184950336</v>
      </c>
      <c r="U457" s="1">
        <f t="shared" si="11"/>
        <v>2.571021275</v>
      </c>
      <c r="V457" s="1">
        <f t="shared" si="12"/>
        <v>0.3260652965</v>
      </c>
      <c r="W457" s="1">
        <f t="shared" si="13"/>
        <v>2</v>
      </c>
      <c r="X457" s="1">
        <f t="shared" si="14"/>
        <v>0</v>
      </c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ht="15.75" customHeight="1">
      <c r="A458" s="1"/>
      <c r="B458" s="1">
        <v>4.0</v>
      </c>
      <c r="C458" s="1">
        <v>2.0</v>
      </c>
      <c r="D458" s="1">
        <v>2.0</v>
      </c>
      <c r="E458" s="1">
        <v>1.0</v>
      </c>
      <c r="F458" s="1">
        <v>2.0</v>
      </c>
      <c r="G458" s="3">
        <v>1.0</v>
      </c>
      <c r="H458" s="1">
        <v>2.0</v>
      </c>
      <c r="I458" s="1">
        <v>1.0</v>
      </c>
      <c r="J458" s="1">
        <v>1.0</v>
      </c>
      <c r="K458" s="1">
        <v>2.0</v>
      </c>
      <c r="L458" s="1">
        <f t="shared" ref="L458:N458" si="1350">SUMPRODUCT($B458:$J458, INDEX($B$2:$J$4, L$10, 0)) + INDEX($K$2:$K$4, L$10,1)</f>
        <v>11.14377648</v>
      </c>
      <c r="M458" s="1">
        <f t="shared" si="1350"/>
        <v>10.50832386</v>
      </c>
      <c r="N458" s="1">
        <f t="shared" si="1350"/>
        <v>10.63851187</v>
      </c>
      <c r="O458" s="1">
        <f t="shared" ref="O458:Q458" si="1351">(L458-L$7)/(L$6-L$7)</f>
        <v>0.05371655252</v>
      </c>
      <c r="P458" s="1">
        <f t="shared" si="1351"/>
        <v>0.05100872779</v>
      </c>
      <c r="Q458" s="1">
        <f t="shared" si="1351"/>
        <v>0.04991805456</v>
      </c>
      <c r="R458" s="1">
        <f t="shared" ref="R458:T458" si="1352">1/(1+EXP(-O458))</f>
        <v>0.5134259099</v>
      </c>
      <c r="S458" s="1">
        <f t="shared" si="1352"/>
        <v>0.5127494177</v>
      </c>
      <c r="T458" s="1">
        <f t="shared" si="1352"/>
        <v>0.5124769229</v>
      </c>
      <c r="U458" s="1">
        <f t="shared" si="11"/>
        <v>2.538094641</v>
      </c>
      <c r="V458" s="1">
        <f t="shared" si="12"/>
        <v>0.2895458428</v>
      </c>
      <c r="W458" s="1">
        <f t="shared" si="13"/>
        <v>2</v>
      </c>
      <c r="X458" s="1">
        <f t="shared" si="14"/>
        <v>0</v>
      </c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ht="15.75" customHeight="1">
      <c r="A459" s="1"/>
      <c r="B459" s="1">
        <v>5.0</v>
      </c>
      <c r="C459" s="1">
        <v>2.0</v>
      </c>
      <c r="D459" s="1">
        <v>2.0</v>
      </c>
      <c r="E459" s="1">
        <v>2.0</v>
      </c>
      <c r="F459" s="1">
        <v>1.0</v>
      </c>
      <c r="G459" s="3">
        <v>1.0</v>
      </c>
      <c r="H459" s="1">
        <v>2.0</v>
      </c>
      <c r="I459" s="1">
        <v>1.0</v>
      </c>
      <c r="J459" s="1">
        <v>1.0</v>
      </c>
      <c r="K459" s="1">
        <v>2.0</v>
      </c>
      <c r="L459" s="1">
        <f t="shared" ref="L459:N459" si="1353">SUMPRODUCT($B459:$J459, INDEX($B$2:$J$4, L$10, 0)) + INDEX($K$2:$K$4, L$10,1)</f>
        <v>11.12940822</v>
      </c>
      <c r="M459" s="1">
        <f t="shared" si="1353"/>
        <v>10.5278255</v>
      </c>
      <c r="N459" s="1">
        <f t="shared" si="1353"/>
        <v>10.65119914</v>
      </c>
      <c r="O459" s="1">
        <f t="shared" ref="O459:Q459" si="1354">(L459-L$7)/(L$6-L$7)</f>
        <v>0.05348159792</v>
      </c>
      <c r="P459" s="1">
        <f t="shared" si="1354"/>
        <v>0.05134267302</v>
      </c>
      <c r="Q459" s="1">
        <f t="shared" si="1354"/>
        <v>0.05013260467</v>
      </c>
      <c r="R459" s="1">
        <f t="shared" ref="R459:T459" si="1355">1/(1+EXP(-O459))</f>
        <v>0.5133672135</v>
      </c>
      <c r="S459" s="1">
        <f t="shared" si="1355"/>
        <v>0.5128328494</v>
      </c>
      <c r="T459" s="1">
        <f t="shared" si="1355"/>
        <v>0.5125305269</v>
      </c>
      <c r="U459" s="1">
        <f t="shared" si="11"/>
        <v>2.538231369</v>
      </c>
      <c r="V459" s="1">
        <f t="shared" si="12"/>
        <v>0.2896930065</v>
      </c>
      <c r="W459" s="1">
        <f t="shared" si="13"/>
        <v>2</v>
      </c>
      <c r="X459" s="1">
        <f t="shared" si="14"/>
        <v>0</v>
      </c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ht="15.75" customHeight="1">
      <c r="A460" s="1"/>
      <c r="B460" s="1">
        <v>2.0</v>
      </c>
      <c r="C460" s="1">
        <v>1.0</v>
      </c>
      <c r="D460" s="1">
        <v>1.0</v>
      </c>
      <c r="E460" s="1">
        <v>1.0</v>
      </c>
      <c r="F460" s="1">
        <v>2.0</v>
      </c>
      <c r="G460" s="3">
        <v>1.0</v>
      </c>
      <c r="H460" s="1">
        <v>2.0</v>
      </c>
      <c r="I460" s="1">
        <v>1.0</v>
      </c>
      <c r="J460" s="1">
        <v>1.0</v>
      </c>
      <c r="K460" s="1">
        <v>2.0</v>
      </c>
      <c r="L460" s="1">
        <f t="shared" ref="L460:N460" si="1356">SUMPRODUCT($B460:$J460, INDEX($B$2:$J$4, L$10, 0)) + INDEX($K$2:$K$4, L$10,1)</f>
        <v>7.96930902</v>
      </c>
      <c r="M460" s="1">
        <f t="shared" si="1356"/>
        <v>7.549033273</v>
      </c>
      <c r="N460" s="1">
        <f t="shared" si="1356"/>
        <v>7.696535935</v>
      </c>
      <c r="O460" s="1">
        <f t="shared" ref="O460:Q460" si="1357">(L460-L$7)/(L$6-L$7)</f>
        <v>0.001806601159</v>
      </c>
      <c r="P460" s="1">
        <f t="shared" si="1357"/>
        <v>0.0003339577008</v>
      </c>
      <c r="Q460" s="1">
        <f t="shared" si="1357"/>
        <v>0.0001672977608</v>
      </c>
      <c r="R460" s="1">
        <f t="shared" ref="R460:T460" si="1358">1/(1+EXP(-O460))</f>
        <v>0.5004516502</v>
      </c>
      <c r="S460" s="1">
        <f t="shared" si="1358"/>
        <v>0.5000834894</v>
      </c>
      <c r="T460" s="1">
        <f t="shared" si="1358"/>
        <v>0.5000418244</v>
      </c>
      <c r="U460" s="1">
        <f t="shared" si="11"/>
        <v>2.475321683</v>
      </c>
      <c r="V460" s="1">
        <f t="shared" si="12"/>
        <v>0.2259307022</v>
      </c>
      <c r="W460" s="1">
        <f t="shared" si="13"/>
        <v>2</v>
      </c>
      <c r="X460" s="1">
        <f t="shared" si="14"/>
        <v>0</v>
      </c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ht="15.75" customHeight="1">
      <c r="A461" s="1"/>
      <c r="B461" s="1">
        <v>4.0</v>
      </c>
      <c r="C461" s="1">
        <v>1.0</v>
      </c>
      <c r="D461" s="1">
        <v>1.0</v>
      </c>
      <c r="E461" s="1">
        <v>1.0</v>
      </c>
      <c r="F461" s="1">
        <v>2.0</v>
      </c>
      <c r="G461" s="3">
        <v>1.0</v>
      </c>
      <c r="H461" s="1">
        <v>2.0</v>
      </c>
      <c r="I461" s="1">
        <v>1.0</v>
      </c>
      <c r="J461" s="1">
        <v>1.0</v>
      </c>
      <c r="K461" s="1">
        <v>2.0</v>
      </c>
      <c r="L461" s="1">
        <f t="shared" ref="L461:N461" si="1359">SUMPRODUCT($B461:$J461, INDEX($B$2:$J$4, L$10, 0)) + INDEX($K$2:$K$4, L$10,1)</f>
        <v>8.001062154</v>
      </c>
      <c r="M461" s="1">
        <f t="shared" si="1359"/>
        <v>7.588037275</v>
      </c>
      <c r="N461" s="1">
        <f t="shared" si="1359"/>
        <v>7.716313948</v>
      </c>
      <c r="O461" s="1">
        <f t="shared" ref="O461:Q461" si="1360">(L461-L$7)/(L$6-L$7)</f>
        <v>0.002325839001</v>
      </c>
      <c r="P461" s="1">
        <f t="shared" si="1360"/>
        <v>0.001001860633</v>
      </c>
      <c r="Q461" s="1">
        <f t="shared" si="1360"/>
        <v>0.0005017570206</v>
      </c>
      <c r="R461" s="1">
        <f t="shared" ref="R461:T461" si="1361">1/(1+EXP(-O461))</f>
        <v>0.5005814595</v>
      </c>
      <c r="S461" s="1">
        <f t="shared" si="1361"/>
        <v>0.5002504651</v>
      </c>
      <c r="T461" s="1">
        <f t="shared" si="1361"/>
        <v>0.5001254393</v>
      </c>
      <c r="U461" s="1">
        <f t="shared" si="11"/>
        <v>2.475946115</v>
      </c>
      <c r="V461" s="1">
        <f t="shared" si="12"/>
        <v>0.2265247046</v>
      </c>
      <c r="W461" s="1">
        <f t="shared" si="13"/>
        <v>2</v>
      </c>
      <c r="X461" s="1">
        <f t="shared" si="14"/>
        <v>0</v>
      </c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ht="15.75" customHeight="1">
      <c r="A462" s="1"/>
      <c r="B462" s="1">
        <v>4.0</v>
      </c>
      <c r="C462" s="1">
        <v>1.0</v>
      </c>
      <c r="D462" s="1">
        <v>1.0</v>
      </c>
      <c r="E462" s="1">
        <v>1.0</v>
      </c>
      <c r="F462" s="1">
        <v>2.0</v>
      </c>
      <c r="G462" s="3">
        <v>1.0</v>
      </c>
      <c r="H462" s="1">
        <v>3.0</v>
      </c>
      <c r="I462" s="1">
        <v>1.0</v>
      </c>
      <c r="J462" s="1">
        <v>1.0</v>
      </c>
      <c r="K462" s="1">
        <v>2.0</v>
      </c>
      <c r="L462" s="1">
        <f t="shared" ref="L462:N462" si="1362">SUMPRODUCT($B462:$J462, INDEX($B$2:$J$4, L$10, 0)) + INDEX($K$2:$K$4, L$10,1)</f>
        <v>8.033354877</v>
      </c>
      <c r="M462" s="1">
        <f t="shared" si="1362"/>
        <v>7.588037275</v>
      </c>
      <c r="N462" s="1">
        <f t="shared" si="1362"/>
        <v>7.716317977</v>
      </c>
      <c r="O462" s="1">
        <f t="shared" ref="O462:Q462" si="1363">(L462-L$7)/(L$6-L$7)</f>
        <v>0.002853900385</v>
      </c>
      <c r="P462" s="1">
        <f t="shared" si="1363"/>
        <v>0.001001860633</v>
      </c>
      <c r="Q462" s="1">
        <f t="shared" si="1363"/>
        <v>0.0005018251515</v>
      </c>
      <c r="R462" s="1">
        <f t="shared" ref="R462:T462" si="1364">1/(1+EXP(-O462))</f>
        <v>0.5007134746</v>
      </c>
      <c r="S462" s="1">
        <f t="shared" si="1364"/>
        <v>0.5002504651</v>
      </c>
      <c r="T462" s="1">
        <f t="shared" si="1364"/>
        <v>0.5001254563</v>
      </c>
      <c r="U462" s="1">
        <f t="shared" si="11"/>
        <v>2.476155104</v>
      </c>
      <c r="V462" s="1">
        <f t="shared" si="12"/>
        <v>0.2267236831</v>
      </c>
      <c r="W462" s="1">
        <f t="shared" si="13"/>
        <v>2</v>
      </c>
      <c r="X462" s="1">
        <f t="shared" si="14"/>
        <v>0</v>
      </c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ht="15.75" customHeight="1">
      <c r="A463" s="1"/>
      <c r="B463" s="1">
        <v>6.0</v>
      </c>
      <c r="C463" s="1">
        <v>10.0</v>
      </c>
      <c r="D463" s="1">
        <v>10.0</v>
      </c>
      <c r="E463" s="1">
        <v>10.0</v>
      </c>
      <c r="F463" s="1">
        <v>8.0</v>
      </c>
      <c r="G463" s="3">
        <v>10.0</v>
      </c>
      <c r="H463" s="1">
        <v>10.0</v>
      </c>
      <c r="I463" s="1">
        <v>10.0</v>
      </c>
      <c r="J463" s="1">
        <v>7.0</v>
      </c>
      <c r="K463" s="1">
        <v>4.0</v>
      </c>
      <c r="L463" s="1">
        <f t="shared" ref="L463:N463" si="1365">SUMPRODUCT($B463:$J463, INDEX($B$2:$J$4, L$10, 0)) + INDEX($K$2:$K$4, L$10,1)</f>
        <v>69.01217992</v>
      </c>
      <c r="M463" s="1">
        <f t="shared" si="1365"/>
        <v>65.84923343</v>
      </c>
      <c r="N463" s="1">
        <f t="shared" si="1365"/>
        <v>66.78138196</v>
      </c>
      <c r="O463" s="1">
        <f t="shared" ref="O463:Q463" si="1366">(L463-L$7)/(L$6-L$7)</f>
        <v>1</v>
      </c>
      <c r="P463" s="1">
        <f t="shared" si="1366"/>
        <v>0.9986641817</v>
      </c>
      <c r="Q463" s="1">
        <f t="shared" si="1366"/>
        <v>0.9993310815</v>
      </c>
      <c r="R463" s="1">
        <f t="shared" ref="R463:T463" si="1367">1/(1+EXP(-O463))</f>
        <v>0.7310585786</v>
      </c>
      <c r="S463" s="1">
        <f t="shared" si="1367"/>
        <v>0.7307958598</v>
      </c>
      <c r="T463" s="1">
        <f t="shared" si="1367"/>
        <v>0.7309270409</v>
      </c>
      <c r="U463" s="1">
        <f t="shared" si="11"/>
        <v>3.617199552</v>
      </c>
      <c r="V463" s="1">
        <f t="shared" si="12"/>
        <v>0.146536183</v>
      </c>
      <c r="W463" s="1">
        <f t="shared" si="13"/>
        <v>4</v>
      </c>
      <c r="X463" s="1">
        <f t="shared" si="14"/>
        <v>0</v>
      </c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ht="15.75" customHeight="1">
      <c r="A464" s="1"/>
      <c r="B464" s="1">
        <v>8.0</v>
      </c>
      <c r="C464" s="1">
        <v>9.0</v>
      </c>
      <c r="D464" s="1">
        <v>9.0</v>
      </c>
      <c r="E464" s="1">
        <v>5.0</v>
      </c>
      <c r="F464" s="1">
        <v>3.0</v>
      </c>
      <c r="G464" s="3">
        <v>5.0</v>
      </c>
      <c r="H464" s="1">
        <v>7.0</v>
      </c>
      <c r="I464" s="1">
        <v>7.0</v>
      </c>
      <c r="J464" s="1">
        <v>1.0</v>
      </c>
      <c r="K464" s="1">
        <v>4.0</v>
      </c>
      <c r="L464" s="1">
        <f t="shared" ref="L464:N464" si="1368">SUMPRODUCT($B464:$J464, INDEX($B$2:$J$4, L$10, 0)) + INDEX($K$2:$K$4, L$10,1)</f>
        <v>48.24939841</v>
      </c>
      <c r="M464" s="1">
        <f t="shared" si="1368"/>
        <v>45.80930497</v>
      </c>
      <c r="N464" s="1">
        <f t="shared" si="1368"/>
        <v>46.2878278</v>
      </c>
      <c r="O464" s="1">
        <f t="shared" ref="O464:Q464" si="1369">(L464-L$7)/(L$6-L$7)</f>
        <v>0.6604800668</v>
      </c>
      <c r="P464" s="1">
        <f t="shared" si="1369"/>
        <v>0.6555012729</v>
      </c>
      <c r="Q464" s="1">
        <f t="shared" si="1369"/>
        <v>0.6527715405</v>
      </c>
      <c r="R464" s="1">
        <f t="shared" ref="R464:T464" si="1370">1/(1+EXP(-O464))</f>
        <v>0.6593682206</v>
      </c>
      <c r="S464" s="1">
        <f t="shared" si="1370"/>
        <v>0.6582490889</v>
      </c>
      <c r="T464" s="1">
        <f t="shared" si="1370"/>
        <v>0.6576347509</v>
      </c>
      <c r="U464" s="1">
        <f t="shared" si="11"/>
        <v>3.258256566</v>
      </c>
      <c r="V464" s="1">
        <f t="shared" si="12"/>
        <v>0.550183322</v>
      </c>
      <c r="W464" s="1">
        <f t="shared" si="13"/>
        <v>4</v>
      </c>
      <c r="X464" s="1">
        <f t="shared" si="14"/>
        <v>0</v>
      </c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ht="15.75" customHeight="1">
      <c r="A465" s="1"/>
      <c r="B465" s="1">
        <v>10.0</v>
      </c>
      <c r="C465" s="1">
        <v>4.0</v>
      </c>
      <c r="D465" s="1">
        <v>6.0</v>
      </c>
      <c r="E465" s="1">
        <v>1.0</v>
      </c>
      <c r="F465" s="1">
        <v>2.0</v>
      </c>
      <c r="G465" s="3">
        <v>10.0</v>
      </c>
      <c r="H465" s="1">
        <v>5.0</v>
      </c>
      <c r="I465" s="1">
        <v>3.0</v>
      </c>
      <c r="J465" s="1">
        <v>1.0</v>
      </c>
      <c r="K465" s="1">
        <v>4.0</v>
      </c>
      <c r="L465" s="1">
        <f t="shared" ref="L465:N465" si="1371">SUMPRODUCT($B465:$J465, INDEX($B$2:$J$4, L$10, 0)) + INDEX($K$2:$K$4, L$10,1)</f>
        <v>50.49773025</v>
      </c>
      <c r="M465" s="1">
        <f t="shared" si="1371"/>
        <v>48.8986022</v>
      </c>
      <c r="N465" s="1">
        <f t="shared" si="1371"/>
        <v>50.19088696</v>
      </c>
      <c r="O465" s="1">
        <f t="shared" ref="O465:Q465" si="1372">(L465-L$7)/(L$6-L$7)</f>
        <v>0.6972455395</v>
      </c>
      <c r="P465" s="1">
        <f t="shared" si="1372"/>
        <v>0.7084022713</v>
      </c>
      <c r="Q465" s="1">
        <f t="shared" si="1372"/>
        <v>0.7187748497</v>
      </c>
      <c r="R465" s="1">
        <f t="shared" ref="R465:T465" si="1373">1/(1+EXP(-O465))</f>
        <v>0.6675767902</v>
      </c>
      <c r="S465" s="1">
        <f t="shared" si="1373"/>
        <v>0.6700480241</v>
      </c>
      <c r="T465" s="1">
        <f t="shared" si="1373"/>
        <v>0.6723371736</v>
      </c>
      <c r="U465" s="1">
        <f t="shared" si="11"/>
        <v>3.315947163</v>
      </c>
      <c r="V465" s="1">
        <f t="shared" si="12"/>
        <v>0.4679282832</v>
      </c>
      <c r="W465" s="1">
        <f t="shared" si="13"/>
        <v>4</v>
      </c>
      <c r="X465" s="1">
        <f t="shared" si="14"/>
        <v>0</v>
      </c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ht="15.75" customHeight="1">
      <c r="A466" s="1"/>
      <c r="B466" s="1">
        <v>10.0</v>
      </c>
      <c r="C466" s="1">
        <v>4.0</v>
      </c>
      <c r="D466" s="1">
        <v>6.0</v>
      </c>
      <c r="E466" s="1">
        <v>4.0</v>
      </c>
      <c r="F466" s="1">
        <v>5.0</v>
      </c>
      <c r="G466" s="3">
        <v>10.0</v>
      </c>
      <c r="H466" s="1">
        <v>7.0</v>
      </c>
      <c r="I466" s="1">
        <v>1.0</v>
      </c>
      <c r="J466" s="1">
        <v>1.0</v>
      </c>
      <c r="K466" s="1">
        <v>4.0</v>
      </c>
      <c r="L466" s="1">
        <f t="shared" ref="L466:N466" si="1374">SUMPRODUCT($B466:$J466, INDEX($B$2:$J$4, L$10, 0)) + INDEX($K$2:$K$4, L$10,1)</f>
        <v>50.27620524</v>
      </c>
      <c r="M466" s="1">
        <f t="shared" si="1374"/>
        <v>48.3130192</v>
      </c>
      <c r="N466" s="1">
        <f t="shared" si="1374"/>
        <v>49.59848059</v>
      </c>
      <c r="O466" s="1">
        <f t="shared" ref="O466:Q466" si="1375">(L466-L$7)/(L$6-L$7)</f>
        <v>0.6936230885</v>
      </c>
      <c r="P466" s="1">
        <f t="shared" si="1375"/>
        <v>0.6983747722</v>
      </c>
      <c r="Q466" s="1">
        <f t="shared" si="1375"/>
        <v>0.7087568666</v>
      </c>
      <c r="R466" s="1">
        <f t="shared" ref="R466:T466" si="1376">1/(1+EXP(-O466))</f>
        <v>0.6667724156</v>
      </c>
      <c r="S466" s="1">
        <f t="shared" si="1376"/>
        <v>0.6678273398</v>
      </c>
      <c r="T466" s="1">
        <f t="shared" si="1376"/>
        <v>0.6701264146</v>
      </c>
      <c r="U466" s="1">
        <f t="shared" si="11"/>
        <v>3.307216287</v>
      </c>
      <c r="V466" s="1">
        <f t="shared" si="12"/>
        <v>0.4799492736</v>
      </c>
      <c r="W466" s="1">
        <f t="shared" si="13"/>
        <v>4</v>
      </c>
      <c r="X466" s="1">
        <f t="shared" si="14"/>
        <v>0</v>
      </c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ht="15.75" customHeight="1">
      <c r="A467" s="1"/>
      <c r="B467" s="1">
        <v>8.0</v>
      </c>
      <c r="C467" s="1">
        <v>6.0</v>
      </c>
      <c r="D467" s="1">
        <v>7.0</v>
      </c>
      <c r="E467" s="1">
        <v>3.0</v>
      </c>
      <c r="F467" s="1">
        <v>3.0</v>
      </c>
      <c r="G467" s="3">
        <v>10.0</v>
      </c>
      <c r="H467" s="1">
        <v>3.0</v>
      </c>
      <c r="I467" s="1">
        <v>4.0</v>
      </c>
      <c r="J467" s="1">
        <v>2.0</v>
      </c>
      <c r="K467" s="1">
        <v>4.0</v>
      </c>
      <c r="L467" s="1">
        <f t="shared" ref="L467:N467" si="1377">SUMPRODUCT($B467:$J467, INDEX($B$2:$J$4, L$10, 0)) + INDEX($K$2:$K$4, L$10,1)</f>
        <v>55.55059052</v>
      </c>
      <c r="M467" s="1">
        <f t="shared" si="1377"/>
        <v>53.72165038</v>
      </c>
      <c r="N467" s="1">
        <f t="shared" si="1377"/>
        <v>54.80591123</v>
      </c>
      <c r="O467" s="1">
        <f t="shared" ref="O467:Q467" si="1378">(L467-L$7)/(L$6-L$7)</f>
        <v>0.7798715971</v>
      </c>
      <c r="P467" s="1">
        <f t="shared" si="1378"/>
        <v>0.7909919495</v>
      </c>
      <c r="Q467" s="1">
        <f t="shared" si="1378"/>
        <v>0.7968179593</v>
      </c>
      <c r="R467" s="1">
        <f t="shared" ref="R467:T467" si="1379">1/(1+EXP(-O467))</f>
        <v>0.6856524395</v>
      </c>
      <c r="S467" s="1">
        <f t="shared" si="1379"/>
        <v>0.6880442817</v>
      </c>
      <c r="T467" s="1">
        <f t="shared" si="1379"/>
        <v>0.6892934006</v>
      </c>
      <c r="U467" s="1">
        <f t="shared" si="11"/>
        <v>3.403347667</v>
      </c>
      <c r="V467" s="1">
        <f t="shared" si="12"/>
        <v>0.355994007</v>
      </c>
      <c r="W467" s="1">
        <f t="shared" si="13"/>
        <v>4</v>
      </c>
      <c r="X467" s="1">
        <f t="shared" si="14"/>
        <v>0</v>
      </c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ht="15.75" customHeight="1">
      <c r="A468" s="1"/>
      <c r="B468" s="1">
        <v>4.0</v>
      </c>
      <c r="C468" s="1">
        <v>4.0</v>
      </c>
      <c r="D468" s="1">
        <v>4.0</v>
      </c>
      <c r="E468" s="1">
        <v>2.0</v>
      </c>
      <c r="F468" s="1">
        <v>2.0</v>
      </c>
      <c r="G468" s="3">
        <v>3.0</v>
      </c>
      <c r="H468" s="1">
        <v>2.0</v>
      </c>
      <c r="I468" s="1">
        <v>1.0</v>
      </c>
      <c r="J468" s="1">
        <v>1.0</v>
      </c>
      <c r="K468" s="1">
        <v>2.0</v>
      </c>
      <c r="L468" s="1">
        <f t="shared" ref="L468:N468" si="1380">SUMPRODUCT($B468:$J468, INDEX($B$2:$J$4, L$10, 0)) + INDEX($K$2:$K$4, L$10,1)</f>
        <v>23.95295243</v>
      </c>
      <c r="M468" s="1">
        <f t="shared" si="1380"/>
        <v>22.86100421</v>
      </c>
      <c r="N468" s="1">
        <f t="shared" si="1380"/>
        <v>23.15607278</v>
      </c>
      <c r="O468" s="1">
        <f t="shared" ref="O468:Q468" si="1381">(L468-L$7)/(L$6-L$7)</f>
        <v>0.2631764729</v>
      </c>
      <c r="P468" s="1">
        <f t="shared" si="1381"/>
        <v>0.2625355167</v>
      </c>
      <c r="Q468" s="1">
        <f t="shared" si="1381"/>
        <v>0.26159828</v>
      </c>
      <c r="R468" s="1">
        <f t="shared" ref="R468:T468" si="1382">1/(1+EXP(-O468))</f>
        <v>0.5654169783</v>
      </c>
      <c r="S468" s="1">
        <f t="shared" si="1382"/>
        <v>0.5652594755</v>
      </c>
      <c r="T468" s="1">
        <f t="shared" si="1382"/>
        <v>0.5650291438</v>
      </c>
      <c r="U468" s="1">
        <f t="shared" si="11"/>
        <v>2.797207011</v>
      </c>
      <c r="V468" s="1">
        <f t="shared" si="12"/>
        <v>0.6355390185</v>
      </c>
      <c r="W468" s="1">
        <f t="shared" si="13"/>
        <v>2</v>
      </c>
      <c r="X468" s="1">
        <f t="shared" si="14"/>
        <v>0</v>
      </c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ht="15.75" customHeight="1">
      <c r="A469" s="1"/>
      <c r="B469" s="1">
        <v>3.0</v>
      </c>
      <c r="C469" s="1">
        <v>3.0</v>
      </c>
      <c r="D469" s="1">
        <v>2.0</v>
      </c>
      <c r="E469" s="1">
        <v>2.0</v>
      </c>
      <c r="F469" s="1">
        <v>3.0</v>
      </c>
      <c r="G469" s="3">
        <v>1.0</v>
      </c>
      <c r="H469" s="1">
        <v>1.0</v>
      </c>
      <c r="I469" s="1">
        <v>2.0</v>
      </c>
      <c r="J469" s="1">
        <v>3.0</v>
      </c>
      <c r="K469" s="1">
        <v>2.0</v>
      </c>
      <c r="L469" s="1">
        <f t="shared" ref="L469:N469" si="1383">SUMPRODUCT($B469:$J469, INDEX($B$2:$J$4, L$10, 0)) + INDEX($K$2:$K$4, L$10,1)</f>
        <v>13.07002612</v>
      </c>
      <c r="M469" s="1">
        <f t="shared" si="1383"/>
        <v>12.43058746</v>
      </c>
      <c r="N469" s="1">
        <f t="shared" si="1383"/>
        <v>12.33843299</v>
      </c>
      <c r="O469" s="1">
        <f t="shared" ref="O469:Q469" si="1384">(L469-L$7)/(L$6-L$7)</f>
        <v>0.08521522957</v>
      </c>
      <c r="P469" s="1">
        <f t="shared" si="1384"/>
        <v>0.08392549032</v>
      </c>
      <c r="Q469" s="1">
        <f t="shared" si="1384"/>
        <v>0.07866484392</v>
      </c>
      <c r="R469" s="1">
        <f t="shared" ref="R469:T469" si="1385">1/(1+EXP(-O469))</f>
        <v>0.521290925</v>
      </c>
      <c r="S469" s="1">
        <f t="shared" si="1385"/>
        <v>0.5209690661</v>
      </c>
      <c r="T469" s="1">
        <f t="shared" si="1385"/>
        <v>0.5196560758</v>
      </c>
      <c r="U469" s="1">
        <f t="shared" si="11"/>
        <v>2.576424921</v>
      </c>
      <c r="V469" s="1">
        <f t="shared" si="12"/>
        <v>0.33226569</v>
      </c>
      <c r="W469" s="1">
        <f t="shared" si="13"/>
        <v>2</v>
      </c>
      <c r="X469" s="1">
        <f t="shared" si="14"/>
        <v>0</v>
      </c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ht="15.75" customHeight="1">
      <c r="A470" s="1"/>
      <c r="B470" s="1">
        <v>10.0</v>
      </c>
      <c r="C470" s="1">
        <v>8.0</v>
      </c>
      <c r="D470" s="1">
        <v>10.0</v>
      </c>
      <c r="E470" s="1">
        <v>1.0</v>
      </c>
      <c r="F470" s="1">
        <v>3.0</v>
      </c>
      <c r="G470" s="3">
        <v>10.0</v>
      </c>
      <c r="H470" s="1">
        <v>5.0</v>
      </c>
      <c r="I470" s="1">
        <v>1.0</v>
      </c>
      <c r="J470" s="1">
        <v>1.0</v>
      </c>
      <c r="K470" s="1">
        <v>4.0</v>
      </c>
      <c r="L470" s="1">
        <f t="shared" ref="L470:N470" si="1386">SUMPRODUCT($B470:$J470, INDEX($B$2:$J$4, L$10, 0)) + INDEX($K$2:$K$4, L$10,1)</f>
        <v>62.56165944</v>
      </c>
      <c r="M470" s="1">
        <f t="shared" si="1386"/>
        <v>59.99416483</v>
      </c>
      <c r="N470" s="1">
        <f t="shared" si="1386"/>
        <v>61.27886943</v>
      </c>
      <c r="O470" s="1">
        <f t="shared" ref="O470:Q470" si="1387">(L470-L$7)/(L$6-L$7)</f>
        <v>0.8945189361</v>
      </c>
      <c r="P470" s="1">
        <f t="shared" si="1387"/>
        <v>0.8984022283</v>
      </c>
      <c r="Q470" s="1">
        <f t="shared" si="1387"/>
        <v>0.9062799591</v>
      </c>
      <c r="R470" s="1">
        <f t="shared" ref="R470:T470" si="1388">1/(1+EXP(-O470))</f>
        <v>0.7098218413</v>
      </c>
      <c r="S470" s="1">
        <f t="shared" si="1388"/>
        <v>0.7106210494</v>
      </c>
      <c r="T470" s="1">
        <f t="shared" si="1388"/>
        <v>0.7122383245</v>
      </c>
      <c r="U470" s="1">
        <f t="shared" si="11"/>
        <v>3.51822819</v>
      </c>
      <c r="V470" s="1">
        <f t="shared" si="12"/>
        <v>0.232104077</v>
      </c>
      <c r="W470" s="1">
        <f t="shared" si="13"/>
        <v>4</v>
      </c>
      <c r="X470" s="1">
        <f t="shared" si="14"/>
        <v>0</v>
      </c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ht="15.75" customHeight="1">
      <c r="A471" s="1"/>
      <c r="B471" s="1">
        <v>4.0</v>
      </c>
      <c r="C471" s="1">
        <v>4.0</v>
      </c>
      <c r="D471" s="1">
        <v>2.0</v>
      </c>
      <c r="E471" s="1">
        <v>1.0</v>
      </c>
      <c r="F471" s="1">
        <v>2.0</v>
      </c>
      <c r="G471" s="3">
        <v>5.0</v>
      </c>
      <c r="H471" s="1">
        <v>2.0</v>
      </c>
      <c r="I471" s="1">
        <v>1.0</v>
      </c>
      <c r="J471" s="1">
        <v>2.0</v>
      </c>
      <c r="K471" s="1">
        <v>2.0</v>
      </c>
      <c r="L471" s="1">
        <f t="shared" ref="L471:N471" si="1389">SUMPRODUCT($B471:$J471, INDEX($B$2:$J$4, L$10, 0)) + INDEX($K$2:$K$4, L$10,1)</f>
        <v>27.3179872</v>
      </c>
      <c r="M471" s="1">
        <f t="shared" si="1389"/>
        <v>26.83048457</v>
      </c>
      <c r="N471" s="1">
        <f t="shared" si="1389"/>
        <v>26.79246807</v>
      </c>
      <c r="O471" s="1">
        <f t="shared" ref="O471:Q471" si="1390">(L471-L$7)/(L$6-L$7)</f>
        <v>0.3182026445</v>
      </c>
      <c r="P471" s="1">
        <f t="shared" si="1390"/>
        <v>0.3305087348</v>
      </c>
      <c r="Q471" s="1">
        <f t="shared" si="1390"/>
        <v>0.3230921268</v>
      </c>
      <c r="R471" s="1">
        <f t="shared" ref="R471:T471" si="1391">1/(1+EXP(-O471))</f>
        <v>0.5788861605</v>
      </c>
      <c r="S471" s="1">
        <f t="shared" si="1391"/>
        <v>0.5818831547</v>
      </c>
      <c r="T471" s="1">
        <f t="shared" si="1391"/>
        <v>0.5800776418</v>
      </c>
      <c r="U471" s="1">
        <f t="shared" si="11"/>
        <v>2.871777712</v>
      </c>
      <c r="V471" s="1">
        <f t="shared" si="12"/>
        <v>0.7599963798</v>
      </c>
      <c r="W471" s="1">
        <f t="shared" si="13"/>
        <v>4</v>
      </c>
      <c r="X471" s="1">
        <f t="shared" si="14"/>
        <v>1</v>
      </c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ht="15.75" customHeight="1">
      <c r="A472" s="1"/>
      <c r="B472" s="1">
        <v>5.0</v>
      </c>
      <c r="C472" s="1">
        <v>1.0</v>
      </c>
      <c r="D472" s="1">
        <v>1.0</v>
      </c>
      <c r="E472" s="1">
        <v>1.0</v>
      </c>
      <c r="F472" s="1">
        <v>2.0</v>
      </c>
      <c r="G472" s="3">
        <v>1.0</v>
      </c>
      <c r="H472" s="1">
        <v>1.0</v>
      </c>
      <c r="I472" s="1">
        <v>1.0</v>
      </c>
      <c r="J472" s="1">
        <v>1.0</v>
      </c>
      <c r="K472" s="1">
        <v>2.0</v>
      </c>
      <c r="L472" s="1">
        <f t="shared" ref="L472:N472" si="1392">SUMPRODUCT($B472:$J472, INDEX($B$2:$J$4, L$10, 0)) + INDEX($K$2:$K$4, L$10,1)</f>
        <v>7.984645998</v>
      </c>
      <c r="M472" s="1">
        <f t="shared" si="1392"/>
        <v>7.607539277</v>
      </c>
      <c r="N472" s="1">
        <f t="shared" si="1392"/>
        <v>7.726198925</v>
      </c>
      <c r="O472" s="1">
        <f t="shared" ref="O472:Q472" si="1393">(L472-L$7)/(L$6-L$7)</f>
        <v>0.002057396537</v>
      </c>
      <c r="P472" s="1">
        <f t="shared" si="1393"/>
        <v>0.001335812098</v>
      </c>
      <c r="Q472" s="1">
        <f t="shared" si="1393"/>
        <v>0.0006689185196</v>
      </c>
      <c r="R472" s="1">
        <f t="shared" ref="R472:T472" si="1394">1/(1+EXP(-O472))</f>
        <v>0.500514349</v>
      </c>
      <c r="S472" s="1">
        <f t="shared" si="1394"/>
        <v>0.500333953</v>
      </c>
      <c r="T472" s="1">
        <f t="shared" si="1394"/>
        <v>0.5001672296</v>
      </c>
      <c r="U472" s="1">
        <f t="shared" si="11"/>
        <v>2.476049343</v>
      </c>
      <c r="V472" s="1">
        <f t="shared" si="12"/>
        <v>0.2266229766</v>
      </c>
      <c r="W472" s="1">
        <f t="shared" si="13"/>
        <v>2</v>
      </c>
      <c r="X472" s="1">
        <f t="shared" si="14"/>
        <v>0</v>
      </c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ht="15.75" customHeight="1">
      <c r="A473" s="1"/>
      <c r="B473" s="1">
        <v>3.0</v>
      </c>
      <c r="C473" s="1">
        <v>1.0</v>
      </c>
      <c r="D473" s="1">
        <v>1.0</v>
      </c>
      <c r="E473" s="1">
        <v>1.0</v>
      </c>
      <c r="F473" s="1">
        <v>2.0</v>
      </c>
      <c r="G473" s="3">
        <v>1.0</v>
      </c>
      <c r="H473" s="1">
        <v>1.0</v>
      </c>
      <c r="I473" s="1">
        <v>1.0</v>
      </c>
      <c r="J473" s="1">
        <v>1.0</v>
      </c>
      <c r="K473" s="1">
        <v>2.0</v>
      </c>
      <c r="L473" s="1">
        <f t="shared" ref="L473:N473" si="1395">SUMPRODUCT($B473:$J473, INDEX($B$2:$J$4, L$10, 0)) + INDEX($K$2:$K$4, L$10,1)</f>
        <v>7.952892864</v>
      </c>
      <c r="M473" s="1">
        <f t="shared" si="1395"/>
        <v>7.568535274</v>
      </c>
      <c r="N473" s="1">
        <f t="shared" si="1395"/>
        <v>7.706420913</v>
      </c>
      <c r="O473" s="1">
        <f t="shared" ref="O473:Q473" si="1396">(L473-L$7)/(L$6-L$7)</f>
        <v>0.001538158696</v>
      </c>
      <c r="P473" s="1">
        <f t="shared" si="1396"/>
        <v>0.0006679091667</v>
      </c>
      <c r="Q473" s="1">
        <f t="shared" si="1396"/>
        <v>0.0003344592598</v>
      </c>
      <c r="R473" s="1">
        <f t="shared" ref="R473:T473" si="1397">1/(1+EXP(-O473))</f>
        <v>0.5003845396</v>
      </c>
      <c r="S473" s="1">
        <f t="shared" si="1397"/>
        <v>0.5001669773</v>
      </c>
      <c r="T473" s="1">
        <f t="shared" si="1397"/>
        <v>0.5000836148</v>
      </c>
      <c r="U473" s="1">
        <f t="shared" si="11"/>
        <v>2.47542491</v>
      </c>
      <c r="V473" s="1">
        <f t="shared" si="12"/>
        <v>0.2260288452</v>
      </c>
      <c r="W473" s="1">
        <f t="shared" si="13"/>
        <v>2</v>
      </c>
      <c r="X473" s="1">
        <f t="shared" si="14"/>
        <v>0</v>
      </c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ht="15.75" customHeight="1">
      <c r="A474" s="1"/>
      <c r="B474" s="1">
        <v>3.0</v>
      </c>
      <c r="C474" s="1">
        <v>1.0</v>
      </c>
      <c r="D474" s="1">
        <v>1.0</v>
      </c>
      <c r="E474" s="1">
        <v>1.0</v>
      </c>
      <c r="F474" s="1">
        <v>3.0</v>
      </c>
      <c r="G474" s="3">
        <v>2.0</v>
      </c>
      <c r="H474" s="1">
        <v>1.0</v>
      </c>
      <c r="I474" s="1">
        <v>1.0</v>
      </c>
      <c r="J474" s="1">
        <v>1.0</v>
      </c>
      <c r="K474" s="1">
        <v>2.0</v>
      </c>
      <c r="L474" s="1">
        <f t="shared" ref="L474:N474" si="1398">SUMPRODUCT($B474:$J474, INDEX($B$2:$J$4, L$10, 0)) + INDEX($K$2:$K$4, L$10,1)</f>
        <v>11.26104414</v>
      </c>
      <c r="M474" s="1">
        <f t="shared" si="1398"/>
        <v>10.82458922</v>
      </c>
      <c r="N474" s="1">
        <f t="shared" si="1398"/>
        <v>11.04160432</v>
      </c>
      <c r="O474" s="1">
        <f t="shared" ref="O474:Q474" si="1399">(L474-L$7)/(L$6-L$7)</f>
        <v>0.05563415254</v>
      </c>
      <c r="P474" s="1">
        <f t="shared" si="1399"/>
        <v>0.05642444273</v>
      </c>
      <c r="Q474" s="1">
        <f t="shared" si="1399"/>
        <v>0.0567346142</v>
      </c>
      <c r="R474" s="1">
        <f t="shared" ref="R474:T474" si="1400">1/(1+EXP(-O474))</f>
        <v>0.5139049518</v>
      </c>
      <c r="S474" s="1">
        <f t="shared" si="1400"/>
        <v>0.5141023694</v>
      </c>
      <c r="T474" s="1">
        <f t="shared" si="1400"/>
        <v>0.5141798502</v>
      </c>
      <c r="U474" s="1">
        <f t="shared" si="11"/>
        <v>2.5440075</v>
      </c>
      <c r="V474" s="1">
        <f t="shared" si="12"/>
        <v>0.2959441596</v>
      </c>
      <c r="W474" s="1">
        <f t="shared" si="13"/>
        <v>2</v>
      </c>
      <c r="X474" s="1">
        <f t="shared" si="14"/>
        <v>0</v>
      </c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ht="15.75" customHeight="1">
      <c r="A475" s="1"/>
      <c r="B475" s="1">
        <v>8.0</v>
      </c>
      <c r="C475" s="1">
        <v>2.0</v>
      </c>
      <c r="D475" s="1">
        <v>4.0</v>
      </c>
      <c r="E475" s="1">
        <v>1.0</v>
      </c>
      <c r="F475" s="1">
        <v>5.0</v>
      </c>
      <c r="G475" s="3">
        <v>1.0</v>
      </c>
      <c r="H475" s="1">
        <v>5.0</v>
      </c>
      <c r="I475" s="1">
        <v>4.0</v>
      </c>
      <c r="J475" s="1">
        <v>4.0</v>
      </c>
      <c r="K475" s="1">
        <v>4.0</v>
      </c>
      <c r="L475" s="1">
        <f t="shared" ref="L475:N475" si="1401">SUMPRODUCT($B475:$J475, INDEX($B$2:$J$4, L$10, 0)) + INDEX($K$2:$K$4, L$10,1)</f>
        <v>15.43953131</v>
      </c>
      <c r="M475" s="1">
        <f t="shared" si="1401"/>
        <v>14.00733591</v>
      </c>
      <c r="N475" s="1">
        <f t="shared" si="1401"/>
        <v>14.61046707</v>
      </c>
      <c r="O475" s="1">
        <f t="shared" ref="O475:Q475" si="1402">(L475-L$7)/(L$6-L$7)</f>
        <v>0.1239621694</v>
      </c>
      <c r="P475" s="1">
        <f t="shared" si="1402"/>
        <v>0.1109256658</v>
      </c>
      <c r="Q475" s="1">
        <f t="shared" si="1402"/>
        <v>0.1170864412</v>
      </c>
      <c r="R475" s="1">
        <f t="shared" ref="R475:T475" si="1403">1/(1+EXP(-O475))</f>
        <v>0.5309509182</v>
      </c>
      <c r="S475" s="1">
        <f t="shared" si="1403"/>
        <v>0.5277030163</v>
      </c>
      <c r="T475" s="1">
        <f t="shared" si="1403"/>
        <v>0.5292382151</v>
      </c>
      <c r="U475" s="1">
        <f t="shared" si="11"/>
        <v>2.619269511</v>
      </c>
      <c r="V475" s="1">
        <f t="shared" si="12"/>
        <v>1.906416684</v>
      </c>
      <c r="W475" s="1">
        <f t="shared" si="13"/>
        <v>2</v>
      </c>
      <c r="X475" s="1">
        <f t="shared" si="14"/>
        <v>1</v>
      </c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ht="15.75" customHeight="1">
      <c r="A476" s="1"/>
      <c r="B476" s="1">
        <v>9.0</v>
      </c>
      <c r="C476" s="1">
        <v>5.0</v>
      </c>
      <c r="D476" s="1">
        <v>5.0</v>
      </c>
      <c r="E476" s="1">
        <v>2.0</v>
      </c>
      <c r="F476" s="1">
        <v>2.0</v>
      </c>
      <c r="G476" s="3">
        <v>2.0</v>
      </c>
      <c r="H476" s="1">
        <v>5.0</v>
      </c>
      <c r="I476" s="1">
        <v>1.0</v>
      </c>
      <c r="J476" s="1">
        <v>1.0</v>
      </c>
      <c r="K476" s="1">
        <v>4.0</v>
      </c>
      <c r="L476" s="1">
        <f t="shared" ref="L476:N476" si="1404">SUMPRODUCT($B476:$J476, INDEX($B$2:$J$4, L$10, 0)) + INDEX($K$2:$K$4, L$10,1)</f>
        <v>24.0260869</v>
      </c>
      <c r="M476" s="1">
        <f t="shared" si="1404"/>
        <v>22.62274722</v>
      </c>
      <c r="N476" s="1">
        <f t="shared" si="1404"/>
        <v>22.79254442</v>
      </c>
      <c r="O476" s="1">
        <f t="shared" ref="O476:Q476" si="1405">(L476-L$7)/(L$6-L$7)</f>
        <v>0.2643723922</v>
      </c>
      <c r="P476" s="1">
        <f t="shared" si="1405"/>
        <v>0.2584556139</v>
      </c>
      <c r="Q476" s="1">
        <f t="shared" si="1405"/>
        <v>0.2554507752</v>
      </c>
      <c r="R476" s="1">
        <f t="shared" ref="R476:T476" si="1406">1/(1+EXP(-O476))</f>
        <v>0.5657108173</v>
      </c>
      <c r="S476" s="1">
        <f t="shared" si="1406"/>
        <v>0.5642566097</v>
      </c>
      <c r="T476" s="1">
        <f t="shared" si="1406"/>
        <v>0.5635176646</v>
      </c>
      <c r="U476" s="1">
        <f t="shared" si="11"/>
        <v>2.793423614</v>
      </c>
      <c r="V476" s="1">
        <f t="shared" si="12"/>
        <v>1.455826575</v>
      </c>
      <c r="W476" s="1">
        <f t="shared" si="13"/>
        <v>2</v>
      </c>
      <c r="X476" s="1">
        <f t="shared" si="14"/>
        <v>1</v>
      </c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ht="15.75" customHeight="1">
      <c r="A477" s="1"/>
      <c r="B477" s="1">
        <v>10.0</v>
      </c>
      <c r="C477" s="1">
        <v>10.0</v>
      </c>
      <c r="D477" s="1">
        <v>10.0</v>
      </c>
      <c r="E477" s="1">
        <v>8.0</v>
      </c>
      <c r="F477" s="1">
        <v>2.0</v>
      </c>
      <c r="G477" s="3">
        <v>10.0</v>
      </c>
      <c r="H477" s="1">
        <v>4.0</v>
      </c>
      <c r="I477" s="1">
        <v>1.0</v>
      </c>
      <c r="J477" s="1">
        <v>1.0</v>
      </c>
      <c r="K477" s="1">
        <v>4.0</v>
      </c>
      <c r="L477" s="1">
        <f t="shared" ref="L477:N477" si="1407">SUMPRODUCT($B477:$J477, INDEX($B$2:$J$4, L$10, 0)) + INDEX($K$2:$K$4, L$10,1)</f>
        <v>65.88236277</v>
      </c>
      <c r="M477" s="1">
        <f t="shared" si="1407"/>
        <v>63.29211083</v>
      </c>
      <c r="N477" s="1">
        <f t="shared" si="1407"/>
        <v>64.11167582</v>
      </c>
      <c r="O477" s="1">
        <f t="shared" ref="O477:Q477" si="1408">(L477-L$7)/(L$6-L$7)</f>
        <v>0.9488201853</v>
      </c>
      <c r="P477" s="1">
        <f t="shared" si="1408"/>
        <v>0.9548761197</v>
      </c>
      <c r="Q477" s="1">
        <f t="shared" si="1408"/>
        <v>0.9541845868</v>
      </c>
      <c r="R477" s="1">
        <f t="shared" ref="R477:T477" si="1409">1/(1+EXP(-O477))</f>
        <v>0.7208778459</v>
      </c>
      <c r="S477" s="1">
        <f t="shared" si="1409"/>
        <v>0.722094747</v>
      </c>
      <c r="T477" s="1">
        <f t="shared" si="1409"/>
        <v>0.7219559531</v>
      </c>
      <c r="U477" s="1">
        <f t="shared" si="11"/>
        <v>3.57133418</v>
      </c>
      <c r="V477" s="1">
        <f t="shared" si="12"/>
        <v>0.1837543848</v>
      </c>
      <c r="W477" s="1">
        <f t="shared" si="13"/>
        <v>4</v>
      </c>
      <c r="X477" s="1">
        <f t="shared" si="14"/>
        <v>0</v>
      </c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ht="15.75" customHeight="1">
      <c r="A478" s="1"/>
      <c r="B478" s="1">
        <v>1.0</v>
      </c>
      <c r="C478" s="1">
        <v>1.0</v>
      </c>
      <c r="D478" s="1">
        <v>1.0</v>
      </c>
      <c r="E478" s="1">
        <v>1.0</v>
      </c>
      <c r="F478" s="1">
        <v>2.0</v>
      </c>
      <c r="G478" s="3">
        <v>1.0</v>
      </c>
      <c r="H478" s="1">
        <v>3.0</v>
      </c>
      <c r="I478" s="1">
        <v>1.0</v>
      </c>
      <c r="J478" s="1">
        <v>1.0</v>
      </c>
      <c r="K478" s="1">
        <v>2.0</v>
      </c>
      <c r="L478" s="1">
        <f t="shared" ref="L478:N478" si="1410">SUMPRODUCT($B478:$J478, INDEX($B$2:$J$4, L$10, 0)) + INDEX($K$2:$K$4, L$10,1)</f>
        <v>7.985725177</v>
      </c>
      <c r="M478" s="1">
        <f t="shared" si="1410"/>
        <v>7.529531272</v>
      </c>
      <c r="N478" s="1">
        <f t="shared" si="1410"/>
        <v>7.686650958</v>
      </c>
      <c r="O478" s="1">
        <f t="shared" ref="O478:Q478" si="1411">(L478-L$7)/(L$6-L$7)</f>
        <v>0.002075043622</v>
      </c>
      <c r="P478" s="1">
        <f t="shared" si="1411"/>
        <v>0.000000006234892308</v>
      </c>
      <c r="Q478" s="1">
        <f t="shared" si="1411"/>
        <v>0.0000001362617963</v>
      </c>
      <c r="R478" s="1">
        <f t="shared" ref="R478:T478" si="1412">1/(1+EXP(-O478))</f>
        <v>0.5005187607</v>
      </c>
      <c r="S478" s="1">
        <f t="shared" si="1412"/>
        <v>0.5000000016</v>
      </c>
      <c r="T478" s="1">
        <f t="shared" si="1412"/>
        <v>0.5000000341</v>
      </c>
      <c r="U478" s="1">
        <f t="shared" si="11"/>
        <v>2.475218456</v>
      </c>
      <c r="V478" s="1">
        <f t="shared" si="12"/>
        <v>0.2258325805</v>
      </c>
      <c r="W478" s="1">
        <f t="shared" si="13"/>
        <v>2</v>
      </c>
      <c r="X478" s="1">
        <f t="shared" si="14"/>
        <v>0</v>
      </c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ht="15.75" customHeight="1">
      <c r="A479" s="1"/>
      <c r="B479" s="1">
        <v>5.0</v>
      </c>
      <c r="C479" s="1">
        <v>3.0</v>
      </c>
      <c r="D479" s="1">
        <v>3.0</v>
      </c>
      <c r="E479" s="1">
        <v>1.0</v>
      </c>
      <c r="F479" s="1">
        <v>3.0</v>
      </c>
      <c r="G479" s="3">
        <v>3.0</v>
      </c>
      <c r="H479" s="1">
        <v>3.0</v>
      </c>
      <c r="I479" s="1">
        <v>3.0</v>
      </c>
      <c r="J479" s="1">
        <v>3.0</v>
      </c>
      <c r="K479" s="1">
        <v>4.0</v>
      </c>
      <c r="L479" s="1">
        <f t="shared" ref="L479:N479" si="1413">SUMPRODUCT($B479:$J479, INDEX($B$2:$J$4, L$10, 0)) + INDEX($K$2:$K$4, L$10,1)</f>
        <v>21.45789074</v>
      </c>
      <c r="M479" s="1">
        <f t="shared" si="1413"/>
        <v>20.54580408</v>
      </c>
      <c r="N479" s="1">
        <f t="shared" si="1413"/>
        <v>20.84177885</v>
      </c>
      <c r="O479" s="1">
        <f t="shared" ref="O479:Q479" si="1414">(L479-L$7)/(L$6-L$7)</f>
        <v>0.2223763915</v>
      </c>
      <c r="P479" s="1">
        <f t="shared" si="1414"/>
        <v>0.2228901252</v>
      </c>
      <c r="Q479" s="1">
        <f t="shared" si="1414"/>
        <v>0.2224620405</v>
      </c>
      <c r="R479" s="1">
        <f t="shared" ref="R479:T479" si="1415">1/(1+EXP(-O479))</f>
        <v>0.5553661253</v>
      </c>
      <c r="S479" s="1">
        <f t="shared" si="1415"/>
        <v>0.5554929803</v>
      </c>
      <c r="T479" s="1">
        <f t="shared" si="1415"/>
        <v>0.5553872749</v>
      </c>
      <c r="U479" s="1">
        <f t="shared" si="11"/>
        <v>2.748638427</v>
      </c>
      <c r="V479" s="1">
        <f t="shared" si="12"/>
        <v>1.565905785</v>
      </c>
      <c r="W479" s="1">
        <f t="shared" si="13"/>
        <v>2</v>
      </c>
      <c r="X479" s="1">
        <f t="shared" si="14"/>
        <v>1</v>
      </c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ht="15.75" customHeight="1">
      <c r="A480" s="1"/>
      <c r="B480" s="1">
        <v>3.0</v>
      </c>
      <c r="C480" s="1">
        <v>2.0</v>
      </c>
      <c r="D480" s="1">
        <v>2.0</v>
      </c>
      <c r="E480" s="1">
        <v>2.0</v>
      </c>
      <c r="F480" s="1">
        <v>2.0</v>
      </c>
      <c r="G480" s="3">
        <v>1.0</v>
      </c>
      <c r="H480" s="1">
        <v>3.0</v>
      </c>
      <c r="I480" s="1">
        <v>2.0</v>
      </c>
      <c r="J480" s="1">
        <v>1.0</v>
      </c>
      <c r="K480" s="1">
        <v>2.0</v>
      </c>
      <c r="L480" s="1">
        <f t="shared" ref="L480:N480" si="1416">SUMPRODUCT($B480:$J480, INDEX($B$2:$J$4, L$10, 0)) + INDEX($K$2:$K$4, L$10,1)</f>
        <v>11.47687749</v>
      </c>
      <c r="M480" s="1">
        <f t="shared" si="1416"/>
        <v>10.78161391</v>
      </c>
      <c r="N480" s="1">
        <f t="shared" si="1416"/>
        <v>10.93182976</v>
      </c>
      <c r="O480" s="1">
        <f t="shared" ref="O480:Q480" si="1417">(L480-L$7)/(L$6-L$7)</f>
        <v>0.05916353147</v>
      </c>
      <c r="P480" s="1">
        <f t="shared" si="1417"/>
        <v>0.05568853525</v>
      </c>
      <c r="Q480" s="1">
        <f t="shared" si="1417"/>
        <v>0.05487825393</v>
      </c>
      <c r="R480" s="1">
        <f t="shared" ref="R480:T480" si="1418">1/(1+EXP(-O480))</f>
        <v>0.51478657</v>
      </c>
      <c r="S480" s="1">
        <f t="shared" si="1418"/>
        <v>0.513918537</v>
      </c>
      <c r="T480" s="1">
        <f t="shared" si="1418"/>
        <v>0.5137161213</v>
      </c>
      <c r="U480" s="1">
        <f t="shared" si="11"/>
        <v>2.544303824</v>
      </c>
      <c r="V480" s="1">
        <f t="shared" si="12"/>
        <v>0.2962666532</v>
      </c>
      <c r="W480" s="1">
        <f t="shared" si="13"/>
        <v>2</v>
      </c>
      <c r="X480" s="1">
        <f t="shared" si="14"/>
        <v>0</v>
      </c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ht="15.75" customHeight="1">
      <c r="A481" s="1"/>
      <c r="B481" s="1">
        <v>5.0</v>
      </c>
      <c r="C481" s="1">
        <v>1.0</v>
      </c>
      <c r="D481" s="1">
        <v>1.0</v>
      </c>
      <c r="E481" s="1">
        <v>1.0</v>
      </c>
      <c r="F481" s="1">
        <v>2.0</v>
      </c>
      <c r="G481" s="3">
        <v>1.0</v>
      </c>
      <c r="H481" s="1">
        <v>1.0</v>
      </c>
      <c r="I481" s="1">
        <v>1.0</v>
      </c>
      <c r="J481" s="1">
        <v>1.0</v>
      </c>
      <c r="K481" s="1">
        <v>2.0</v>
      </c>
      <c r="L481" s="1">
        <f t="shared" ref="L481:N481" si="1419">SUMPRODUCT($B481:$J481, INDEX($B$2:$J$4, L$10, 0)) + INDEX($K$2:$K$4, L$10,1)</f>
        <v>7.984645998</v>
      </c>
      <c r="M481" s="1">
        <f t="shared" si="1419"/>
        <v>7.607539277</v>
      </c>
      <c r="N481" s="1">
        <f t="shared" si="1419"/>
        <v>7.726198925</v>
      </c>
      <c r="O481" s="1">
        <f t="shared" ref="O481:Q481" si="1420">(L481-L$7)/(L$6-L$7)</f>
        <v>0.002057396537</v>
      </c>
      <c r="P481" s="1">
        <f t="shared" si="1420"/>
        <v>0.001335812098</v>
      </c>
      <c r="Q481" s="1">
        <f t="shared" si="1420"/>
        <v>0.0006689185196</v>
      </c>
      <c r="R481" s="1">
        <f t="shared" ref="R481:T481" si="1421">1/(1+EXP(-O481))</f>
        <v>0.500514349</v>
      </c>
      <c r="S481" s="1">
        <f t="shared" si="1421"/>
        <v>0.500333953</v>
      </c>
      <c r="T481" s="1">
        <f t="shared" si="1421"/>
        <v>0.5001672296</v>
      </c>
      <c r="U481" s="1">
        <f t="shared" si="11"/>
        <v>2.476049343</v>
      </c>
      <c r="V481" s="1">
        <f t="shared" si="12"/>
        <v>0.2266229766</v>
      </c>
      <c r="W481" s="1">
        <f t="shared" si="13"/>
        <v>2</v>
      </c>
      <c r="X481" s="1">
        <f t="shared" si="14"/>
        <v>0</v>
      </c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ht="15.75" customHeight="1">
      <c r="A482" s="1"/>
      <c r="B482" s="1">
        <v>3.0</v>
      </c>
      <c r="C482" s="1">
        <v>1.0</v>
      </c>
      <c r="D482" s="1">
        <v>1.0</v>
      </c>
      <c r="E482" s="1">
        <v>1.0</v>
      </c>
      <c r="F482" s="1">
        <v>2.0</v>
      </c>
      <c r="G482" s="3">
        <v>1.0</v>
      </c>
      <c r="H482" s="1">
        <v>2.0</v>
      </c>
      <c r="I482" s="1">
        <v>1.0</v>
      </c>
      <c r="J482" s="1">
        <v>1.0</v>
      </c>
      <c r="K482" s="1">
        <v>2.0</v>
      </c>
      <c r="L482" s="1">
        <f t="shared" ref="L482:N482" si="1422">SUMPRODUCT($B482:$J482, INDEX($B$2:$J$4, L$10, 0)) + INDEX($K$2:$K$4, L$10,1)</f>
        <v>7.985185587</v>
      </c>
      <c r="M482" s="1">
        <f t="shared" si="1422"/>
        <v>7.568535274</v>
      </c>
      <c r="N482" s="1">
        <f t="shared" si="1422"/>
        <v>7.706424942</v>
      </c>
      <c r="O482" s="1">
        <f t="shared" ref="O482:Q482" si="1423">(L482-L$7)/(L$6-L$7)</f>
        <v>0.00206622008</v>
      </c>
      <c r="P482" s="1">
        <f t="shared" si="1423"/>
        <v>0.0006679091667</v>
      </c>
      <c r="Q482" s="1">
        <f t="shared" si="1423"/>
        <v>0.0003345273907</v>
      </c>
      <c r="R482" s="1">
        <f t="shared" ref="R482:T482" si="1424">1/(1+EXP(-O482))</f>
        <v>0.5005165548</v>
      </c>
      <c r="S482" s="1">
        <f t="shared" si="1424"/>
        <v>0.5001669773</v>
      </c>
      <c r="T482" s="1">
        <f t="shared" si="1424"/>
        <v>0.5000836318</v>
      </c>
      <c r="U482" s="1">
        <f t="shared" si="11"/>
        <v>2.475633899</v>
      </c>
      <c r="V482" s="1">
        <f t="shared" si="12"/>
        <v>0.226227606</v>
      </c>
      <c r="W482" s="1">
        <f t="shared" si="13"/>
        <v>2</v>
      </c>
      <c r="X482" s="1">
        <f t="shared" si="14"/>
        <v>0</v>
      </c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ht="15.75" customHeight="1">
      <c r="A483" s="1"/>
      <c r="B483" s="1">
        <v>3.0</v>
      </c>
      <c r="C483" s="1">
        <v>1.0</v>
      </c>
      <c r="D483" s="1">
        <v>1.0</v>
      </c>
      <c r="E483" s="1">
        <v>1.0</v>
      </c>
      <c r="F483" s="1">
        <v>2.0</v>
      </c>
      <c r="G483" s="3">
        <v>1.0</v>
      </c>
      <c r="H483" s="1">
        <v>2.0</v>
      </c>
      <c r="I483" s="1">
        <v>1.0</v>
      </c>
      <c r="J483" s="1">
        <v>1.0</v>
      </c>
      <c r="K483" s="1">
        <v>2.0</v>
      </c>
      <c r="L483" s="1">
        <f t="shared" ref="L483:N483" si="1425">SUMPRODUCT($B483:$J483, INDEX($B$2:$J$4, L$10, 0)) + INDEX($K$2:$K$4, L$10,1)</f>
        <v>7.985185587</v>
      </c>
      <c r="M483" s="1">
        <f t="shared" si="1425"/>
        <v>7.568535274</v>
      </c>
      <c r="N483" s="1">
        <f t="shared" si="1425"/>
        <v>7.706424942</v>
      </c>
      <c r="O483" s="1">
        <f t="shared" ref="O483:Q483" si="1426">(L483-L$7)/(L$6-L$7)</f>
        <v>0.00206622008</v>
      </c>
      <c r="P483" s="1">
        <f t="shared" si="1426"/>
        <v>0.0006679091667</v>
      </c>
      <c r="Q483" s="1">
        <f t="shared" si="1426"/>
        <v>0.0003345273907</v>
      </c>
      <c r="R483" s="1">
        <f t="shared" ref="R483:T483" si="1427">1/(1+EXP(-O483))</f>
        <v>0.5005165548</v>
      </c>
      <c r="S483" s="1">
        <f t="shared" si="1427"/>
        <v>0.5001669773</v>
      </c>
      <c r="T483" s="1">
        <f t="shared" si="1427"/>
        <v>0.5000836318</v>
      </c>
      <c r="U483" s="1">
        <f t="shared" si="11"/>
        <v>2.475633899</v>
      </c>
      <c r="V483" s="1">
        <f t="shared" si="12"/>
        <v>0.226227606</v>
      </c>
      <c r="W483" s="1">
        <f t="shared" si="13"/>
        <v>2</v>
      </c>
      <c r="X483" s="1">
        <f t="shared" si="14"/>
        <v>0</v>
      </c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ht="15.75" customHeight="1">
      <c r="A484" s="1"/>
      <c r="B484" s="1">
        <v>7.0</v>
      </c>
      <c r="C484" s="1">
        <v>6.0</v>
      </c>
      <c r="D484" s="1">
        <v>10.0</v>
      </c>
      <c r="E484" s="1">
        <v>5.0</v>
      </c>
      <c r="F484" s="1">
        <v>3.0</v>
      </c>
      <c r="G484" s="3">
        <v>10.0</v>
      </c>
      <c r="H484" s="1">
        <v>9.0</v>
      </c>
      <c r="I484" s="1">
        <v>10.0</v>
      </c>
      <c r="J484" s="1">
        <v>2.0</v>
      </c>
      <c r="K484" s="1">
        <v>4.0</v>
      </c>
      <c r="L484" s="1">
        <f t="shared" ref="L484:N484" si="1428">SUMPRODUCT($B484:$J484, INDEX($B$2:$J$4, L$10, 0)) + INDEX($K$2:$K$4, L$10,1)</f>
        <v>62.14218907</v>
      </c>
      <c r="M484" s="1">
        <f t="shared" si="1428"/>
        <v>59.27284087</v>
      </c>
      <c r="N484" s="1">
        <f t="shared" si="1428"/>
        <v>61.15083046</v>
      </c>
      <c r="O484" s="1">
        <f t="shared" ref="O484:Q484" si="1429">(L484-L$7)/(L$6-L$7)</f>
        <v>0.8876596165</v>
      </c>
      <c r="P484" s="1">
        <f t="shared" si="1429"/>
        <v>0.8860503066</v>
      </c>
      <c r="Q484" s="1">
        <f t="shared" si="1429"/>
        <v>0.9041147356</v>
      </c>
      <c r="R484" s="1">
        <f t="shared" ref="R484:T484" si="1430">1/(1+EXP(-O484))</f>
        <v>0.7084069636</v>
      </c>
      <c r="S484" s="1">
        <f t="shared" si="1430"/>
        <v>0.7080744225</v>
      </c>
      <c r="T484" s="1">
        <f t="shared" si="1430"/>
        <v>0.7117943475</v>
      </c>
      <c r="U484" s="1">
        <f t="shared" si="11"/>
        <v>3.511025495</v>
      </c>
      <c r="V484" s="1">
        <f t="shared" si="12"/>
        <v>0.2390960666</v>
      </c>
      <c r="W484" s="1">
        <f t="shared" si="13"/>
        <v>4</v>
      </c>
      <c r="X484" s="1">
        <f t="shared" si="14"/>
        <v>0</v>
      </c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ht="15.75" customHeight="1">
      <c r="A485" s="1"/>
      <c r="B485" s="1">
        <v>4.0</v>
      </c>
      <c r="C485" s="1">
        <v>2.0</v>
      </c>
      <c r="D485" s="1">
        <v>4.0</v>
      </c>
      <c r="E485" s="1">
        <v>3.0</v>
      </c>
      <c r="F485" s="1">
        <v>2.0</v>
      </c>
      <c r="G485" s="3">
        <v>2.0</v>
      </c>
      <c r="H485" s="1">
        <v>2.0</v>
      </c>
      <c r="I485" s="1">
        <v>1.0</v>
      </c>
      <c r="J485" s="1">
        <v>1.0</v>
      </c>
      <c r="K485" s="1">
        <v>2.0</v>
      </c>
      <c r="L485" s="1">
        <f t="shared" ref="L485:N485" si="1431">SUMPRODUCT($B485:$J485, INDEX($B$2:$J$4, L$10, 0)) + INDEX($K$2:$K$4, L$10,1)</f>
        <v>17.54832987</v>
      </c>
      <c r="M485" s="1">
        <f t="shared" si="1431"/>
        <v>16.30700426</v>
      </c>
      <c r="N485" s="1">
        <f t="shared" si="1431"/>
        <v>17.01046506</v>
      </c>
      <c r="O485" s="1">
        <f t="shared" ref="O485:Q485" si="1432">(L485-L$7)/(L$6-L$7)</f>
        <v>0.1584459472</v>
      </c>
      <c r="P485" s="1">
        <f t="shared" si="1432"/>
        <v>0.1503050918</v>
      </c>
      <c r="Q485" s="1">
        <f t="shared" si="1432"/>
        <v>0.157671993</v>
      </c>
      <c r="R485" s="1">
        <f t="shared" ref="R485:T485" si="1433">1/(1+EXP(-O485))</f>
        <v>0.5395288234</v>
      </c>
      <c r="S485" s="1">
        <f t="shared" si="1433"/>
        <v>0.53750569</v>
      </c>
      <c r="T485" s="1">
        <f t="shared" si="1433"/>
        <v>0.5393365383</v>
      </c>
      <c r="U485" s="1">
        <f t="shared" si="11"/>
        <v>2.666349715</v>
      </c>
      <c r="V485" s="1">
        <f t="shared" si="12"/>
        <v>0.4440219433</v>
      </c>
      <c r="W485" s="1">
        <f t="shared" si="13"/>
        <v>2</v>
      </c>
      <c r="X485" s="1">
        <f t="shared" si="14"/>
        <v>0</v>
      </c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ht="15.75" customHeight="1">
      <c r="A486" s="1"/>
      <c r="B486" s="1">
        <v>4.0</v>
      </c>
      <c r="C486" s="1">
        <v>1.0</v>
      </c>
      <c r="D486" s="1">
        <v>1.0</v>
      </c>
      <c r="E486" s="1">
        <v>3.0</v>
      </c>
      <c r="F486" s="1">
        <v>2.0</v>
      </c>
      <c r="G486" s="3">
        <v>1.0</v>
      </c>
      <c r="H486" s="1">
        <v>1.0</v>
      </c>
      <c r="I486" s="1">
        <v>1.0</v>
      </c>
      <c r="J486" s="1">
        <v>1.0</v>
      </c>
      <c r="K486" s="1">
        <v>2.0</v>
      </c>
      <c r="L486" s="1">
        <f t="shared" ref="L486:N486" si="1434">SUMPRODUCT($B486:$J486, INDEX($B$2:$J$4, L$10, 0)) + INDEX($K$2:$K$4, L$10,1)</f>
        <v>8.032900624</v>
      </c>
      <c r="M486" s="1">
        <f t="shared" si="1434"/>
        <v>7.588037275</v>
      </c>
      <c r="N486" s="1">
        <f t="shared" si="1434"/>
        <v>7.721906445</v>
      </c>
      <c r="O486" s="1">
        <f t="shared" ref="O486:Q486" si="1435">(L486-L$7)/(L$6-L$7)</f>
        <v>0.002846472284</v>
      </c>
      <c r="P486" s="1">
        <f t="shared" si="1435"/>
        <v>0.001001860633</v>
      </c>
      <c r="Q486" s="1">
        <f t="shared" si="1435"/>
        <v>0.0005963298491</v>
      </c>
      <c r="R486" s="1">
        <f t="shared" ref="R486:T486" si="1436">1/(1+EXP(-O486))</f>
        <v>0.5007116176</v>
      </c>
      <c r="S486" s="1">
        <f t="shared" si="1436"/>
        <v>0.5002504651</v>
      </c>
      <c r="T486" s="1">
        <f t="shared" si="1436"/>
        <v>0.5001490825</v>
      </c>
      <c r="U486" s="1">
        <f t="shared" si="11"/>
        <v>2.476192713</v>
      </c>
      <c r="V486" s="1">
        <f t="shared" si="12"/>
        <v>0.2267594998</v>
      </c>
      <c r="W486" s="1">
        <f t="shared" si="13"/>
        <v>2</v>
      </c>
      <c r="X486" s="1">
        <f t="shared" si="14"/>
        <v>0</v>
      </c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ht="15.75" customHeight="1">
      <c r="A487" s="1"/>
      <c r="B487" s="1">
        <v>10.0</v>
      </c>
      <c r="C487" s="1">
        <v>10.0</v>
      </c>
      <c r="D487" s="1">
        <v>10.0</v>
      </c>
      <c r="E487" s="1">
        <v>4.0</v>
      </c>
      <c r="F487" s="1">
        <v>8.0</v>
      </c>
      <c r="G487" s="3">
        <v>1.0</v>
      </c>
      <c r="H487" s="1">
        <v>8.0</v>
      </c>
      <c r="I487" s="1">
        <v>10.0</v>
      </c>
      <c r="J487" s="1">
        <v>1.0</v>
      </c>
      <c r="K487" s="1">
        <v>4.0</v>
      </c>
      <c r="L487" s="1">
        <f t="shared" ref="L487:N487" si="1437">SUMPRODUCT($B487:$J487, INDEX($B$2:$J$4, L$10, 0)) + INDEX($K$2:$K$4, L$10,1)</f>
        <v>39.60613948</v>
      </c>
      <c r="M487" s="1">
        <f t="shared" si="1437"/>
        <v>36.62275918</v>
      </c>
      <c r="N487" s="1">
        <f t="shared" si="1437"/>
        <v>36.7874897</v>
      </c>
      <c r="O487" s="1">
        <f t="shared" ref="O487:Q487" si="1438">(L487-L$7)/(L$6-L$7)</f>
        <v>0.519142612</v>
      </c>
      <c r="P487" s="1">
        <f t="shared" si="1438"/>
        <v>0.4981912416</v>
      </c>
      <c r="Q487" s="1">
        <f t="shared" si="1438"/>
        <v>0.4921145464</v>
      </c>
      <c r="R487" s="1">
        <f t="shared" ref="R487:T487" si="1439">1/(1+EXP(-O487))</f>
        <v>0.6269472585</v>
      </c>
      <c r="S487" s="1">
        <f t="shared" si="1439"/>
        <v>0.6220341722</v>
      </c>
      <c r="T487" s="1">
        <f t="shared" si="1439"/>
        <v>0.6206044388</v>
      </c>
      <c r="U487" s="1">
        <f t="shared" si="11"/>
        <v>3.083642211</v>
      </c>
      <c r="V487" s="1">
        <f t="shared" si="12"/>
        <v>0.8397115966</v>
      </c>
      <c r="W487" s="1">
        <f t="shared" si="13"/>
        <v>4</v>
      </c>
      <c r="X487" s="1">
        <f t="shared" si="14"/>
        <v>0</v>
      </c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ht="15.75" customHeight="1">
      <c r="A488" s="1"/>
      <c r="B488" s="1">
        <v>1.0</v>
      </c>
      <c r="C488" s="1">
        <v>3.0</v>
      </c>
      <c r="D488" s="1">
        <v>3.0</v>
      </c>
      <c r="E488" s="1">
        <v>2.0</v>
      </c>
      <c r="F488" s="1">
        <v>2.0</v>
      </c>
      <c r="G488" s="3">
        <v>1.0</v>
      </c>
      <c r="H488" s="1">
        <v>7.0</v>
      </c>
      <c r="I488" s="1">
        <v>2.0</v>
      </c>
      <c r="J488" s="1">
        <v>1.0</v>
      </c>
      <c r="K488" s="1">
        <v>2.0</v>
      </c>
      <c r="L488" s="1">
        <f t="shared" ref="L488:N488" si="1440">SUMPRODUCT($B488:$J488, INDEX($B$2:$J$4, L$10, 0)) + INDEX($K$2:$K$4, L$10,1)</f>
        <v>14.71700957</v>
      </c>
      <c r="M488" s="1">
        <f t="shared" si="1440"/>
        <v>13.6628965</v>
      </c>
      <c r="N488" s="1">
        <f t="shared" si="1440"/>
        <v>13.83426579</v>
      </c>
      <c r="O488" s="1">
        <f t="shared" ref="O488:Q488" si="1441">(L488-L$7)/(L$6-L$7)</f>
        <v>0.1121472527</v>
      </c>
      <c r="P488" s="1">
        <f t="shared" si="1441"/>
        <v>0.1050274995</v>
      </c>
      <c r="Q488" s="1">
        <f t="shared" si="1441"/>
        <v>0.1039603647</v>
      </c>
      <c r="R488" s="1">
        <f t="shared" ref="R488:T488" si="1442">1/(1+EXP(-O488))</f>
        <v>0.5280074651</v>
      </c>
      <c r="S488" s="1">
        <f t="shared" si="1442"/>
        <v>0.5262327653</v>
      </c>
      <c r="T488" s="1">
        <f t="shared" si="1442"/>
        <v>0.5259667086</v>
      </c>
      <c r="U488" s="1">
        <f t="shared" si="11"/>
        <v>2.6065703</v>
      </c>
      <c r="V488" s="1">
        <f t="shared" si="12"/>
        <v>0.3679275294</v>
      </c>
      <c r="W488" s="1">
        <f t="shared" si="13"/>
        <v>2</v>
      </c>
      <c r="X488" s="1">
        <f t="shared" si="14"/>
        <v>0</v>
      </c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ht="15.75" customHeight="1">
      <c r="A489" s="1"/>
      <c r="B489" s="1">
        <v>3.0</v>
      </c>
      <c r="C489" s="1">
        <v>1.0</v>
      </c>
      <c r="D489" s="1">
        <v>1.0</v>
      </c>
      <c r="E489" s="1">
        <v>1.0</v>
      </c>
      <c r="F489" s="1">
        <v>2.0</v>
      </c>
      <c r="G489" s="3">
        <v>1.0</v>
      </c>
      <c r="H489" s="1">
        <v>3.0</v>
      </c>
      <c r="I489" s="1">
        <v>1.0</v>
      </c>
      <c r="J489" s="1">
        <v>1.0</v>
      </c>
      <c r="K489" s="1">
        <v>2.0</v>
      </c>
      <c r="L489" s="1">
        <f t="shared" ref="L489:N489" si="1443">SUMPRODUCT($B489:$J489, INDEX($B$2:$J$4, L$10, 0)) + INDEX($K$2:$K$4, L$10,1)</f>
        <v>8.01747831</v>
      </c>
      <c r="M489" s="1">
        <f t="shared" si="1443"/>
        <v>7.568535274</v>
      </c>
      <c r="N489" s="1">
        <f t="shared" si="1443"/>
        <v>7.70642897</v>
      </c>
      <c r="O489" s="1">
        <f t="shared" ref="O489:Q489" si="1444">(L489-L$7)/(L$6-L$7)</f>
        <v>0.002594281464</v>
      </c>
      <c r="P489" s="1">
        <f t="shared" si="1444"/>
        <v>0.0006679091667</v>
      </c>
      <c r="Q489" s="1">
        <f t="shared" si="1444"/>
        <v>0.0003345955216</v>
      </c>
      <c r="R489" s="1">
        <f t="shared" ref="R489:T489" si="1445">1/(1+EXP(-O489))</f>
        <v>0.50064857</v>
      </c>
      <c r="S489" s="1">
        <f t="shared" si="1445"/>
        <v>0.5001669773</v>
      </c>
      <c r="T489" s="1">
        <f t="shared" si="1445"/>
        <v>0.5000836489</v>
      </c>
      <c r="U489" s="1">
        <f t="shared" si="11"/>
        <v>2.475842888</v>
      </c>
      <c r="V489" s="1">
        <f t="shared" si="12"/>
        <v>0.226426454</v>
      </c>
      <c r="W489" s="1">
        <f t="shared" si="13"/>
        <v>2</v>
      </c>
      <c r="X489" s="1">
        <f t="shared" si="14"/>
        <v>0</v>
      </c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ht="15.75" customHeight="1">
      <c r="A490" s="1"/>
      <c r="B490" s="1">
        <v>7.0</v>
      </c>
      <c r="C490" s="1">
        <v>5.0</v>
      </c>
      <c r="D490" s="1">
        <v>10.0</v>
      </c>
      <c r="E490" s="1">
        <v>10.0</v>
      </c>
      <c r="F490" s="1">
        <v>10.0</v>
      </c>
      <c r="G490" s="3">
        <v>10.0</v>
      </c>
      <c r="H490" s="1">
        <v>4.0</v>
      </c>
      <c r="I490" s="1">
        <v>10.0</v>
      </c>
      <c r="J490" s="1">
        <v>3.0</v>
      </c>
      <c r="K490" s="1">
        <v>4.0</v>
      </c>
      <c r="L490" s="1">
        <f t="shared" ref="L490:N490" si="1446">SUMPRODUCT($B490:$J490, INDEX($B$2:$J$4, L$10, 0)) + INDEX($K$2:$K$4, L$10,1)</f>
        <v>60.98180275</v>
      </c>
      <c r="M490" s="1">
        <f t="shared" si="1446"/>
        <v>57.62387024</v>
      </c>
      <c r="N490" s="1">
        <f t="shared" si="1446"/>
        <v>59.75819035</v>
      </c>
      <c r="O490" s="1">
        <f t="shared" ref="O490:Q490" si="1447">(L490-L$7)/(L$6-L$7)</f>
        <v>0.8686845922</v>
      </c>
      <c r="P490" s="1">
        <f t="shared" si="1447"/>
        <v>0.8578134014</v>
      </c>
      <c r="Q490" s="1">
        <f t="shared" si="1447"/>
        <v>0.8805642711</v>
      </c>
      <c r="R490" s="1">
        <f t="shared" ref="R490:T490" si="1448">1/(1+EXP(-O490))</f>
        <v>0.7044719153</v>
      </c>
      <c r="S490" s="1">
        <f t="shared" si="1448"/>
        <v>0.7022036089</v>
      </c>
      <c r="T490" s="1">
        <f t="shared" si="1448"/>
        <v>0.7069391383</v>
      </c>
      <c r="U490" s="1">
        <f t="shared" si="11"/>
        <v>3.486779084</v>
      </c>
      <c r="V490" s="1">
        <f t="shared" si="12"/>
        <v>0.2633957089</v>
      </c>
      <c r="W490" s="1">
        <f t="shared" si="13"/>
        <v>4</v>
      </c>
      <c r="X490" s="1">
        <f t="shared" si="14"/>
        <v>0</v>
      </c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ht="15.75" customHeight="1">
      <c r="A491" s="1"/>
      <c r="B491" s="1">
        <v>10.0</v>
      </c>
      <c r="C491" s="1">
        <v>8.0</v>
      </c>
      <c r="D491" s="1">
        <v>7.0</v>
      </c>
      <c r="E491" s="1">
        <v>4.0</v>
      </c>
      <c r="F491" s="1">
        <v>3.0</v>
      </c>
      <c r="G491" s="3">
        <v>10.0</v>
      </c>
      <c r="H491" s="1">
        <v>7.0</v>
      </c>
      <c r="I491" s="1">
        <v>9.0</v>
      </c>
      <c r="J491" s="1">
        <v>1.0</v>
      </c>
      <c r="K491" s="1">
        <v>4.0</v>
      </c>
      <c r="L491" s="1">
        <f t="shared" ref="L491:N491" si="1449">SUMPRODUCT($B491:$J491, INDEX($B$2:$J$4, L$10, 0)) + INDEX($K$2:$K$4, L$10,1)</f>
        <v>60.35752375</v>
      </c>
      <c r="M491" s="1">
        <f t="shared" si="1449"/>
        <v>58.52256099</v>
      </c>
      <c r="N491" s="1">
        <f t="shared" si="1449"/>
        <v>59.14374924</v>
      </c>
      <c r="O491" s="1">
        <f t="shared" ref="O491:Q491" si="1450">(L491-L$7)/(L$6-L$7)</f>
        <v>0.8584761736</v>
      </c>
      <c r="P491" s="1">
        <f t="shared" si="1450"/>
        <v>0.8732025448</v>
      </c>
      <c r="Q491" s="1">
        <f t="shared" si="1450"/>
        <v>0.870173666</v>
      </c>
      <c r="R491" s="1">
        <f t="shared" ref="R491:T491" si="1451">1/(1+EXP(-O491))</f>
        <v>0.702342185</v>
      </c>
      <c r="S491" s="1">
        <f t="shared" si="1451"/>
        <v>0.7054116437</v>
      </c>
      <c r="T491" s="1">
        <f t="shared" si="1451"/>
        <v>0.704781833</v>
      </c>
      <c r="U491" s="1">
        <f t="shared" si="11"/>
        <v>3.484997914</v>
      </c>
      <c r="V491" s="1">
        <f t="shared" si="12"/>
        <v>0.2652271481</v>
      </c>
      <c r="W491" s="1">
        <f t="shared" si="13"/>
        <v>4</v>
      </c>
      <c r="X491" s="1">
        <f t="shared" si="14"/>
        <v>0</v>
      </c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ht="15.75" customHeight="1">
      <c r="A492" s="1"/>
      <c r="B492" s="1">
        <v>3.0</v>
      </c>
      <c r="C492" s="1">
        <v>1.0</v>
      </c>
      <c r="D492" s="1">
        <v>1.0</v>
      </c>
      <c r="E492" s="1">
        <v>1.0</v>
      </c>
      <c r="F492" s="1">
        <v>2.0</v>
      </c>
      <c r="G492" s="3">
        <v>1.0</v>
      </c>
      <c r="H492" s="1">
        <v>1.0</v>
      </c>
      <c r="I492" s="1">
        <v>1.0</v>
      </c>
      <c r="J492" s="1">
        <v>1.0</v>
      </c>
      <c r="K492" s="1">
        <v>2.0</v>
      </c>
      <c r="L492" s="1">
        <f t="shared" ref="L492:N492" si="1452">SUMPRODUCT($B492:$J492, INDEX($B$2:$J$4, L$10, 0)) + INDEX($K$2:$K$4, L$10,1)</f>
        <v>7.952892864</v>
      </c>
      <c r="M492" s="1">
        <f t="shared" si="1452"/>
        <v>7.568535274</v>
      </c>
      <c r="N492" s="1">
        <f t="shared" si="1452"/>
        <v>7.706420913</v>
      </c>
      <c r="O492" s="1">
        <f t="shared" ref="O492:Q492" si="1453">(L492-L$7)/(L$6-L$7)</f>
        <v>0.001538158696</v>
      </c>
      <c r="P492" s="1">
        <f t="shared" si="1453"/>
        <v>0.0006679091667</v>
      </c>
      <c r="Q492" s="1">
        <f t="shared" si="1453"/>
        <v>0.0003344592598</v>
      </c>
      <c r="R492" s="1">
        <f t="shared" ref="R492:T492" si="1454">1/(1+EXP(-O492))</f>
        <v>0.5003845396</v>
      </c>
      <c r="S492" s="1">
        <f t="shared" si="1454"/>
        <v>0.5001669773</v>
      </c>
      <c r="T492" s="1">
        <f t="shared" si="1454"/>
        <v>0.5000836148</v>
      </c>
      <c r="U492" s="1">
        <f t="shared" si="11"/>
        <v>2.47542491</v>
      </c>
      <c r="V492" s="1">
        <f t="shared" si="12"/>
        <v>0.2260288452</v>
      </c>
      <c r="W492" s="1">
        <f t="shared" si="13"/>
        <v>2</v>
      </c>
      <c r="X492" s="1">
        <f t="shared" si="14"/>
        <v>0</v>
      </c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ht="15.75" customHeight="1">
      <c r="A493" s="1"/>
      <c r="B493" s="1">
        <v>3.0</v>
      </c>
      <c r="C493" s="1">
        <v>1.0</v>
      </c>
      <c r="D493" s="1">
        <v>1.0</v>
      </c>
      <c r="E493" s="1">
        <v>1.0</v>
      </c>
      <c r="F493" s="1">
        <v>2.0</v>
      </c>
      <c r="G493" s="3">
        <v>5.0</v>
      </c>
      <c r="H493" s="1">
        <v>1.0</v>
      </c>
      <c r="I493" s="1">
        <v>1.0</v>
      </c>
      <c r="J493" s="1">
        <v>1.0</v>
      </c>
      <c r="K493" s="1">
        <v>2.0</v>
      </c>
      <c r="L493" s="1">
        <f t="shared" ref="L493:N493" si="1455">SUMPRODUCT($B493:$J493, INDEX($B$2:$J$4, L$10, 0)) + INDEX($K$2:$K$4, L$10,1)</f>
        <v>20.93625628</v>
      </c>
      <c r="M493" s="1">
        <f t="shared" si="1455"/>
        <v>20.59274961</v>
      </c>
      <c r="N493" s="1">
        <f t="shared" si="1455"/>
        <v>21.04715453</v>
      </c>
      <c r="O493" s="1">
        <f t="shared" ref="O493:Q493" si="1456">(L493-L$7)/(L$6-L$7)</f>
        <v>0.2138464507</v>
      </c>
      <c r="P493" s="1">
        <f t="shared" si="1456"/>
        <v>0.2236940185</v>
      </c>
      <c r="Q493" s="1">
        <f t="shared" si="1456"/>
        <v>0.225935079</v>
      </c>
      <c r="R493" s="1">
        <f t="shared" ref="R493:T493" si="1457">1/(1+EXP(-O493))</f>
        <v>0.5532588054</v>
      </c>
      <c r="S493" s="1">
        <f t="shared" si="1457"/>
        <v>0.5556914692</v>
      </c>
      <c r="T493" s="1">
        <f t="shared" si="1457"/>
        <v>0.5562447143</v>
      </c>
      <c r="U493" s="1">
        <f t="shared" si="11"/>
        <v>2.747101887</v>
      </c>
      <c r="V493" s="1">
        <f t="shared" si="12"/>
        <v>0.5581612302</v>
      </c>
      <c r="W493" s="1">
        <f t="shared" si="13"/>
        <v>2</v>
      </c>
      <c r="X493" s="1">
        <f t="shared" si="14"/>
        <v>0</v>
      </c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ht="15.75" customHeight="1">
      <c r="A494" s="1"/>
      <c r="B494" s="1">
        <v>6.0</v>
      </c>
      <c r="C494" s="1">
        <v>6.0</v>
      </c>
      <c r="D494" s="1">
        <v>6.0</v>
      </c>
      <c r="E494" s="1">
        <v>5.0</v>
      </c>
      <c r="F494" s="1">
        <v>4.0</v>
      </c>
      <c r="G494" s="3">
        <v>10.0</v>
      </c>
      <c r="H494" s="1">
        <v>7.0</v>
      </c>
      <c r="I494" s="1">
        <v>6.0</v>
      </c>
      <c r="J494" s="1">
        <v>2.0</v>
      </c>
      <c r="K494" s="1">
        <v>4.0</v>
      </c>
      <c r="L494" s="1">
        <f t="shared" ref="L494:N494" si="1458">SUMPRODUCT($B494:$J494, INDEX($B$2:$J$4, L$10, 0)) + INDEX($K$2:$K$4, L$10,1)</f>
        <v>54.79639774</v>
      </c>
      <c r="M494" s="1">
        <f t="shared" si="1458"/>
        <v>52.99691743</v>
      </c>
      <c r="N494" s="1">
        <f t="shared" si="1458"/>
        <v>53.87696844</v>
      </c>
      <c r="O494" s="1">
        <f t="shared" ref="O494:Q494" si="1459">(L494-L$7)/(L$6-L$7)</f>
        <v>0.7675387851</v>
      </c>
      <c r="P494" s="1">
        <f t="shared" si="1459"/>
        <v>0.7785816524</v>
      </c>
      <c r="Q494" s="1">
        <f t="shared" si="1459"/>
        <v>0.781108923</v>
      </c>
      <c r="R494" s="1">
        <f t="shared" ref="R494:T494" si="1460">1/(1+EXP(-O494))</f>
        <v>0.6829882432</v>
      </c>
      <c r="S494" s="1">
        <f t="shared" si="1460"/>
        <v>0.6853743471</v>
      </c>
      <c r="T494" s="1">
        <f t="shared" si="1460"/>
        <v>0.685919063</v>
      </c>
      <c r="U494" s="1">
        <f t="shared" si="11"/>
        <v>3.388934866</v>
      </c>
      <c r="V494" s="1">
        <f t="shared" si="12"/>
        <v>0.3734005979</v>
      </c>
      <c r="W494" s="1">
        <f t="shared" si="13"/>
        <v>4</v>
      </c>
      <c r="X494" s="1">
        <f t="shared" si="14"/>
        <v>0</v>
      </c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ht="15.75" customHeight="1">
      <c r="A495" s="1"/>
      <c r="B495" s="1">
        <v>3.0</v>
      </c>
      <c r="C495" s="1">
        <v>1.0</v>
      </c>
      <c r="D495" s="1">
        <v>1.0</v>
      </c>
      <c r="E495" s="1">
        <v>1.0</v>
      </c>
      <c r="F495" s="1">
        <v>1.0</v>
      </c>
      <c r="G495" s="3">
        <v>1.0</v>
      </c>
      <c r="H495" s="1">
        <v>2.0</v>
      </c>
      <c r="I495" s="1">
        <v>1.0</v>
      </c>
      <c r="J495" s="1">
        <v>1.0</v>
      </c>
      <c r="K495" s="1">
        <v>2.0</v>
      </c>
      <c r="L495" s="1">
        <f t="shared" ref="L495:N495" si="1461">SUMPRODUCT($B495:$J495, INDEX($B$2:$J$4, L$10, 0)) + INDEX($K$2:$K$4, L$10,1)</f>
        <v>7.922875163</v>
      </c>
      <c r="M495" s="1">
        <f t="shared" si="1461"/>
        <v>7.56853491</v>
      </c>
      <c r="N495" s="1">
        <f t="shared" si="1461"/>
        <v>7.706424942</v>
      </c>
      <c r="O495" s="1">
        <f t="shared" ref="O495:Q495" si="1462">(L495-L$7)/(L$6-L$7)</f>
        <v>0.001047299226</v>
      </c>
      <c r="P495" s="1">
        <f t="shared" si="1462"/>
        <v>0.0006679029318</v>
      </c>
      <c r="Q495" s="1">
        <f t="shared" si="1462"/>
        <v>0.0003345273907</v>
      </c>
      <c r="R495" s="1">
        <f t="shared" ref="R495:T495" si="1463">1/(1+EXP(-O495))</f>
        <v>0.5002618248</v>
      </c>
      <c r="S495" s="1">
        <f t="shared" si="1463"/>
        <v>0.5001669757</v>
      </c>
      <c r="T495" s="1">
        <f t="shared" si="1463"/>
        <v>0.5000836318</v>
      </c>
      <c r="U495" s="1">
        <f t="shared" si="11"/>
        <v>2.475230698</v>
      </c>
      <c r="V495" s="1">
        <f t="shared" si="12"/>
        <v>0.2258442165</v>
      </c>
      <c r="W495" s="1">
        <f t="shared" si="13"/>
        <v>2</v>
      </c>
      <c r="X495" s="1">
        <f t="shared" si="14"/>
        <v>0</v>
      </c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ht="15.75" customHeight="1">
      <c r="A496" s="1"/>
      <c r="B496" s="1">
        <v>4.0</v>
      </c>
      <c r="C496" s="1">
        <v>1.0</v>
      </c>
      <c r="D496" s="1">
        <v>1.0</v>
      </c>
      <c r="E496" s="1">
        <v>1.0</v>
      </c>
      <c r="F496" s="1">
        <v>2.0</v>
      </c>
      <c r="G496" s="3">
        <v>1.0</v>
      </c>
      <c r="H496" s="1">
        <v>3.0</v>
      </c>
      <c r="I496" s="1">
        <v>1.0</v>
      </c>
      <c r="J496" s="1">
        <v>1.0</v>
      </c>
      <c r="K496" s="1">
        <v>2.0</v>
      </c>
      <c r="L496" s="1">
        <f t="shared" ref="L496:N496" si="1464">SUMPRODUCT($B496:$J496, INDEX($B$2:$J$4, L$10, 0)) + INDEX($K$2:$K$4, L$10,1)</f>
        <v>8.033354877</v>
      </c>
      <c r="M496" s="1">
        <f t="shared" si="1464"/>
        <v>7.588037275</v>
      </c>
      <c r="N496" s="1">
        <f t="shared" si="1464"/>
        <v>7.716317977</v>
      </c>
      <c r="O496" s="1">
        <f t="shared" ref="O496:Q496" si="1465">(L496-L$7)/(L$6-L$7)</f>
        <v>0.002853900385</v>
      </c>
      <c r="P496" s="1">
        <f t="shared" si="1465"/>
        <v>0.001001860633</v>
      </c>
      <c r="Q496" s="1">
        <f t="shared" si="1465"/>
        <v>0.0005018251515</v>
      </c>
      <c r="R496" s="1">
        <f t="shared" ref="R496:T496" si="1466">1/(1+EXP(-O496))</f>
        <v>0.5007134746</v>
      </c>
      <c r="S496" s="1">
        <f t="shared" si="1466"/>
        <v>0.5002504651</v>
      </c>
      <c r="T496" s="1">
        <f t="shared" si="1466"/>
        <v>0.5001254563</v>
      </c>
      <c r="U496" s="1">
        <f t="shared" si="11"/>
        <v>2.476155104</v>
      </c>
      <c r="V496" s="1">
        <f t="shared" si="12"/>
        <v>0.2267236831</v>
      </c>
      <c r="W496" s="1">
        <f t="shared" si="13"/>
        <v>2</v>
      </c>
      <c r="X496" s="1">
        <f t="shared" si="14"/>
        <v>0</v>
      </c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ht="15.75" customHeight="1">
      <c r="A497" s="1"/>
      <c r="B497" s="1">
        <v>4.0</v>
      </c>
      <c r="C497" s="1">
        <v>10.0</v>
      </c>
      <c r="D497" s="1">
        <v>4.0</v>
      </c>
      <c r="E497" s="1">
        <v>7.0</v>
      </c>
      <c r="F497" s="1">
        <v>3.0</v>
      </c>
      <c r="G497" s="3">
        <v>10.0</v>
      </c>
      <c r="H497" s="1">
        <v>9.0</v>
      </c>
      <c r="I497" s="1">
        <v>10.0</v>
      </c>
      <c r="J497" s="1">
        <v>1.0</v>
      </c>
      <c r="K497" s="1">
        <v>4.0</v>
      </c>
      <c r="L497" s="1">
        <f t="shared" ref="L497:N497" si="1467">SUMPRODUCT($B497:$J497, INDEX($B$2:$J$4, L$10, 0)) + INDEX($K$2:$K$4, L$10,1)</f>
        <v>59.25664112</v>
      </c>
      <c r="M497" s="1">
        <f t="shared" si="1467"/>
        <v>58.18234718</v>
      </c>
      <c r="N497" s="1">
        <f t="shared" si="1467"/>
        <v>57.65968534</v>
      </c>
      <c r="O497" s="1">
        <f t="shared" ref="O497:Q497" si="1468">(L497-L$7)/(L$6-L$7)</f>
        <v>0.8404741735</v>
      </c>
      <c r="P497" s="1">
        <f t="shared" si="1468"/>
        <v>0.8673767376</v>
      </c>
      <c r="Q497" s="1">
        <f t="shared" si="1468"/>
        <v>0.8450771649</v>
      </c>
      <c r="R497" s="1">
        <f t="shared" ref="R497:T497" si="1469">1/(1+EXP(-O497))</f>
        <v>0.698565073</v>
      </c>
      <c r="S497" s="1">
        <f t="shared" si="1469"/>
        <v>0.7041995586</v>
      </c>
      <c r="T497" s="1">
        <f t="shared" si="1469"/>
        <v>0.6995334469</v>
      </c>
      <c r="U497" s="1">
        <f t="shared" si="11"/>
        <v>3.468012247</v>
      </c>
      <c r="V497" s="1">
        <f t="shared" si="12"/>
        <v>0.283010969</v>
      </c>
      <c r="W497" s="1">
        <f t="shared" si="13"/>
        <v>4</v>
      </c>
      <c r="X497" s="1">
        <f t="shared" si="14"/>
        <v>0</v>
      </c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ht="15.75" customHeight="1">
      <c r="A498" s="1"/>
      <c r="B498" s="1">
        <v>6.0</v>
      </c>
      <c r="C498" s="1">
        <v>10.0</v>
      </c>
      <c r="D498" s="1">
        <v>10.0</v>
      </c>
      <c r="E498" s="1">
        <v>10.0</v>
      </c>
      <c r="F498" s="1">
        <v>4.0</v>
      </c>
      <c r="G498" s="3">
        <v>10.0</v>
      </c>
      <c r="H498" s="1">
        <v>7.0</v>
      </c>
      <c r="I498" s="1">
        <v>10.0</v>
      </c>
      <c r="J498" s="1">
        <v>1.0</v>
      </c>
      <c r="K498" s="1">
        <v>4.0</v>
      </c>
      <c r="L498" s="1">
        <f t="shared" ref="L498:N498" si="1470">SUMPRODUCT($B498:$J498, INDEX($B$2:$J$4, L$10, 0)) + INDEX($K$2:$K$4, L$10,1)</f>
        <v>68.66606006</v>
      </c>
      <c r="M498" s="1">
        <f t="shared" si="1470"/>
        <v>65.84923197</v>
      </c>
      <c r="N498" s="1">
        <f t="shared" si="1470"/>
        <v>66.78136987</v>
      </c>
      <c r="O498" s="1">
        <f t="shared" ref="O498:Q498" si="1471">(L498-L$7)/(L$6-L$7)</f>
        <v>0.9943401324</v>
      </c>
      <c r="P498" s="1">
        <f t="shared" si="1471"/>
        <v>0.9986641567</v>
      </c>
      <c r="Q498" s="1">
        <f t="shared" si="1471"/>
        <v>0.9993308771</v>
      </c>
      <c r="R498" s="1">
        <f t="shared" ref="R498:T498" si="1472">1/(1+EXP(-O498))</f>
        <v>0.7299443269</v>
      </c>
      <c r="S498" s="1">
        <f t="shared" si="1472"/>
        <v>0.7307958548</v>
      </c>
      <c r="T498" s="1">
        <f t="shared" si="1472"/>
        <v>0.7309270007</v>
      </c>
      <c r="U498" s="1">
        <f t="shared" si="11"/>
        <v>3.615435787</v>
      </c>
      <c r="V498" s="1">
        <f t="shared" si="12"/>
        <v>0.1478896341</v>
      </c>
      <c r="W498" s="1">
        <f t="shared" si="13"/>
        <v>4</v>
      </c>
      <c r="X498" s="1">
        <f t="shared" si="14"/>
        <v>0</v>
      </c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ht="15.75" customHeight="1">
      <c r="A499" s="1"/>
      <c r="B499" s="1">
        <v>5.0</v>
      </c>
      <c r="C499" s="1">
        <v>1.0</v>
      </c>
      <c r="D499" s="1">
        <v>1.0</v>
      </c>
      <c r="E499" s="1">
        <v>1.0</v>
      </c>
      <c r="F499" s="1">
        <v>2.0</v>
      </c>
      <c r="G499" s="3">
        <v>1.0</v>
      </c>
      <c r="H499" s="1">
        <v>2.0</v>
      </c>
      <c r="I499" s="1">
        <v>1.0</v>
      </c>
      <c r="J499" s="1">
        <v>1.0</v>
      </c>
      <c r="K499" s="1">
        <v>2.0</v>
      </c>
      <c r="L499" s="1">
        <f t="shared" ref="L499:N499" si="1473">SUMPRODUCT($B499:$J499, INDEX($B$2:$J$4, L$10, 0)) + INDEX($K$2:$K$4, L$10,1)</f>
        <v>8.016938721</v>
      </c>
      <c r="M499" s="1">
        <f t="shared" si="1473"/>
        <v>7.607539277</v>
      </c>
      <c r="N499" s="1">
        <f t="shared" si="1473"/>
        <v>7.726202954</v>
      </c>
      <c r="O499" s="1">
        <f t="shared" ref="O499:Q499" si="1474">(L499-L$7)/(L$6-L$7)</f>
        <v>0.002585457921</v>
      </c>
      <c r="P499" s="1">
        <f t="shared" si="1474"/>
        <v>0.001335812098</v>
      </c>
      <c r="Q499" s="1">
        <f t="shared" si="1474"/>
        <v>0.0006689866505</v>
      </c>
      <c r="R499" s="1">
        <f t="shared" ref="R499:T499" si="1475">1/(1+EXP(-O499))</f>
        <v>0.5006463641</v>
      </c>
      <c r="S499" s="1">
        <f t="shared" si="1475"/>
        <v>0.500333953</v>
      </c>
      <c r="T499" s="1">
        <f t="shared" si="1475"/>
        <v>0.5001672467</v>
      </c>
      <c r="U499" s="1">
        <f t="shared" si="11"/>
        <v>2.476258331</v>
      </c>
      <c r="V499" s="1">
        <f t="shared" si="12"/>
        <v>0.2268219982</v>
      </c>
      <c r="W499" s="1">
        <f t="shared" si="13"/>
        <v>2</v>
      </c>
      <c r="X499" s="1">
        <f t="shared" si="14"/>
        <v>0</v>
      </c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ht="15.75" customHeight="1">
      <c r="A500" s="1"/>
      <c r="B500" s="1">
        <v>4.0</v>
      </c>
      <c r="C500" s="1">
        <v>1.0</v>
      </c>
      <c r="D500" s="1">
        <v>2.0</v>
      </c>
      <c r="E500" s="1">
        <v>1.0</v>
      </c>
      <c r="F500" s="1">
        <v>2.0</v>
      </c>
      <c r="G500" s="3">
        <v>1.0</v>
      </c>
      <c r="H500" s="1">
        <v>2.0</v>
      </c>
      <c r="I500" s="1">
        <v>1.0</v>
      </c>
      <c r="J500" s="1">
        <v>1.0</v>
      </c>
      <c r="K500" s="1">
        <v>2.0</v>
      </c>
      <c r="L500" s="1">
        <f t="shared" ref="L500:N500" si="1476">SUMPRODUCT($B500:$J500, INDEX($B$2:$J$4, L$10, 0)) + INDEX($K$2:$K$4, L$10,1)</f>
        <v>9.548352827</v>
      </c>
      <c r="M500" s="1">
        <f t="shared" si="1476"/>
        <v>8.85935068</v>
      </c>
      <c r="N500" s="1">
        <f t="shared" si="1476"/>
        <v>9.23190058</v>
      </c>
      <c r="O500" s="1">
        <f t="shared" ref="O500:Q500" si="1477">(L500-L$7)/(L$6-L$7)</f>
        <v>0.0276276525</v>
      </c>
      <c r="P500" s="1">
        <f t="shared" si="1477"/>
        <v>0.02277177895</v>
      </c>
      <c r="Q500" s="1">
        <f t="shared" si="1477"/>
        <v>0.02613132831</v>
      </c>
      <c r="R500" s="1">
        <f t="shared" ref="R500:T500" si="1478">1/(1+EXP(-O500))</f>
        <v>0.5069064738</v>
      </c>
      <c r="S500" s="1">
        <f t="shared" si="1478"/>
        <v>0.5056926987</v>
      </c>
      <c r="T500" s="1">
        <f t="shared" si="1478"/>
        <v>0.5065324604</v>
      </c>
      <c r="U500" s="1">
        <f t="shared" si="11"/>
        <v>2.505931725</v>
      </c>
      <c r="V500" s="1">
        <f t="shared" si="12"/>
        <v>0.2559669101</v>
      </c>
      <c r="W500" s="1">
        <f t="shared" si="13"/>
        <v>2</v>
      </c>
      <c r="X500" s="1">
        <f t="shared" si="14"/>
        <v>0</v>
      </c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  <row r="501" ht="15.75" customHeight="1">
      <c r="A501" s="1"/>
      <c r="B501" s="1">
        <v>1.0</v>
      </c>
      <c r="C501" s="1">
        <v>1.0</v>
      </c>
      <c r="D501" s="1">
        <v>1.0</v>
      </c>
      <c r="E501" s="1">
        <v>1.0</v>
      </c>
      <c r="F501" s="1">
        <v>2.0</v>
      </c>
      <c r="G501" s="3">
        <v>1.0</v>
      </c>
      <c r="H501" s="1">
        <v>1.0</v>
      </c>
      <c r="I501" s="1">
        <v>1.0</v>
      </c>
      <c r="J501" s="1">
        <v>1.0</v>
      </c>
      <c r="K501" s="1">
        <v>2.0</v>
      </c>
      <c r="L501" s="1">
        <f t="shared" ref="L501:N501" si="1479">SUMPRODUCT($B501:$J501, INDEX($B$2:$J$4, L$10, 0)) + INDEX($K$2:$K$4, L$10,1)</f>
        <v>7.921139731</v>
      </c>
      <c r="M501" s="1">
        <f t="shared" si="1479"/>
        <v>7.529531272</v>
      </c>
      <c r="N501" s="1">
        <f t="shared" si="1479"/>
        <v>7.6866429</v>
      </c>
      <c r="O501" s="1">
        <f t="shared" ref="O501:Q501" si="1480">(L501-L$7)/(L$6-L$7)</f>
        <v>0.001018920854</v>
      </c>
      <c r="P501" s="1">
        <f t="shared" si="1480"/>
        <v>0.000000006234892308</v>
      </c>
      <c r="Q501" s="1">
        <f t="shared" si="1480"/>
        <v>0</v>
      </c>
      <c r="R501" s="1">
        <f t="shared" ref="R501:T501" si="1481">1/(1+EXP(-O501))</f>
        <v>0.5002547302</v>
      </c>
      <c r="S501" s="1">
        <f t="shared" si="1481"/>
        <v>0.5000000016</v>
      </c>
      <c r="T501" s="1">
        <f t="shared" si="1481"/>
        <v>0.5</v>
      </c>
      <c r="U501" s="1">
        <f t="shared" si="11"/>
        <v>2.474800478</v>
      </c>
      <c r="V501" s="1">
        <f t="shared" si="12"/>
        <v>0.2254354935</v>
      </c>
      <c r="W501" s="1">
        <f t="shared" si="13"/>
        <v>2</v>
      </c>
      <c r="X501" s="1">
        <f t="shared" si="14"/>
        <v>0</v>
      </c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</row>
    <row r="502" ht="15.75" customHeight="1">
      <c r="A502" s="1"/>
      <c r="B502" s="1">
        <v>5.0</v>
      </c>
      <c r="C502" s="1">
        <v>10.0</v>
      </c>
      <c r="D502" s="1">
        <v>10.0</v>
      </c>
      <c r="E502" s="1">
        <v>5.0</v>
      </c>
      <c r="F502" s="1">
        <v>4.0</v>
      </c>
      <c r="G502" s="3">
        <v>5.0</v>
      </c>
      <c r="H502" s="1">
        <v>4.0</v>
      </c>
      <c r="I502" s="1">
        <v>4.0</v>
      </c>
      <c r="J502" s="1">
        <v>1.0</v>
      </c>
      <c r="K502" s="1">
        <v>4.0</v>
      </c>
      <c r="L502" s="1">
        <f t="shared" ref="L502:N502" si="1482">SUMPRODUCT($B502:$J502, INDEX($B$2:$J$4, L$10, 0)) + INDEX($K$2:$K$4, L$10,1)</f>
        <v>50.4560575</v>
      </c>
      <c r="M502" s="1">
        <f t="shared" si="1482"/>
        <v>47.79270978</v>
      </c>
      <c r="N502" s="1">
        <f t="shared" si="1482"/>
        <v>48.27913279</v>
      </c>
      <c r="O502" s="1">
        <f t="shared" ref="O502:Q502" si="1483">(L502-L$7)/(L$6-L$7)</f>
        <v>0.6965640928</v>
      </c>
      <c r="P502" s="1">
        <f t="shared" si="1483"/>
        <v>0.6894650151</v>
      </c>
      <c r="Q502" s="1">
        <f t="shared" si="1483"/>
        <v>0.6864458236</v>
      </c>
      <c r="R502" s="1">
        <f t="shared" ref="R502:T502" si="1484">1/(1+EXP(-O502))</f>
        <v>0.6674255476</v>
      </c>
      <c r="S502" s="1">
        <f t="shared" si="1484"/>
        <v>0.6658479061</v>
      </c>
      <c r="T502" s="1">
        <f t="shared" si="1484"/>
        <v>0.6651758167</v>
      </c>
      <c r="U502" s="1">
        <f t="shared" si="11"/>
        <v>3.296488186</v>
      </c>
      <c r="V502" s="1">
        <f t="shared" si="12"/>
        <v>0.4949288727</v>
      </c>
      <c r="W502" s="1">
        <f t="shared" si="13"/>
        <v>4</v>
      </c>
      <c r="X502" s="1">
        <f t="shared" si="14"/>
        <v>0</v>
      </c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</row>
    <row r="503" ht="15.75" customHeight="1">
      <c r="A503" s="1"/>
      <c r="B503" s="1">
        <v>3.0</v>
      </c>
      <c r="C503" s="1">
        <v>1.0</v>
      </c>
      <c r="D503" s="1">
        <v>1.0</v>
      </c>
      <c r="E503" s="1">
        <v>1.0</v>
      </c>
      <c r="F503" s="1">
        <v>2.0</v>
      </c>
      <c r="G503" s="3">
        <v>2.0</v>
      </c>
      <c r="H503" s="1">
        <v>3.0</v>
      </c>
      <c r="I503" s="1">
        <v>1.0</v>
      </c>
      <c r="J503" s="1">
        <v>1.0</v>
      </c>
      <c r="K503" s="1">
        <v>2.0</v>
      </c>
      <c r="L503" s="1">
        <f t="shared" ref="L503:N503" si="1485">SUMPRODUCT($B503:$J503, INDEX($B$2:$J$4, L$10, 0)) + INDEX($K$2:$K$4, L$10,1)</f>
        <v>11.26331916</v>
      </c>
      <c r="M503" s="1">
        <f t="shared" si="1485"/>
        <v>10.82458886</v>
      </c>
      <c r="N503" s="1">
        <f t="shared" si="1485"/>
        <v>11.04161238</v>
      </c>
      <c r="O503" s="1">
        <f t="shared" ref="O503:Q503" si="1486">(L503-L$7)/(L$6-L$7)</f>
        <v>0.05567135446</v>
      </c>
      <c r="P503" s="1">
        <f t="shared" si="1486"/>
        <v>0.05642443649</v>
      </c>
      <c r="Q503" s="1">
        <f t="shared" si="1486"/>
        <v>0.05673475046</v>
      </c>
      <c r="R503" s="1">
        <f t="shared" ref="R503:T503" si="1487">1/(1+EXP(-O503))</f>
        <v>0.5139142451</v>
      </c>
      <c r="S503" s="1">
        <f t="shared" si="1487"/>
        <v>0.5141023678</v>
      </c>
      <c r="T503" s="1">
        <f t="shared" si="1487"/>
        <v>0.5141798843</v>
      </c>
      <c r="U503" s="1">
        <f t="shared" si="11"/>
        <v>2.544022265</v>
      </c>
      <c r="V503" s="1">
        <f t="shared" si="12"/>
        <v>0.2959602251</v>
      </c>
      <c r="W503" s="1">
        <f t="shared" si="13"/>
        <v>2</v>
      </c>
      <c r="X503" s="1">
        <f t="shared" si="14"/>
        <v>0</v>
      </c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</row>
    <row r="504" ht="15.75" customHeight="1">
      <c r="A504" s="1"/>
      <c r="B504" s="1">
        <v>8.0</v>
      </c>
      <c r="C504" s="1">
        <v>10.0</v>
      </c>
      <c r="D504" s="1">
        <v>10.0</v>
      </c>
      <c r="E504" s="1">
        <v>1.0</v>
      </c>
      <c r="F504" s="1">
        <v>3.0</v>
      </c>
      <c r="G504" s="3">
        <v>6.0</v>
      </c>
      <c r="H504" s="1">
        <v>3.0</v>
      </c>
      <c r="I504" s="1">
        <v>9.0</v>
      </c>
      <c r="J504" s="1">
        <v>1.0</v>
      </c>
      <c r="K504" s="1">
        <v>4.0</v>
      </c>
      <c r="L504" s="1">
        <f t="shared" ref="L504:N504" si="1488">SUMPRODUCT($B504:$J504, INDEX($B$2:$J$4, L$10, 0)) + INDEX($K$2:$K$4, L$10,1)</f>
        <v>54.94975883</v>
      </c>
      <c r="M504" s="1">
        <f t="shared" si="1488"/>
        <v>52.57122923</v>
      </c>
      <c r="N504" s="1">
        <f t="shared" si="1488"/>
        <v>53.13480917</v>
      </c>
      <c r="O504" s="1">
        <f t="shared" ref="O504:Q504" si="1489">(L504-L$7)/(L$6-L$7)</f>
        <v>0.7700465968</v>
      </c>
      <c r="P504" s="1">
        <f t="shared" si="1489"/>
        <v>0.7712921852</v>
      </c>
      <c r="Q504" s="1">
        <f t="shared" si="1489"/>
        <v>0.7685585194</v>
      </c>
      <c r="R504" s="1">
        <f t="shared" ref="R504:T504" si="1490">1/(1+EXP(-O504))</f>
        <v>0.6835309735</v>
      </c>
      <c r="S504" s="1">
        <f t="shared" si="1490"/>
        <v>0.683800353</v>
      </c>
      <c r="T504" s="1">
        <f t="shared" si="1490"/>
        <v>0.6832089901</v>
      </c>
      <c r="U504" s="1">
        <f t="shared" si="11"/>
        <v>3.382546155</v>
      </c>
      <c r="V504" s="1">
        <f t="shared" si="12"/>
        <v>0.3812492511</v>
      </c>
      <c r="W504" s="1">
        <f t="shared" si="13"/>
        <v>4</v>
      </c>
      <c r="X504" s="1">
        <f t="shared" si="14"/>
        <v>0</v>
      </c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</row>
    <row r="505" ht="15.75" customHeight="1">
      <c r="A505" s="1"/>
      <c r="B505" s="1">
        <v>1.0</v>
      </c>
      <c r="C505" s="1">
        <v>1.0</v>
      </c>
      <c r="D505" s="1">
        <v>2.0</v>
      </c>
      <c r="E505" s="1">
        <v>2.0</v>
      </c>
      <c r="F505" s="1">
        <v>2.0</v>
      </c>
      <c r="G505" s="3">
        <v>1.0</v>
      </c>
      <c r="H505" s="1">
        <v>3.0</v>
      </c>
      <c r="I505" s="1">
        <v>1.0</v>
      </c>
      <c r="J505" s="1">
        <v>1.0</v>
      </c>
      <c r="K505" s="1">
        <v>2.0</v>
      </c>
      <c r="L505" s="1">
        <f t="shared" ref="L505:N505" si="1491">SUMPRODUCT($B505:$J505, INDEX($B$2:$J$4, L$10, 0)) + INDEX($K$2:$K$4, L$10,1)</f>
        <v>9.565081445</v>
      </c>
      <c r="M505" s="1">
        <f t="shared" si="1491"/>
        <v>8.800844676</v>
      </c>
      <c r="N505" s="1">
        <f t="shared" si="1491"/>
        <v>9.205035853</v>
      </c>
      <c r="O505" s="1">
        <f t="shared" ref="O505:Q505" si="1492">(L505-L$7)/(L$6-L$7)</f>
        <v>0.02790120446</v>
      </c>
      <c r="P505" s="1">
        <f t="shared" si="1492"/>
        <v>0.02176992456</v>
      </c>
      <c r="Q505" s="1">
        <f t="shared" si="1492"/>
        <v>0.02567702803</v>
      </c>
      <c r="R505" s="1">
        <f t="shared" ref="R505:T505" si="1493">1/(1+EXP(-O505))</f>
        <v>0.5069748486</v>
      </c>
      <c r="S505" s="1">
        <f t="shared" si="1493"/>
        <v>0.5054422662</v>
      </c>
      <c r="T505" s="1">
        <f t="shared" si="1493"/>
        <v>0.5064189043</v>
      </c>
      <c r="U505" s="1">
        <f t="shared" si="11"/>
        <v>2.505431921</v>
      </c>
      <c r="V505" s="1">
        <f t="shared" si="12"/>
        <v>0.2554614272</v>
      </c>
      <c r="W505" s="1">
        <f t="shared" si="13"/>
        <v>2</v>
      </c>
      <c r="X505" s="1">
        <f t="shared" si="14"/>
        <v>0</v>
      </c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</row>
    <row r="506" ht="15.75" customHeight="1">
      <c r="A506" s="1"/>
      <c r="B506" s="1">
        <v>5.0</v>
      </c>
      <c r="C506" s="1">
        <v>1.0</v>
      </c>
      <c r="D506" s="1">
        <v>1.0</v>
      </c>
      <c r="E506" s="1">
        <v>1.0</v>
      </c>
      <c r="F506" s="1">
        <v>2.0</v>
      </c>
      <c r="G506" s="3">
        <v>2.0</v>
      </c>
      <c r="H506" s="1">
        <v>3.0</v>
      </c>
      <c r="I506" s="1">
        <v>3.0</v>
      </c>
      <c r="J506" s="1">
        <v>1.0</v>
      </c>
      <c r="K506" s="1">
        <v>2.0</v>
      </c>
      <c r="L506" s="1">
        <f t="shared" ref="L506:N506" si="1494">SUMPRODUCT($B506:$J506, INDEX($B$2:$J$4, L$10, 0)) + INDEX($K$2:$K$4, L$10,1)</f>
        <v>11.86431082</v>
      </c>
      <c r="M506" s="1">
        <f t="shared" si="1494"/>
        <v>11.44917695</v>
      </c>
      <c r="N506" s="1">
        <f t="shared" si="1494"/>
        <v>11.6621996</v>
      </c>
      <c r="O506" s="1">
        <f t="shared" ref="O506:Q506" si="1495">(L506-L$7)/(L$6-L$7)</f>
        <v>0.06549897059</v>
      </c>
      <c r="P506" s="1">
        <f t="shared" si="1495"/>
        <v>0.06711985728</v>
      </c>
      <c r="Q506" s="1">
        <f t="shared" si="1495"/>
        <v>0.0672292905</v>
      </c>
      <c r="R506" s="1">
        <f t="shared" ref="R506:T506" si="1496">1/(1+EXP(-O506))</f>
        <v>0.516368891</v>
      </c>
      <c r="S506" s="1">
        <f t="shared" si="1496"/>
        <v>0.5167736676</v>
      </c>
      <c r="T506" s="1">
        <f t="shared" si="1496"/>
        <v>0.516800995</v>
      </c>
      <c r="U506" s="1">
        <f t="shared" si="11"/>
        <v>2.556812913</v>
      </c>
      <c r="V506" s="1">
        <f t="shared" si="12"/>
        <v>0.3100406201</v>
      </c>
      <c r="W506" s="1">
        <f t="shared" si="13"/>
        <v>2</v>
      </c>
      <c r="X506" s="1">
        <f t="shared" si="14"/>
        <v>0</v>
      </c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</row>
    <row r="507" ht="15.75" customHeight="1">
      <c r="A507" s="1"/>
      <c r="B507" s="1">
        <v>2.0</v>
      </c>
      <c r="C507" s="1">
        <v>1.0</v>
      </c>
      <c r="D507" s="1">
        <v>1.0</v>
      </c>
      <c r="E507" s="1">
        <v>1.0</v>
      </c>
      <c r="F507" s="1">
        <v>2.0</v>
      </c>
      <c r="G507" s="3">
        <v>1.0</v>
      </c>
      <c r="H507" s="1">
        <v>1.0</v>
      </c>
      <c r="I507" s="1">
        <v>1.0</v>
      </c>
      <c r="J507" s="1">
        <v>1.0</v>
      </c>
      <c r="K507" s="1">
        <v>2.0</v>
      </c>
      <c r="L507" s="1">
        <f t="shared" ref="L507:N507" si="1497">SUMPRODUCT($B507:$J507, INDEX($B$2:$J$4, L$10, 0)) + INDEX($K$2:$K$4, L$10,1)</f>
        <v>7.937016298</v>
      </c>
      <c r="M507" s="1">
        <f t="shared" si="1497"/>
        <v>7.549033273</v>
      </c>
      <c r="N507" s="1">
        <f t="shared" si="1497"/>
        <v>7.696531906</v>
      </c>
      <c r="O507" s="1">
        <f t="shared" ref="O507:Q507" si="1498">(L507-L$7)/(L$6-L$7)</f>
        <v>0.001278539775</v>
      </c>
      <c r="P507" s="1">
        <f t="shared" si="1498"/>
        <v>0.0003339577008</v>
      </c>
      <c r="Q507" s="1">
        <f t="shared" si="1498"/>
        <v>0.0001672296299</v>
      </c>
      <c r="R507" s="1">
        <f t="shared" ref="R507:T507" si="1499">1/(1+EXP(-O507))</f>
        <v>0.5003196349</v>
      </c>
      <c r="S507" s="1">
        <f t="shared" si="1499"/>
        <v>0.5000834894</v>
      </c>
      <c r="T507" s="1">
        <f t="shared" si="1499"/>
        <v>0.5000418074</v>
      </c>
      <c r="U507" s="1">
        <f t="shared" si="11"/>
        <v>2.475112694</v>
      </c>
      <c r="V507" s="1">
        <f t="shared" si="12"/>
        <v>0.2257320719</v>
      </c>
      <c r="W507" s="1">
        <f t="shared" si="13"/>
        <v>2</v>
      </c>
      <c r="X507" s="1">
        <f t="shared" si="14"/>
        <v>0</v>
      </c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</row>
    <row r="508" ht="15.75" customHeight="1">
      <c r="A508" s="1"/>
      <c r="B508" s="1">
        <v>10.0</v>
      </c>
      <c r="C508" s="1">
        <v>6.0</v>
      </c>
      <c r="D508" s="1">
        <v>4.0</v>
      </c>
      <c r="E508" s="1">
        <v>3.0</v>
      </c>
      <c r="F508" s="1">
        <v>10.0</v>
      </c>
      <c r="G508" s="3">
        <v>10.0</v>
      </c>
      <c r="H508" s="1">
        <v>9.0</v>
      </c>
      <c r="I508" s="1">
        <v>10.0</v>
      </c>
      <c r="J508" s="1">
        <v>1.0</v>
      </c>
      <c r="K508" s="1">
        <v>4.0</v>
      </c>
      <c r="L508" s="1">
        <f t="shared" ref="L508:N508" si="1500">SUMPRODUCT($B508:$J508, INDEX($B$2:$J$4, L$10, 0)) + INDEX($K$2:$K$4, L$10,1)</f>
        <v>53.27811651</v>
      </c>
      <c r="M508" s="1">
        <f t="shared" si="1500"/>
        <v>51.703469</v>
      </c>
      <c r="N508" s="1">
        <f t="shared" si="1500"/>
        <v>52.08138117</v>
      </c>
      <c r="O508" s="1">
        <f t="shared" ref="O508:Q508" si="1501">(L508-L$7)/(L$6-L$7)</f>
        <v>0.7427113436</v>
      </c>
      <c r="P508" s="1">
        <f t="shared" si="1501"/>
        <v>0.7564326947</v>
      </c>
      <c r="Q508" s="1">
        <f t="shared" si="1501"/>
        <v>0.7507443558</v>
      </c>
      <c r="R508" s="1">
        <f t="shared" ref="R508:T508" si="1502">1/(1+EXP(-O508))</f>
        <v>0.6775884677</v>
      </c>
      <c r="S508" s="1">
        <f t="shared" si="1502"/>
        <v>0.6805787326</v>
      </c>
      <c r="T508" s="1">
        <f t="shared" si="1502"/>
        <v>0.6793408689</v>
      </c>
      <c r="U508" s="1">
        <f t="shared" si="11"/>
        <v>3.361186725</v>
      </c>
      <c r="V508" s="1">
        <f t="shared" si="12"/>
        <v>0.4080824</v>
      </c>
      <c r="W508" s="1">
        <f t="shared" si="13"/>
        <v>4</v>
      </c>
      <c r="X508" s="1">
        <f t="shared" si="14"/>
        <v>0</v>
      </c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</row>
    <row r="509" ht="15.75" customHeight="1">
      <c r="A509" s="1"/>
      <c r="B509" s="1">
        <v>2.0</v>
      </c>
      <c r="C509" s="1">
        <v>1.0</v>
      </c>
      <c r="D509" s="1">
        <v>1.0</v>
      </c>
      <c r="E509" s="1">
        <v>1.0</v>
      </c>
      <c r="F509" s="1">
        <v>2.0</v>
      </c>
      <c r="G509" s="3">
        <v>1.0</v>
      </c>
      <c r="H509" s="1">
        <v>3.0</v>
      </c>
      <c r="I509" s="1">
        <v>1.0</v>
      </c>
      <c r="J509" s="1">
        <v>1.0</v>
      </c>
      <c r="K509" s="1">
        <v>2.0</v>
      </c>
      <c r="L509" s="1">
        <f t="shared" ref="L509:N509" si="1503">SUMPRODUCT($B509:$J509, INDEX($B$2:$J$4, L$10, 0)) + INDEX($K$2:$K$4, L$10,1)</f>
        <v>8.001601743</v>
      </c>
      <c r="M509" s="1">
        <f t="shared" si="1503"/>
        <v>7.549033273</v>
      </c>
      <c r="N509" s="1">
        <f t="shared" si="1503"/>
        <v>7.696539964</v>
      </c>
      <c r="O509" s="1">
        <f t="shared" ref="O509:Q509" si="1504">(L509-L$7)/(L$6-L$7)</f>
        <v>0.002334662543</v>
      </c>
      <c r="P509" s="1">
        <f t="shared" si="1504"/>
        <v>0.0003339577008</v>
      </c>
      <c r="Q509" s="1">
        <f t="shared" si="1504"/>
        <v>0.0001673658917</v>
      </c>
      <c r="R509" s="1">
        <f t="shared" ref="R509:T509" si="1505">1/(1+EXP(-O509))</f>
        <v>0.5005836654</v>
      </c>
      <c r="S509" s="1">
        <f t="shared" si="1505"/>
        <v>0.5000834894</v>
      </c>
      <c r="T509" s="1">
        <f t="shared" si="1505"/>
        <v>0.5000418415</v>
      </c>
      <c r="U509" s="1">
        <f t="shared" si="11"/>
        <v>2.475530672</v>
      </c>
      <c r="V509" s="1">
        <f t="shared" si="12"/>
        <v>0.2261294198</v>
      </c>
      <c r="W509" s="1">
        <f t="shared" si="13"/>
        <v>2</v>
      </c>
      <c r="X509" s="1">
        <f t="shared" si="14"/>
        <v>0</v>
      </c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</row>
    <row r="510" ht="15.75" customHeight="1">
      <c r="A510" s="1"/>
      <c r="B510" s="1">
        <v>4.0</v>
      </c>
      <c r="C510" s="1">
        <v>1.0</v>
      </c>
      <c r="D510" s="1">
        <v>1.0</v>
      </c>
      <c r="E510" s="1">
        <v>1.0</v>
      </c>
      <c r="F510" s="1">
        <v>2.0</v>
      </c>
      <c r="G510" s="3">
        <v>1.0</v>
      </c>
      <c r="H510" s="1">
        <v>1.0</v>
      </c>
      <c r="I510" s="1">
        <v>1.0</v>
      </c>
      <c r="J510" s="1">
        <v>1.0</v>
      </c>
      <c r="K510" s="1">
        <v>2.0</v>
      </c>
      <c r="L510" s="1">
        <f t="shared" ref="L510:N510" si="1506">SUMPRODUCT($B510:$J510, INDEX($B$2:$J$4, L$10, 0)) + INDEX($K$2:$K$4, L$10,1)</f>
        <v>7.968769431</v>
      </c>
      <c r="M510" s="1">
        <f t="shared" si="1506"/>
        <v>7.588037275</v>
      </c>
      <c r="N510" s="1">
        <f t="shared" si="1506"/>
        <v>7.716309919</v>
      </c>
      <c r="O510" s="1">
        <f t="shared" ref="O510:Q510" si="1507">(L510-L$7)/(L$6-L$7)</f>
        <v>0.001797777616</v>
      </c>
      <c r="P510" s="1">
        <f t="shared" si="1507"/>
        <v>0.001001860633</v>
      </c>
      <c r="Q510" s="1">
        <f t="shared" si="1507"/>
        <v>0.0005016888897</v>
      </c>
      <c r="R510" s="1">
        <f t="shared" ref="R510:T510" si="1508">1/(1+EXP(-O510))</f>
        <v>0.5004494443</v>
      </c>
      <c r="S510" s="1">
        <f t="shared" si="1508"/>
        <v>0.5002504651</v>
      </c>
      <c r="T510" s="1">
        <f t="shared" si="1508"/>
        <v>0.5001254222</v>
      </c>
      <c r="U510" s="1">
        <f t="shared" si="11"/>
        <v>2.475737126</v>
      </c>
      <c r="V510" s="1">
        <f t="shared" si="12"/>
        <v>0.2263258134</v>
      </c>
      <c r="W510" s="1">
        <f t="shared" si="13"/>
        <v>2</v>
      </c>
      <c r="X510" s="1">
        <f t="shared" si="14"/>
        <v>0</v>
      </c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</row>
    <row r="511" ht="15.75" customHeight="1">
      <c r="A511" s="1"/>
      <c r="B511" s="7">
        <v>5.0</v>
      </c>
      <c r="C511" s="7">
        <v>1.0</v>
      </c>
      <c r="D511" s="7">
        <v>2.0</v>
      </c>
      <c r="E511" s="7">
        <v>1.0</v>
      </c>
      <c r="F511" s="7">
        <v>2.0</v>
      </c>
      <c r="G511" s="8">
        <v>1.0</v>
      </c>
      <c r="H511" s="7">
        <v>1.0</v>
      </c>
      <c r="I511" s="7">
        <v>1.0</v>
      </c>
      <c r="J511" s="7">
        <v>1.0</v>
      </c>
      <c r="K511" s="7">
        <v>2.0</v>
      </c>
      <c r="L511" s="1">
        <f t="shared" ref="L511:N511" si="1509">SUMPRODUCT($B511:$J511, INDEX($B$2:$J$4, L$10, 0)) + INDEX($K$2:$K$4, L$10,1)</f>
        <v>9.531936671</v>
      </c>
      <c r="M511" s="1">
        <f t="shared" si="1509"/>
        <v>8.878852681</v>
      </c>
      <c r="N511" s="1">
        <f t="shared" si="1509"/>
        <v>9.241785557</v>
      </c>
      <c r="O511" s="1">
        <f t="shared" ref="O511:Q511" si="1510">(L511-L$7)/(L$6-L$7)</f>
        <v>0.02735921004</v>
      </c>
      <c r="P511" s="1">
        <f t="shared" si="1510"/>
        <v>0.02310573042</v>
      </c>
      <c r="Q511" s="1">
        <f t="shared" si="1510"/>
        <v>0.02629848981</v>
      </c>
      <c r="R511" s="1">
        <f t="shared" ref="R511:T511" si="1511">1/(1+EXP(-O511))</f>
        <v>0.5068393759</v>
      </c>
      <c r="S511" s="1">
        <f t="shared" si="1511"/>
        <v>0.5057761756</v>
      </c>
      <c r="T511" s="1">
        <f t="shared" si="1511"/>
        <v>0.5065742436</v>
      </c>
      <c r="U511" s="1">
        <f t="shared" si="11"/>
        <v>2.506034942</v>
      </c>
      <c r="V511" s="1">
        <f t="shared" si="12"/>
        <v>0.2560713622</v>
      </c>
      <c r="W511" s="1">
        <f t="shared" si="13"/>
        <v>2</v>
      </c>
      <c r="X511" s="1">
        <f t="shared" si="14"/>
        <v>0</v>
      </c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</row>
    <row r="512" ht="15.75" customHeight="1">
      <c r="A512" s="1"/>
      <c r="B512" s="7">
        <v>3.0</v>
      </c>
      <c r="C512" s="7">
        <v>1.0</v>
      </c>
      <c r="D512" s="7">
        <v>1.0</v>
      </c>
      <c r="E512" s="7">
        <v>1.0</v>
      </c>
      <c r="F512" s="7">
        <v>1.0</v>
      </c>
      <c r="G512" s="8">
        <v>1.0</v>
      </c>
      <c r="H512" s="7">
        <v>1.0</v>
      </c>
      <c r="I512" s="7">
        <v>1.0</v>
      </c>
      <c r="J512" s="7">
        <v>1.0</v>
      </c>
      <c r="K512" s="7">
        <v>2.0</v>
      </c>
      <c r="L512" s="1">
        <f t="shared" ref="L512:N512" si="1512">SUMPRODUCT($B512:$J512, INDEX($B$2:$J$4, L$10, 0)) + INDEX($K$2:$K$4, L$10,1)</f>
        <v>7.89058244</v>
      </c>
      <c r="M512" s="1">
        <f t="shared" si="1512"/>
        <v>7.56853491</v>
      </c>
      <c r="N512" s="1">
        <f t="shared" si="1512"/>
        <v>7.706420913</v>
      </c>
      <c r="O512" s="1">
        <f t="shared" ref="O512:Q512" si="1513">(L512-L$7)/(L$6-L$7)</f>
        <v>0.0005192378418</v>
      </c>
      <c r="P512" s="1">
        <f t="shared" si="1513"/>
        <v>0.0006679029318</v>
      </c>
      <c r="Q512" s="1">
        <f t="shared" si="1513"/>
        <v>0.0003344592598</v>
      </c>
      <c r="R512" s="1">
        <f t="shared" ref="R512:T512" si="1514">1/(1+EXP(-O512))</f>
        <v>0.5001298095</v>
      </c>
      <c r="S512" s="1">
        <f t="shared" si="1514"/>
        <v>0.5001669757</v>
      </c>
      <c r="T512" s="1">
        <f t="shared" si="1514"/>
        <v>0.5000836148</v>
      </c>
      <c r="U512" s="1">
        <f t="shared" si="11"/>
        <v>2.475021709</v>
      </c>
      <c r="V512" s="1">
        <f t="shared" si="12"/>
        <v>0.2256456242</v>
      </c>
      <c r="W512" s="1">
        <f t="shared" si="13"/>
        <v>2</v>
      </c>
      <c r="X512" s="1">
        <f t="shared" si="14"/>
        <v>0</v>
      </c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</row>
    <row r="513" ht="15.75" customHeight="1">
      <c r="A513" s="1"/>
      <c r="B513" s="7">
        <v>4.0</v>
      </c>
      <c r="C513" s="7">
        <v>1.0</v>
      </c>
      <c r="D513" s="7">
        <v>3.0</v>
      </c>
      <c r="E513" s="7">
        <v>1.0</v>
      </c>
      <c r="F513" s="7">
        <v>2.0</v>
      </c>
      <c r="G513" s="8">
        <v>1.0</v>
      </c>
      <c r="H513" s="7">
        <v>2.0</v>
      </c>
      <c r="I513" s="7">
        <v>1.0</v>
      </c>
      <c r="J513" s="7">
        <v>1.0</v>
      </c>
      <c r="K513" s="7">
        <v>2.0</v>
      </c>
      <c r="L513" s="1">
        <f t="shared" ref="L513:N513" si="1515">SUMPRODUCT($B513:$J513, INDEX($B$2:$J$4, L$10, 0)) + INDEX($K$2:$K$4, L$10,1)</f>
        <v>11.0956435</v>
      </c>
      <c r="M513" s="1">
        <f t="shared" si="1515"/>
        <v>10.13066408</v>
      </c>
      <c r="N513" s="1">
        <f t="shared" si="1515"/>
        <v>10.74748721</v>
      </c>
      <c r="O513" s="1">
        <f t="shared" ref="O513:Q513" si="1516">(L513-L$7)/(L$6-L$7)</f>
        <v>0.052929466</v>
      </c>
      <c r="P513" s="1">
        <f t="shared" si="1516"/>
        <v>0.04454169728</v>
      </c>
      <c r="Q513" s="1">
        <f t="shared" si="1516"/>
        <v>0.05176089961</v>
      </c>
      <c r="R513" s="1">
        <f t="shared" ref="R513:T513" si="1517">1/(1+EXP(-O513))</f>
        <v>0.5132292781</v>
      </c>
      <c r="S513" s="1">
        <f t="shared" si="1517"/>
        <v>0.5111335837</v>
      </c>
      <c r="T513" s="1">
        <f t="shared" si="1517"/>
        <v>0.5129373366</v>
      </c>
      <c r="U513" s="1">
        <f t="shared" si="11"/>
        <v>2.53590793</v>
      </c>
      <c r="V513" s="1">
        <f t="shared" si="12"/>
        <v>0.2871973094</v>
      </c>
      <c r="W513" s="1">
        <f t="shared" si="13"/>
        <v>2</v>
      </c>
      <c r="X513" s="1">
        <f t="shared" si="14"/>
        <v>0</v>
      </c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</row>
    <row r="514" ht="15.75" customHeight="1">
      <c r="A514" s="1"/>
      <c r="B514" s="7">
        <v>3.0</v>
      </c>
      <c r="C514" s="7">
        <v>1.0</v>
      </c>
      <c r="D514" s="7">
        <v>1.0</v>
      </c>
      <c r="E514" s="7">
        <v>3.0</v>
      </c>
      <c r="F514" s="7">
        <v>2.0</v>
      </c>
      <c r="G514" s="8">
        <v>1.0</v>
      </c>
      <c r="H514" s="7">
        <v>2.0</v>
      </c>
      <c r="I514" s="7">
        <v>1.0</v>
      </c>
      <c r="J514" s="7">
        <v>1.0</v>
      </c>
      <c r="K514" s="7">
        <v>2.0</v>
      </c>
      <c r="L514" s="1">
        <f t="shared" ref="L514:N514" si="1518">SUMPRODUCT($B514:$J514, INDEX($B$2:$J$4, L$10, 0)) + INDEX($K$2:$K$4, L$10,1)</f>
        <v>8.04931678</v>
      </c>
      <c r="M514" s="1">
        <f t="shared" si="1518"/>
        <v>7.568535274</v>
      </c>
      <c r="N514" s="1">
        <f t="shared" si="1518"/>
        <v>7.712021468</v>
      </c>
      <c r="O514" s="1">
        <f t="shared" ref="O514:Q514" si="1519">(L514-L$7)/(L$6-L$7)</f>
        <v>0.003114914747</v>
      </c>
      <c r="P514" s="1">
        <f t="shared" si="1519"/>
        <v>0.0006679091667</v>
      </c>
      <c r="Q514" s="1">
        <f t="shared" si="1519"/>
        <v>0.0004291683501</v>
      </c>
      <c r="R514" s="1">
        <f t="shared" ref="R514:T514" si="1520">1/(1+EXP(-O514))</f>
        <v>0.5007787281</v>
      </c>
      <c r="S514" s="1">
        <f t="shared" si="1520"/>
        <v>0.5001669773</v>
      </c>
      <c r="T514" s="1">
        <f t="shared" si="1520"/>
        <v>0.5001072921</v>
      </c>
      <c r="U514" s="1">
        <f t="shared" si="11"/>
        <v>2.476089485</v>
      </c>
      <c r="V514" s="1">
        <f t="shared" si="12"/>
        <v>0.2266611981</v>
      </c>
      <c r="W514" s="1">
        <f t="shared" si="13"/>
        <v>2</v>
      </c>
      <c r="X514" s="1">
        <f t="shared" si="14"/>
        <v>0</v>
      </c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</row>
    <row r="515" ht="15.75" customHeight="1">
      <c r="A515" s="1"/>
      <c r="B515" s="7">
        <v>6.0</v>
      </c>
      <c r="C515" s="7">
        <v>1.0</v>
      </c>
      <c r="D515" s="7">
        <v>1.0</v>
      </c>
      <c r="E515" s="7">
        <v>1.0</v>
      </c>
      <c r="F515" s="7">
        <v>2.0</v>
      </c>
      <c r="G515" s="8">
        <v>1.0</v>
      </c>
      <c r="H515" s="7">
        <v>3.0</v>
      </c>
      <c r="I515" s="7">
        <v>1.0</v>
      </c>
      <c r="J515" s="7">
        <v>1.0</v>
      </c>
      <c r="K515" s="7">
        <v>2.0</v>
      </c>
      <c r="L515" s="1">
        <f t="shared" ref="L515:N515" si="1521">SUMPRODUCT($B515:$J515, INDEX($B$2:$J$4, L$10, 0)) + INDEX($K$2:$K$4, L$10,1)</f>
        <v>8.065108011</v>
      </c>
      <c r="M515" s="1">
        <f t="shared" si="1521"/>
        <v>7.627041278</v>
      </c>
      <c r="N515" s="1">
        <f t="shared" si="1521"/>
        <v>7.736095989</v>
      </c>
      <c r="O515" s="1">
        <f t="shared" ref="O515:Q515" si="1522">(L515-L$7)/(L$6-L$7)</f>
        <v>0.003373138227</v>
      </c>
      <c r="P515" s="1">
        <f t="shared" si="1522"/>
        <v>0.001669763564</v>
      </c>
      <c r="Q515" s="1">
        <f t="shared" si="1522"/>
        <v>0.0008362844113</v>
      </c>
      <c r="R515" s="1">
        <f t="shared" ref="R515:T515" si="1523">1/(1+EXP(-O515))</f>
        <v>0.5008432838</v>
      </c>
      <c r="S515" s="1">
        <f t="shared" si="1523"/>
        <v>0.5004174408</v>
      </c>
      <c r="T515" s="1">
        <f t="shared" si="1523"/>
        <v>0.5002090711</v>
      </c>
      <c r="U515" s="1">
        <f t="shared" si="11"/>
        <v>2.476779536</v>
      </c>
      <c r="V515" s="1">
        <f t="shared" si="12"/>
        <v>0.227318726</v>
      </c>
      <c r="W515" s="1">
        <f t="shared" si="13"/>
        <v>2</v>
      </c>
      <c r="X515" s="1">
        <f t="shared" si="14"/>
        <v>0</v>
      </c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</row>
    <row r="516" ht="15.75" customHeight="1">
      <c r="A516" s="1"/>
      <c r="B516" s="7">
        <v>1.0</v>
      </c>
      <c r="C516" s="7">
        <v>1.0</v>
      </c>
      <c r="D516" s="7">
        <v>3.0</v>
      </c>
      <c r="E516" s="7">
        <v>1.0</v>
      </c>
      <c r="F516" s="7">
        <v>2.0</v>
      </c>
      <c r="G516" s="8">
        <v>1.0</v>
      </c>
      <c r="H516" s="7">
        <v>1.0</v>
      </c>
      <c r="I516" s="7">
        <v>1.0</v>
      </c>
      <c r="J516" s="7">
        <v>1.0</v>
      </c>
      <c r="K516" s="7">
        <v>2.0</v>
      </c>
      <c r="L516" s="1">
        <f t="shared" ref="L516:N516" si="1524">SUMPRODUCT($B516:$J516, INDEX($B$2:$J$4, L$10, 0)) + INDEX($K$2:$K$4, L$10,1)</f>
        <v>11.01572108</v>
      </c>
      <c r="M516" s="1">
        <f t="shared" si="1524"/>
        <v>10.07215808</v>
      </c>
      <c r="N516" s="1">
        <f t="shared" si="1524"/>
        <v>10.71781616</v>
      </c>
      <c r="O516" s="1">
        <f t="shared" ref="O516:Q516" si="1525">(L516-L$7)/(L$6-L$7)</f>
        <v>0.05162254786</v>
      </c>
      <c r="P516" s="1">
        <f t="shared" si="1525"/>
        <v>0.04353984288</v>
      </c>
      <c r="Q516" s="1">
        <f t="shared" si="1525"/>
        <v>0.05125914259</v>
      </c>
      <c r="R516" s="1">
        <f t="shared" ref="R516:T516" si="1526">1/(1+EXP(-O516))</f>
        <v>0.5129027717</v>
      </c>
      <c r="S516" s="1">
        <f t="shared" si="1526"/>
        <v>0.5108832415</v>
      </c>
      <c r="T516" s="1">
        <f t="shared" si="1526"/>
        <v>0.5128119805</v>
      </c>
      <c r="U516" s="1">
        <f t="shared" si="11"/>
        <v>2.534762988</v>
      </c>
      <c r="V516" s="1">
        <f t="shared" si="12"/>
        <v>0.2859714534</v>
      </c>
      <c r="W516" s="1">
        <f t="shared" si="13"/>
        <v>2</v>
      </c>
      <c r="X516" s="1">
        <f t="shared" si="14"/>
        <v>0</v>
      </c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</row>
    <row r="517" ht="15.75" customHeight="1">
      <c r="A517" s="1"/>
      <c r="B517" s="7">
        <v>5.0</v>
      </c>
      <c r="C517" s="7">
        <v>6.0</v>
      </c>
      <c r="D517" s="7">
        <v>7.0</v>
      </c>
      <c r="E517" s="7">
        <v>8.0</v>
      </c>
      <c r="F517" s="7">
        <v>8.0</v>
      </c>
      <c r="G517" s="8">
        <v>10.0</v>
      </c>
      <c r="H517" s="7">
        <v>3.0</v>
      </c>
      <c r="I517" s="7">
        <v>10.0</v>
      </c>
      <c r="J517" s="7">
        <v>3.0</v>
      </c>
      <c r="K517" s="7">
        <v>4.0</v>
      </c>
      <c r="L517" s="1">
        <f t="shared" ref="L517:N517" si="1527">SUMPRODUCT($B517:$J517, INDEX($B$2:$J$4, L$10, 0)) + INDEX($K$2:$K$4, L$10,1)</f>
        <v>57.68255649</v>
      </c>
      <c r="M517" s="1">
        <f t="shared" si="1527"/>
        <v>55.41989848</v>
      </c>
      <c r="N517" s="1">
        <f t="shared" si="1527"/>
        <v>56.59266317</v>
      </c>
      <c r="O517" s="1">
        <f t="shared" ref="O517:Q517" si="1528">(L517-L$7)/(L$6-L$7)</f>
        <v>0.8147342161</v>
      </c>
      <c r="P517" s="1">
        <f t="shared" si="1528"/>
        <v>0.8200726799</v>
      </c>
      <c r="Q517" s="1">
        <f t="shared" si="1528"/>
        <v>0.8270331151</v>
      </c>
      <c r="R517" s="1">
        <f t="shared" ref="R517:T517" si="1529">1/(1+EXP(-O517))</f>
        <v>0.6931174185</v>
      </c>
      <c r="S517" s="1">
        <f t="shared" si="1529"/>
        <v>0.6942517678</v>
      </c>
      <c r="T517" s="1">
        <f t="shared" si="1529"/>
        <v>0.6957272324</v>
      </c>
      <c r="U517" s="1">
        <f t="shared" si="11"/>
        <v>3.436446121</v>
      </c>
      <c r="V517" s="1">
        <f t="shared" si="12"/>
        <v>0.3175929751</v>
      </c>
      <c r="W517" s="1">
        <f t="shared" si="13"/>
        <v>4</v>
      </c>
      <c r="X517" s="1">
        <f t="shared" si="14"/>
        <v>0</v>
      </c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</row>
    <row r="518" ht="15.75" customHeight="1">
      <c r="A518" s="1"/>
      <c r="B518" s="7">
        <v>4.0</v>
      </c>
      <c r="C518" s="7">
        <v>1.0</v>
      </c>
      <c r="D518" s="7">
        <v>1.0</v>
      </c>
      <c r="E518" s="7">
        <v>1.0</v>
      </c>
      <c r="F518" s="7">
        <v>2.0</v>
      </c>
      <c r="G518" s="8">
        <v>1.0</v>
      </c>
      <c r="H518" s="7">
        <v>3.0</v>
      </c>
      <c r="I518" s="7">
        <v>1.0</v>
      </c>
      <c r="J518" s="7">
        <v>1.0</v>
      </c>
      <c r="K518" s="7">
        <v>2.0</v>
      </c>
      <c r="L518" s="1">
        <f t="shared" ref="L518:N518" si="1530">SUMPRODUCT($B518:$J518, INDEX($B$2:$J$4, L$10, 0)) + INDEX($K$2:$K$4, L$10,1)</f>
        <v>8.033354877</v>
      </c>
      <c r="M518" s="1">
        <f t="shared" si="1530"/>
        <v>7.588037275</v>
      </c>
      <c r="N518" s="1">
        <f t="shared" si="1530"/>
        <v>7.716317977</v>
      </c>
      <c r="O518" s="1">
        <f t="shared" ref="O518:Q518" si="1531">(L518-L$7)/(L$6-L$7)</f>
        <v>0.002853900385</v>
      </c>
      <c r="P518" s="1">
        <f t="shared" si="1531"/>
        <v>0.001001860633</v>
      </c>
      <c r="Q518" s="1">
        <f t="shared" si="1531"/>
        <v>0.0005018251515</v>
      </c>
      <c r="R518" s="1">
        <f t="shared" ref="R518:T518" si="1532">1/(1+EXP(-O518))</f>
        <v>0.5007134746</v>
      </c>
      <c r="S518" s="1">
        <f t="shared" si="1532"/>
        <v>0.5002504651</v>
      </c>
      <c r="T518" s="1">
        <f t="shared" si="1532"/>
        <v>0.5001254563</v>
      </c>
      <c r="U518" s="1">
        <f t="shared" si="11"/>
        <v>2.476155104</v>
      </c>
      <c r="V518" s="1">
        <f t="shared" si="12"/>
        <v>0.2267236831</v>
      </c>
      <c r="W518" s="1">
        <f t="shared" si="13"/>
        <v>2</v>
      </c>
      <c r="X518" s="1">
        <f t="shared" si="14"/>
        <v>0</v>
      </c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</row>
    <row r="519" ht="15.75" customHeight="1">
      <c r="A519" s="1"/>
      <c r="B519" s="7">
        <v>10.0</v>
      </c>
      <c r="C519" s="7">
        <v>5.0</v>
      </c>
      <c r="D519" s="7">
        <v>6.0</v>
      </c>
      <c r="E519" s="7">
        <v>10.0</v>
      </c>
      <c r="F519" s="7">
        <v>6.0</v>
      </c>
      <c r="G519" s="8">
        <v>10.0</v>
      </c>
      <c r="H519" s="7">
        <v>7.0</v>
      </c>
      <c r="I519" s="7">
        <v>7.0</v>
      </c>
      <c r="J519" s="7">
        <v>10.0</v>
      </c>
      <c r="K519" s="7">
        <v>4.0</v>
      </c>
      <c r="L519" s="1">
        <f t="shared" ref="L519:N519" si="1533">SUMPRODUCT($B519:$J519, INDEX($B$2:$J$4, L$10, 0)) + INDEX($K$2:$K$4, L$10,1)</f>
        <v>53.83404845</v>
      </c>
      <c r="M519" s="1">
        <f t="shared" si="1533"/>
        <v>51.71874503</v>
      </c>
      <c r="N519" s="1">
        <f t="shared" si="1533"/>
        <v>52.8243091</v>
      </c>
      <c r="O519" s="1">
        <f t="shared" ref="O519:Q519" si="1534">(L519-L$7)/(L$6-L$7)</f>
        <v>0.7518021283</v>
      </c>
      <c r="P519" s="1">
        <f t="shared" si="1534"/>
        <v>0.7566942808</v>
      </c>
      <c r="Q519" s="1">
        <f t="shared" si="1534"/>
        <v>0.763307758</v>
      </c>
      <c r="R519" s="1">
        <f t="shared" ref="R519:T519" si="1535">1/(1+EXP(-O519))</f>
        <v>0.679571247</v>
      </c>
      <c r="S519" s="1">
        <f t="shared" si="1535"/>
        <v>0.6806355965</v>
      </c>
      <c r="T519" s="1">
        <f t="shared" si="1535"/>
        <v>0.6820714527</v>
      </c>
      <c r="U519" s="1">
        <f t="shared" si="11"/>
        <v>3.369105307</v>
      </c>
      <c r="V519" s="1">
        <f t="shared" si="12"/>
        <v>0.3980281131</v>
      </c>
      <c r="W519" s="1">
        <f t="shared" si="13"/>
        <v>4</v>
      </c>
      <c r="X519" s="1">
        <f t="shared" si="14"/>
        <v>0</v>
      </c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</row>
    <row r="520" ht="15.75" customHeight="1">
      <c r="A520" s="1"/>
      <c r="B520" s="7">
        <v>5.0</v>
      </c>
      <c r="C520" s="7">
        <v>1.0</v>
      </c>
      <c r="D520" s="7">
        <v>1.0</v>
      </c>
      <c r="E520" s="7">
        <v>4.0</v>
      </c>
      <c r="F520" s="7">
        <v>2.0</v>
      </c>
      <c r="G520" s="8">
        <v>1.0</v>
      </c>
      <c r="H520" s="7">
        <v>3.0</v>
      </c>
      <c r="I520" s="7">
        <v>1.0</v>
      </c>
      <c r="J520" s="7">
        <v>1.0</v>
      </c>
      <c r="K520" s="7">
        <v>2.0</v>
      </c>
      <c r="L520" s="1">
        <f t="shared" ref="L520:N520" si="1536">SUMPRODUCT($B520:$J520, INDEX($B$2:$J$4, L$10, 0)) + INDEX($K$2:$K$4, L$10,1)</f>
        <v>8.145428233</v>
      </c>
      <c r="M520" s="1">
        <f t="shared" si="1536"/>
        <v>7.607539277</v>
      </c>
      <c r="N520" s="1">
        <f t="shared" si="1536"/>
        <v>7.734601773</v>
      </c>
      <c r="O520" s="1">
        <f t="shared" ref="O520:Q520" si="1537">(L520-L$7)/(L$6-L$7)</f>
        <v>0.004686561306</v>
      </c>
      <c r="P520" s="1">
        <f t="shared" si="1537"/>
        <v>0.001335812098</v>
      </c>
      <c r="Q520" s="1">
        <f t="shared" si="1537"/>
        <v>0.0008110162204</v>
      </c>
      <c r="R520" s="1">
        <f t="shared" ref="R520:T520" si="1538">1/(1+EXP(-O520))</f>
        <v>0.5011716382</v>
      </c>
      <c r="S520" s="1">
        <f t="shared" si="1538"/>
        <v>0.500333953</v>
      </c>
      <c r="T520" s="1">
        <f t="shared" si="1538"/>
        <v>0.500202754</v>
      </c>
      <c r="U520" s="1">
        <f t="shared" si="11"/>
        <v>2.477150698</v>
      </c>
      <c r="V520" s="1">
        <f t="shared" si="12"/>
        <v>0.2276727889</v>
      </c>
      <c r="W520" s="1">
        <f t="shared" si="13"/>
        <v>2</v>
      </c>
      <c r="X520" s="1">
        <f t="shared" si="14"/>
        <v>0</v>
      </c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</row>
    <row r="521" ht="15.75" customHeight="1">
      <c r="A521" s="1"/>
      <c r="B521" s="7">
        <v>1.0</v>
      </c>
      <c r="C521" s="7">
        <v>1.0</v>
      </c>
      <c r="D521" s="7">
        <v>1.0</v>
      </c>
      <c r="E521" s="7">
        <v>1.0</v>
      </c>
      <c r="F521" s="7">
        <v>5.0</v>
      </c>
      <c r="G521" s="8">
        <v>1.0</v>
      </c>
      <c r="H521" s="7">
        <v>3.0</v>
      </c>
      <c r="I521" s="7">
        <v>1.0</v>
      </c>
      <c r="J521" s="7">
        <v>1.0</v>
      </c>
      <c r="K521" s="7">
        <v>2.0</v>
      </c>
      <c r="L521" s="1">
        <f t="shared" ref="L521:N521" si="1539">SUMPRODUCT($B521:$J521, INDEX($B$2:$J$4, L$10, 0)) + INDEX($K$2:$K$4, L$10,1)</f>
        <v>8.172656449</v>
      </c>
      <c r="M521" s="1">
        <f t="shared" si="1539"/>
        <v>7.529532364</v>
      </c>
      <c r="N521" s="1">
        <f t="shared" si="1539"/>
        <v>7.686650958</v>
      </c>
      <c r="O521" s="1">
        <f t="shared" ref="O521:Q521" si="1540">(L521-L$7)/(L$6-L$7)</f>
        <v>0.005131806183</v>
      </c>
      <c r="P521" s="1">
        <f t="shared" si="1540"/>
        <v>0.0000000249395692</v>
      </c>
      <c r="Q521" s="1">
        <f t="shared" si="1540"/>
        <v>0.0000001362617963</v>
      </c>
      <c r="R521" s="1">
        <f t="shared" ref="R521:T521" si="1541">1/(1+EXP(-O521))</f>
        <v>0.5012829487</v>
      </c>
      <c r="S521" s="1">
        <f t="shared" si="1541"/>
        <v>0.5000000062</v>
      </c>
      <c r="T521" s="1">
        <f t="shared" si="1541"/>
        <v>0.5000000341</v>
      </c>
      <c r="U521" s="1">
        <f t="shared" si="11"/>
        <v>2.476428055</v>
      </c>
      <c r="V521" s="1">
        <f t="shared" si="12"/>
        <v>0.2269836913</v>
      </c>
      <c r="W521" s="1">
        <f t="shared" si="13"/>
        <v>2</v>
      </c>
      <c r="X521" s="1">
        <f t="shared" si="14"/>
        <v>0</v>
      </c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</row>
    <row r="522" ht="15.75" customHeight="1">
      <c r="A522" s="1"/>
      <c r="B522" s="7">
        <v>2.0</v>
      </c>
      <c r="C522" s="7">
        <v>7.0</v>
      </c>
      <c r="D522" s="7">
        <v>10.0</v>
      </c>
      <c r="E522" s="7">
        <v>10.0</v>
      </c>
      <c r="F522" s="7">
        <v>7.0</v>
      </c>
      <c r="G522" s="8">
        <v>10.0</v>
      </c>
      <c r="H522" s="7">
        <v>4.0</v>
      </c>
      <c r="I522" s="7">
        <v>9.0</v>
      </c>
      <c r="J522" s="7">
        <v>4.0</v>
      </c>
      <c r="K522" s="7">
        <v>4.0</v>
      </c>
      <c r="L522" s="1">
        <f t="shared" ref="L522:N522" si="1542">SUMPRODUCT($B522:$J522, INDEX($B$2:$J$4, L$10, 0)) + INDEX($K$2:$K$4, L$10,1)</f>
        <v>63.62171668</v>
      </c>
      <c r="M522" s="1">
        <f t="shared" si="1542"/>
        <v>60.53151346</v>
      </c>
      <c r="N522" s="1">
        <f t="shared" si="1542"/>
        <v>62.22156329</v>
      </c>
      <c r="O522" s="1">
        <f t="shared" ref="O522:Q522" si="1543">(L522-L$7)/(L$6-L$7)</f>
        <v>0.911853346</v>
      </c>
      <c r="P522" s="1">
        <f t="shared" si="1543"/>
        <v>0.9076037641</v>
      </c>
      <c r="Q522" s="1">
        <f t="shared" si="1543"/>
        <v>0.922221535</v>
      </c>
      <c r="R522" s="1">
        <f t="shared" ref="R522:T522" si="1544">1/(1+EXP(-O522))</f>
        <v>0.7133792649</v>
      </c>
      <c r="S522" s="1">
        <f t="shared" si="1544"/>
        <v>0.7125095686</v>
      </c>
      <c r="T522" s="1">
        <f t="shared" si="1544"/>
        <v>0.7154945425</v>
      </c>
      <c r="U522" s="1">
        <f t="shared" si="11"/>
        <v>3.532563002</v>
      </c>
      <c r="V522" s="1">
        <f t="shared" si="12"/>
        <v>0.2184973471</v>
      </c>
      <c r="W522" s="1">
        <f t="shared" si="13"/>
        <v>4</v>
      </c>
      <c r="X522" s="1">
        <f t="shared" si="14"/>
        <v>0</v>
      </c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</row>
    <row r="523" ht="15.75" customHeight="1">
      <c r="A523" s="1"/>
      <c r="B523" s="7">
        <v>1.0</v>
      </c>
      <c r="C523" s="7">
        <v>1.0</v>
      </c>
      <c r="D523" s="7">
        <v>1.0</v>
      </c>
      <c r="E523" s="7">
        <v>1.0</v>
      </c>
      <c r="F523" s="7">
        <v>2.0</v>
      </c>
      <c r="G523" s="8">
        <v>1.0</v>
      </c>
      <c r="H523" s="7">
        <v>2.0</v>
      </c>
      <c r="I523" s="7">
        <v>1.0</v>
      </c>
      <c r="J523" s="7">
        <v>1.0</v>
      </c>
      <c r="K523" s="7">
        <v>2.0</v>
      </c>
      <c r="L523" s="1">
        <f t="shared" ref="L523:N523" si="1545">SUMPRODUCT($B523:$J523, INDEX($B$2:$J$4, L$10, 0)) + INDEX($K$2:$K$4, L$10,1)</f>
        <v>7.953432454</v>
      </c>
      <c r="M523" s="1">
        <f t="shared" si="1545"/>
        <v>7.529531272</v>
      </c>
      <c r="N523" s="1">
        <f t="shared" si="1545"/>
        <v>7.686646929</v>
      </c>
      <c r="O523" s="1">
        <f t="shared" ref="O523:Q523" si="1546">(L523-L$7)/(L$6-L$7)</f>
        <v>0.001546982238</v>
      </c>
      <c r="P523" s="1">
        <f t="shared" si="1546"/>
        <v>0.000000006234892308</v>
      </c>
      <c r="Q523" s="1">
        <f t="shared" si="1546"/>
        <v>0.00000006813089816</v>
      </c>
      <c r="R523" s="1">
        <f t="shared" ref="R523:T523" si="1547">1/(1+EXP(-O523))</f>
        <v>0.5003867455</v>
      </c>
      <c r="S523" s="1">
        <f t="shared" si="1547"/>
        <v>0.5000000016</v>
      </c>
      <c r="T523" s="1">
        <f t="shared" si="1547"/>
        <v>0.500000017</v>
      </c>
      <c r="U523" s="1">
        <f t="shared" si="11"/>
        <v>2.475009467</v>
      </c>
      <c r="V523" s="1">
        <f t="shared" si="12"/>
        <v>0.2256339933</v>
      </c>
      <c r="W523" s="1">
        <f t="shared" si="13"/>
        <v>2</v>
      </c>
      <c r="X523" s="1">
        <f t="shared" si="14"/>
        <v>0</v>
      </c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</row>
    <row r="524" ht="15.75" customHeight="1">
      <c r="A524" s="1"/>
      <c r="B524" s="7">
        <v>5.0</v>
      </c>
      <c r="C524" s="7">
        <v>3.0</v>
      </c>
      <c r="D524" s="7">
        <v>3.0</v>
      </c>
      <c r="E524" s="7">
        <v>2.0</v>
      </c>
      <c r="F524" s="7">
        <v>3.0</v>
      </c>
      <c r="G524" s="8">
        <v>1.0</v>
      </c>
      <c r="H524" s="7">
        <v>3.0</v>
      </c>
      <c r="I524" s="7">
        <v>1.0</v>
      </c>
      <c r="J524" s="7">
        <v>1.0</v>
      </c>
      <c r="K524" s="7">
        <v>2.0</v>
      </c>
      <c r="L524" s="1">
        <f t="shared" ref="L524:N524" si="1548">SUMPRODUCT($B524:$J524, INDEX($B$2:$J$4, L$10, 0)) + INDEX($K$2:$K$4, L$10,1)</f>
        <v>14.42903611</v>
      </c>
      <c r="M524" s="1">
        <f t="shared" si="1548"/>
        <v>13.44811282</v>
      </c>
      <c r="N524" s="1">
        <f t="shared" si="1548"/>
        <v>13.57340109</v>
      </c>
      <c r="O524" s="1">
        <f t="shared" ref="O524:Q524" si="1549">(L524-L$7)/(L$6-L$7)</f>
        <v>0.1074382145</v>
      </c>
      <c r="P524" s="1">
        <f t="shared" si="1549"/>
        <v>0.1013495526</v>
      </c>
      <c r="Q524" s="1">
        <f t="shared" si="1549"/>
        <v>0.09954897035</v>
      </c>
      <c r="R524" s="1">
        <f t="shared" ref="R524:T524" si="1550">1/(1+EXP(-O524))</f>
        <v>0.5268337468</v>
      </c>
      <c r="S524" s="1">
        <f t="shared" si="1550"/>
        <v>0.5253157222</v>
      </c>
      <c r="T524" s="1">
        <f t="shared" si="1550"/>
        <v>0.5248667102</v>
      </c>
      <c r="U524" s="1">
        <f t="shared" si="11"/>
        <v>2.60131177</v>
      </c>
      <c r="V524" s="1">
        <f t="shared" si="12"/>
        <v>0.3615758447</v>
      </c>
      <c r="W524" s="1">
        <f t="shared" si="13"/>
        <v>2</v>
      </c>
      <c r="X524" s="1">
        <f t="shared" si="14"/>
        <v>0</v>
      </c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</row>
    <row r="525" ht="15.75" customHeight="1">
      <c r="A525" s="1"/>
      <c r="B525" s="7">
        <v>3.0</v>
      </c>
      <c r="C525" s="7">
        <v>1.0</v>
      </c>
      <c r="D525" s="7">
        <v>1.0</v>
      </c>
      <c r="E525" s="7">
        <v>1.0</v>
      </c>
      <c r="F525" s="7">
        <v>2.0</v>
      </c>
      <c r="G525" s="8">
        <v>1.0</v>
      </c>
      <c r="H525" s="7">
        <v>2.0</v>
      </c>
      <c r="I525" s="7">
        <v>1.0</v>
      </c>
      <c r="J525" s="7">
        <v>1.0</v>
      </c>
      <c r="K525" s="7">
        <v>2.0</v>
      </c>
      <c r="L525" s="1">
        <f t="shared" ref="L525:N525" si="1551">SUMPRODUCT($B525:$J525, INDEX($B$2:$J$4, L$10, 0)) + INDEX($K$2:$K$4, L$10,1)</f>
        <v>7.985185587</v>
      </c>
      <c r="M525" s="1">
        <f t="shared" si="1551"/>
        <v>7.568535274</v>
      </c>
      <c r="N525" s="1">
        <f t="shared" si="1551"/>
        <v>7.706424942</v>
      </c>
      <c r="O525" s="1">
        <f t="shared" ref="O525:Q525" si="1552">(L525-L$7)/(L$6-L$7)</f>
        <v>0.00206622008</v>
      </c>
      <c r="P525" s="1">
        <f t="shared" si="1552"/>
        <v>0.0006679091667</v>
      </c>
      <c r="Q525" s="1">
        <f t="shared" si="1552"/>
        <v>0.0003345273907</v>
      </c>
      <c r="R525" s="1">
        <f t="shared" ref="R525:T525" si="1553">1/(1+EXP(-O525))</f>
        <v>0.5005165548</v>
      </c>
      <c r="S525" s="1">
        <f t="shared" si="1553"/>
        <v>0.5001669773</v>
      </c>
      <c r="T525" s="1">
        <f t="shared" si="1553"/>
        <v>0.5000836318</v>
      </c>
      <c r="U525" s="1">
        <f t="shared" si="11"/>
        <v>2.475633899</v>
      </c>
      <c r="V525" s="1">
        <f t="shared" si="12"/>
        <v>0.226227606</v>
      </c>
      <c r="W525" s="1">
        <f t="shared" si="13"/>
        <v>2</v>
      </c>
      <c r="X525" s="1">
        <f t="shared" si="14"/>
        <v>0</v>
      </c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</row>
    <row r="526" ht="15.75" customHeight="1">
      <c r="A526" s="1"/>
      <c r="B526" s="7">
        <v>3.0</v>
      </c>
      <c r="C526" s="7">
        <v>2.0</v>
      </c>
      <c r="D526" s="7">
        <v>1.0</v>
      </c>
      <c r="E526" s="7">
        <v>1.0</v>
      </c>
      <c r="F526" s="7">
        <v>2.0</v>
      </c>
      <c r="G526" s="8">
        <v>1.0</v>
      </c>
      <c r="H526" s="7">
        <v>2.0</v>
      </c>
      <c r="I526" s="7">
        <v>2.0</v>
      </c>
      <c r="J526" s="7">
        <v>1.0</v>
      </c>
      <c r="K526" s="7">
        <v>2.0</v>
      </c>
      <c r="L526" s="1">
        <f t="shared" ref="L526:N526" si="1554">SUMPRODUCT($B526:$J526, INDEX($B$2:$J$4, L$10, 0)) + INDEX($K$2:$K$4, L$10,1)</f>
        <v>9.865228498</v>
      </c>
      <c r="M526" s="1">
        <f t="shared" si="1554"/>
        <v>9.510300505</v>
      </c>
      <c r="N526" s="1">
        <f t="shared" si="1554"/>
        <v>9.413440838</v>
      </c>
      <c r="O526" s="1">
        <f t="shared" ref="O526:Q526" si="1555">(L526-L$7)/(L$6-L$7)</f>
        <v>0.03280930925</v>
      </c>
      <c r="P526" s="1">
        <f t="shared" si="1555"/>
        <v>0.03391861693</v>
      </c>
      <c r="Q526" s="1">
        <f t="shared" si="1555"/>
        <v>0.02920129403</v>
      </c>
      <c r="R526" s="1">
        <f t="shared" ref="R526:T526" si="1556">1/(1+EXP(-O526))</f>
        <v>0.5082015916</v>
      </c>
      <c r="S526" s="1">
        <f t="shared" si="1556"/>
        <v>0.5084788414</v>
      </c>
      <c r="T526" s="1">
        <f t="shared" si="1556"/>
        <v>0.5072998048</v>
      </c>
      <c r="U526" s="1">
        <f t="shared" si="11"/>
        <v>2.513894966</v>
      </c>
      <c r="V526" s="1">
        <f t="shared" si="12"/>
        <v>0.2640880358</v>
      </c>
      <c r="W526" s="1">
        <f t="shared" si="13"/>
        <v>2</v>
      </c>
      <c r="X526" s="1">
        <f t="shared" si="14"/>
        <v>0</v>
      </c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</row>
    <row r="527" ht="15.75" customHeight="1">
      <c r="A527" s="1"/>
      <c r="B527" s="7">
        <v>4.0</v>
      </c>
      <c r="C527" s="7">
        <v>1.0</v>
      </c>
      <c r="D527" s="7">
        <v>1.0</v>
      </c>
      <c r="E527" s="7">
        <v>3.0</v>
      </c>
      <c r="F527" s="7">
        <v>1.0</v>
      </c>
      <c r="G527" s="8">
        <v>1.0</v>
      </c>
      <c r="H527" s="7">
        <v>2.0</v>
      </c>
      <c r="I527" s="7">
        <v>1.0</v>
      </c>
      <c r="J527" s="7">
        <v>1.0</v>
      </c>
      <c r="K527" s="7">
        <v>2.0</v>
      </c>
      <c r="L527" s="1">
        <f t="shared" ref="L527:N527" si="1557">SUMPRODUCT($B527:$J527, INDEX($B$2:$J$4, L$10, 0)) + INDEX($K$2:$K$4, L$10,1)</f>
        <v>8.002882923</v>
      </c>
      <c r="M527" s="1">
        <f t="shared" si="1557"/>
        <v>7.588036911</v>
      </c>
      <c r="N527" s="1">
        <f t="shared" si="1557"/>
        <v>7.721910474</v>
      </c>
      <c r="O527" s="1">
        <f t="shared" ref="O527:Q527" si="1558">(L527-L$7)/(L$6-L$7)</f>
        <v>0.002355612814</v>
      </c>
      <c r="P527" s="1">
        <f t="shared" si="1558"/>
        <v>0.001001854398</v>
      </c>
      <c r="Q527" s="1">
        <f t="shared" si="1558"/>
        <v>0.00059639798</v>
      </c>
      <c r="R527" s="1">
        <f t="shared" ref="R527:T527" si="1559">1/(1+EXP(-O527))</f>
        <v>0.5005889029</v>
      </c>
      <c r="S527" s="1">
        <f t="shared" si="1559"/>
        <v>0.5002504636</v>
      </c>
      <c r="T527" s="1">
        <f t="shared" si="1559"/>
        <v>0.5001490995</v>
      </c>
      <c r="U527" s="1">
        <f t="shared" si="11"/>
        <v>2.475998501</v>
      </c>
      <c r="V527" s="1">
        <f t="shared" si="12"/>
        <v>0.2265745731</v>
      </c>
      <c r="W527" s="1">
        <f t="shared" si="13"/>
        <v>2</v>
      </c>
      <c r="X527" s="1">
        <f t="shared" si="14"/>
        <v>0</v>
      </c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</row>
    <row r="528" ht="15.75" customHeight="1">
      <c r="A528" s="1"/>
      <c r="B528" s="7">
        <v>4.0</v>
      </c>
      <c r="C528" s="7">
        <v>1.0</v>
      </c>
      <c r="D528" s="7">
        <v>1.0</v>
      </c>
      <c r="E528" s="7">
        <v>1.0</v>
      </c>
      <c r="F528" s="7">
        <v>2.0</v>
      </c>
      <c r="G528" s="8">
        <v>3.0</v>
      </c>
      <c r="H528" s="7">
        <v>2.0</v>
      </c>
      <c r="I528" s="7">
        <v>1.0</v>
      </c>
      <c r="J528" s="7">
        <v>1.0</v>
      </c>
      <c r="K528" s="7">
        <v>2.0</v>
      </c>
      <c r="L528" s="1">
        <f t="shared" ref="L528:N528" si="1560">SUMPRODUCT($B528:$J528, INDEX($B$2:$J$4, L$10, 0)) + INDEX($K$2:$K$4, L$10,1)</f>
        <v>14.49274386</v>
      </c>
      <c r="M528" s="1">
        <f t="shared" si="1560"/>
        <v>14.10014444</v>
      </c>
      <c r="N528" s="1">
        <f t="shared" si="1560"/>
        <v>14.38668076</v>
      </c>
      <c r="O528" s="1">
        <f t="shared" ref="O528:Q528" si="1561">(L528-L$7)/(L$6-L$7)</f>
        <v>0.108479985</v>
      </c>
      <c r="P528" s="1">
        <f t="shared" si="1561"/>
        <v>0.1125149153</v>
      </c>
      <c r="Q528" s="1">
        <f t="shared" si="1561"/>
        <v>0.1133020669</v>
      </c>
      <c r="R528" s="1">
        <f t="shared" ref="R528:T528" si="1562">1/(1+EXP(-O528))</f>
        <v>0.527093432</v>
      </c>
      <c r="S528" s="1">
        <f t="shared" si="1562"/>
        <v>0.5280990915</v>
      </c>
      <c r="T528" s="1">
        <f t="shared" si="1562"/>
        <v>0.5282952535</v>
      </c>
      <c r="U528" s="1">
        <f t="shared" si="11"/>
        <v>2.612198765</v>
      </c>
      <c r="V528" s="1">
        <f t="shared" si="12"/>
        <v>0.3747873282</v>
      </c>
      <c r="W528" s="1">
        <f t="shared" si="13"/>
        <v>2</v>
      </c>
      <c r="X528" s="1">
        <f t="shared" si="14"/>
        <v>0</v>
      </c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</row>
    <row r="529" ht="15.75" customHeight="1">
      <c r="A529" s="1"/>
      <c r="B529" s="7">
        <v>2.0</v>
      </c>
      <c r="C529" s="7">
        <v>1.0</v>
      </c>
      <c r="D529" s="7">
        <v>1.0</v>
      </c>
      <c r="E529" s="7">
        <v>1.0</v>
      </c>
      <c r="F529" s="7">
        <v>2.0</v>
      </c>
      <c r="G529" s="8">
        <v>1.0</v>
      </c>
      <c r="H529" s="7">
        <v>1.0</v>
      </c>
      <c r="I529" s="7">
        <v>1.0</v>
      </c>
      <c r="J529" s="7">
        <v>1.0</v>
      </c>
      <c r="K529" s="7">
        <v>2.0</v>
      </c>
      <c r="L529" s="1">
        <f t="shared" ref="L529:N529" si="1563">SUMPRODUCT($B529:$J529, INDEX($B$2:$J$4, L$10, 0)) + INDEX($K$2:$K$4, L$10,1)</f>
        <v>7.937016298</v>
      </c>
      <c r="M529" s="1">
        <f t="shared" si="1563"/>
        <v>7.549033273</v>
      </c>
      <c r="N529" s="1">
        <f t="shared" si="1563"/>
        <v>7.696531906</v>
      </c>
      <c r="O529" s="1">
        <f t="shared" ref="O529:Q529" si="1564">(L529-L$7)/(L$6-L$7)</f>
        <v>0.001278539775</v>
      </c>
      <c r="P529" s="1">
        <f t="shared" si="1564"/>
        <v>0.0003339577008</v>
      </c>
      <c r="Q529" s="1">
        <f t="shared" si="1564"/>
        <v>0.0001672296299</v>
      </c>
      <c r="R529" s="1">
        <f t="shared" ref="R529:T529" si="1565">1/(1+EXP(-O529))</f>
        <v>0.5003196349</v>
      </c>
      <c r="S529" s="1">
        <f t="shared" si="1565"/>
        <v>0.5000834894</v>
      </c>
      <c r="T529" s="1">
        <f t="shared" si="1565"/>
        <v>0.5000418074</v>
      </c>
      <c r="U529" s="1">
        <f t="shared" si="11"/>
        <v>2.475112694</v>
      </c>
      <c r="V529" s="1">
        <f t="shared" si="12"/>
        <v>0.2257320719</v>
      </c>
      <c r="W529" s="1">
        <f t="shared" si="13"/>
        <v>2</v>
      </c>
      <c r="X529" s="1">
        <f t="shared" si="14"/>
        <v>0</v>
      </c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</row>
    <row r="530" ht="15.75" customHeight="1">
      <c r="A530" s="1"/>
      <c r="B530" s="7">
        <v>1.0</v>
      </c>
      <c r="C530" s="7">
        <v>1.0</v>
      </c>
      <c r="D530" s="7">
        <v>1.0</v>
      </c>
      <c r="E530" s="7">
        <v>1.0</v>
      </c>
      <c r="F530" s="7">
        <v>1.0</v>
      </c>
      <c r="G530" s="8">
        <v>1.0</v>
      </c>
      <c r="H530" s="7">
        <v>3.0</v>
      </c>
      <c r="I530" s="7">
        <v>1.0</v>
      </c>
      <c r="J530" s="7">
        <v>1.0</v>
      </c>
      <c r="K530" s="7">
        <v>2.0</v>
      </c>
      <c r="L530" s="1">
        <f t="shared" ref="L530:N530" si="1566">SUMPRODUCT($B530:$J530, INDEX($B$2:$J$4, L$10, 0)) + INDEX($K$2:$K$4, L$10,1)</f>
        <v>7.923414752</v>
      </c>
      <c r="M530" s="1">
        <f t="shared" si="1566"/>
        <v>7.529530907</v>
      </c>
      <c r="N530" s="1">
        <f t="shared" si="1566"/>
        <v>7.686650958</v>
      </c>
      <c r="O530" s="1">
        <f t="shared" ref="O530:Q530" si="1567">(L530-L$7)/(L$6-L$7)</f>
        <v>0.001056122768</v>
      </c>
      <c r="P530" s="1">
        <f t="shared" si="1567"/>
        <v>0</v>
      </c>
      <c r="Q530" s="1">
        <f t="shared" si="1567"/>
        <v>0.0000001362617963</v>
      </c>
      <c r="R530" s="1">
        <f t="shared" ref="R530:T530" si="1568">1/(1+EXP(-O530))</f>
        <v>0.5002640307</v>
      </c>
      <c r="S530" s="1">
        <f t="shared" si="1568"/>
        <v>0.5</v>
      </c>
      <c r="T530" s="1">
        <f t="shared" si="1568"/>
        <v>0.5000000341</v>
      </c>
      <c r="U530" s="1">
        <f t="shared" si="11"/>
        <v>2.474815255</v>
      </c>
      <c r="V530" s="1">
        <f t="shared" si="12"/>
        <v>0.2254495261</v>
      </c>
      <c r="W530" s="1">
        <f t="shared" si="13"/>
        <v>2</v>
      </c>
      <c r="X530" s="1">
        <f t="shared" si="14"/>
        <v>0</v>
      </c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</row>
    <row r="531" ht="15.75" customHeight="1">
      <c r="A531" s="1"/>
      <c r="B531" s="7">
        <v>2.0</v>
      </c>
      <c r="C531" s="7">
        <v>1.0</v>
      </c>
      <c r="D531" s="7">
        <v>1.0</v>
      </c>
      <c r="E531" s="7">
        <v>1.0</v>
      </c>
      <c r="F531" s="7">
        <v>2.0</v>
      </c>
      <c r="G531" s="8">
        <v>1.0</v>
      </c>
      <c r="H531" s="7">
        <v>2.0</v>
      </c>
      <c r="I531" s="7">
        <v>1.0</v>
      </c>
      <c r="J531" s="7">
        <v>1.0</v>
      </c>
      <c r="K531" s="7">
        <v>2.0</v>
      </c>
      <c r="L531" s="1">
        <f t="shared" ref="L531:N531" si="1569">SUMPRODUCT($B531:$J531, INDEX($B$2:$J$4, L$10, 0)) + INDEX($K$2:$K$4, L$10,1)</f>
        <v>7.96930902</v>
      </c>
      <c r="M531" s="1">
        <f t="shared" si="1569"/>
        <v>7.549033273</v>
      </c>
      <c r="N531" s="1">
        <f t="shared" si="1569"/>
        <v>7.696535935</v>
      </c>
      <c r="O531" s="1">
        <f t="shared" ref="O531:Q531" si="1570">(L531-L$7)/(L$6-L$7)</f>
        <v>0.001806601159</v>
      </c>
      <c r="P531" s="1">
        <f t="shared" si="1570"/>
        <v>0.0003339577008</v>
      </c>
      <c r="Q531" s="1">
        <f t="shared" si="1570"/>
        <v>0.0001672977608</v>
      </c>
      <c r="R531" s="1">
        <f t="shared" ref="R531:T531" si="1571">1/(1+EXP(-O531))</f>
        <v>0.5004516502</v>
      </c>
      <c r="S531" s="1">
        <f t="shared" si="1571"/>
        <v>0.5000834894</v>
      </c>
      <c r="T531" s="1">
        <f t="shared" si="1571"/>
        <v>0.5000418244</v>
      </c>
      <c r="U531" s="1">
        <f t="shared" si="11"/>
        <v>2.475321683</v>
      </c>
      <c r="V531" s="1">
        <f t="shared" si="12"/>
        <v>0.2259307022</v>
      </c>
      <c r="W531" s="1">
        <f t="shared" si="13"/>
        <v>2</v>
      </c>
      <c r="X531" s="1">
        <f t="shared" si="14"/>
        <v>0</v>
      </c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</row>
    <row r="532" ht="15.75" customHeight="1">
      <c r="A532" s="1"/>
      <c r="B532" s="7">
        <v>4.0</v>
      </c>
      <c r="C532" s="7">
        <v>1.0</v>
      </c>
      <c r="D532" s="7">
        <v>1.0</v>
      </c>
      <c r="E532" s="7">
        <v>1.0</v>
      </c>
      <c r="F532" s="7">
        <v>2.0</v>
      </c>
      <c r="G532" s="8">
        <v>1.0</v>
      </c>
      <c r="H532" s="7">
        <v>3.0</v>
      </c>
      <c r="I532" s="7">
        <v>1.0</v>
      </c>
      <c r="J532" s="7">
        <v>1.0</v>
      </c>
      <c r="K532" s="7">
        <v>2.0</v>
      </c>
      <c r="L532" s="1">
        <f t="shared" ref="L532:N532" si="1572">SUMPRODUCT($B532:$J532, INDEX($B$2:$J$4, L$10, 0)) + INDEX($K$2:$K$4, L$10,1)</f>
        <v>8.033354877</v>
      </c>
      <c r="M532" s="1">
        <f t="shared" si="1572"/>
        <v>7.588037275</v>
      </c>
      <c r="N532" s="1">
        <f t="shared" si="1572"/>
        <v>7.716317977</v>
      </c>
      <c r="O532" s="1">
        <f t="shared" ref="O532:Q532" si="1573">(L532-L$7)/(L$6-L$7)</f>
        <v>0.002853900385</v>
      </c>
      <c r="P532" s="1">
        <f t="shared" si="1573"/>
        <v>0.001001860633</v>
      </c>
      <c r="Q532" s="1">
        <f t="shared" si="1573"/>
        <v>0.0005018251515</v>
      </c>
      <c r="R532" s="1">
        <f t="shared" ref="R532:T532" si="1574">1/(1+EXP(-O532))</f>
        <v>0.5007134746</v>
      </c>
      <c r="S532" s="1">
        <f t="shared" si="1574"/>
        <v>0.5002504651</v>
      </c>
      <c r="T532" s="1">
        <f t="shared" si="1574"/>
        <v>0.5001254563</v>
      </c>
      <c r="U532" s="1">
        <f t="shared" si="11"/>
        <v>2.476155104</v>
      </c>
      <c r="V532" s="1">
        <f t="shared" si="12"/>
        <v>0.2267236831</v>
      </c>
      <c r="W532" s="1">
        <f t="shared" si="13"/>
        <v>2</v>
      </c>
      <c r="X532" s="1">
        <f t="shared" si="14"/>
        <v>0</v>
      </c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</row>
    <row r="533" ht="15.75" customHeight="1">
      <c r="A533" s="1"/>
      <c r="B533" s="7">
        <v>1.0</v>
      </c>
      <c r="C533" s="7">
        <v>1.0</v>
      </c>
      <c r="D533" s="7">
        <v>1.0</v>
      </c>
      <c r="E533" s="7">
        <v>1.0</v>
      </c>
      <c r="F533" s="7">
        <v>2.0</v>
      </c>
      <c r="G533" s="8">
        <v>1.0</v>
      </c>
      <c r="H533" s="7">
        <v>1.0</v>
      </c>
      <c r="I533" s="7">
        <v>1.0</v>
      </c>
      <c r="J533" s="7">
        <v>1.0</v>
      </c>
      <c r="K533" s="7">
        <v>2.0</v>
      </c>
      <c r="L533" s="1">
        <f t="shared" ref="L533:N533" si="1575">SUMPRODUCT($B533:$J533, INDEX($B$2:$J$4, L$10, 0)) + INDEX($K$2:$K$4, L$10,1)</f>
        <v>7.921139731</v>
      </c>
      <c r="M533" s="1">
        <f t="shared" si="1575"/>
        <v>7.529531272</v>
      </c>
      <c r="N533" s="1">
        <f t="shared" si="1575"/>
        <v>7.6866429</v>
      </c>
      <c r="O533" s="1">
        <f t="shared" ref="O533:Q533" si="1576">(L533-L$7)/(L$6-L$7)</f>
        <v>0.001018920854</v>
      </c>
      <c r="P533" s="1">
        <f t="shared" si="1576"/>
        <v>0.000000006234892308</v>
      </c>
      <c r="Q533" s="1">
        <f t="shared" si="1576"/>
        <v>0</v>
      </c>
      <c r="R533" s="1">
        <f t="shared" ref="R533:T533" si="1577">1/(1+EXP(-O533))</f>
        <v>0.5002547302</v>
      </c>
      <c r="S533" s="1">
        <f t="shared" si="1577"/>
        <v>0.5000000016</v>
      </c>
      <c r="T533" s="1">
        <f t="shared" si="1577"/>
        <v>0.5</v>
      </c>
      <c r="U533" s="1">
        <f t="shared" si="11"/>
        <v>2.474800478</v>
      </c>
      <c r="V533" s="1">
        <f t="shared" si="12"/>
        <v>0.2254354935</v>
      </c>
      <c r="W533" s="1">
        <f t="shared" si="13"/>
        <v>2</v>
      </c>
      <c r="X533" s="1">
        <f t="shared" si="14"/>
        <v>0</v>
      </c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</row>
    <row r="534" ht="15.75" customHeight="1">
      <c r="A534" s="1"/>
      <c r="B534" s="7">
        <v>1.0</v>
      </c>
      <c r="C534" s="7">
        <v>1.0</v>
      </c>
      <c r="D534" s="7">
        <v>1.0</v>
      </c>
      <c r="E534" s="7">
        <v>1.0</v>
      </c>
      <c r="F534" s="7">
        <v>2.0</v>
      </c>
      <c r="G534" s="8">
        <v>1.0</v>
      </c>
      <c r="H534" s="7">
        <v>3.0</v>
      </c>
      <c r="I534" s="7">
        <v>1.0</v>
      </c>
      <c r="J534" s="7">
        <v>1.0</v>
      </c>
      <c r="K534" s="7">
        <v>2.0</v>
      </c>
      <c r="L534" s="1">
        <f t="shared" ref="L534:N534" si="1578">SUMPRODUCT($B534:$J534, INDEX($B$2:$J$4, L$10, 0)) + INDEX($K$2:$K$4, L$10,1)</f>
        <v>7.985725177</v>
      </c>
      <c r="M534" s="1">
        <f t="shared" si="1578"/>
        <v>7.529531272</v>
      </c>
      <c r="N534" s="1">
        <f t="shared" si="1578"/>
        <v>7.686650958</v>
      </c>
      <c r="O534" s="1">
        <f t="shared" ref="O534:Q534" si="1579">(L534-L$7)/(L$6-L$7)</f>
        <v>0.002075043622</v>
      </c>
      <c r="P534" s="1">
        <f t="shared" si="1579"/>
        <v>0.000000006234892308</v>
      </c>
      <c r="Q534" s="1">
        <f t="shared" si="1579"/>
        <v>0.0000001362617963</v>
      </c>
      <c r="R534" s="1">
        <f t="shared" ref="R534:T534" si="1580">1/(1+EXP(-O534))</f>
        <v>0.5005187607</v>
      </c>
      <c r="S534" s="1">
        <f t="shared" si="1580"/>
        <v>0.5000000016</v>
      </c>
      <c r="T534" s="1">
        <f t="shared" si="1580"/>
        <v>0.5000000341</v>
      </c>
      <c r="U534" s="1">
        <f t="shared" si="11"/>
        <v>2.475218456</v>
      </c>
      <c r="V534" s="1">
        <f t="shared" si="12"/>
        <v>0.2258325805</v>
      </c>
      <c r="W534" s="1">
        <f t="shared" si="13"/>
        <v>2</v>
      </c>
      <c r="X534" s="1">
        <f t="shared" si="14"/>
        <v>0</v>
      </c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</row>
    <row r="535" ht="15.75" customHeight="1">
      <c r="A535" s="1"/>
      <c r="B535" s="7">
        <v>1.0</v>
      </c>
      <c r="C535" s="7">
        <v>1.0</v>
      </c>
      <c r="D535" s="7">
        <v>1.0</v>
      </c>
      <c r="E535" s="7">
        <v>1.0</v>
      </c>
      <c r="F535" s="7">
        <v>2.0</v>
      </c>
      <c r="G535" s="8">
        <v>1.0</v>
      </c>
      <c r="H535" s="7">
        <v>3.0</v>
      </c>
      <c r="I535" s="7">
        <v>1.0</v>
      </c>
      <c r="J535" s="7">
        <v>1.0</v>
      </c>
      <c r="K535" s="7">
        <v>2.0</v>
      </c>
      <c r="L535" s="1">
        <f t="shared" ref="L535:N535" si="1581">SUMPRODUCT($B535:$J535, INDEX($B$2:$J$4, L$10, 0)) + INDEX($K$2:$K$4, L$10,1)</f>
        <v>7.985725177</v>
      </c>
      <c r="M535" s="1">
        <f t="shared" si="1581"/>
        <v>7.529531272</v>
      </c>
      <c r="N535" s="1">
        <f t="shared" si="1581"/>
        <v>7.686650958</v>
      </c>
      <c r="O535" s="1">
        <f t="shared" ref="O535:Q535" si="1582">(L535-L$7)/(L$6-L$7)</f>
        <v>0.002075043622</v>
      </c>
      <c r="P535" s="1">
        <f t="shared" si="1582"/>
        <v>0.000000006234892308</v>
      </c>
      <c r="Q535" s="1">
        <f t="shared" si="1582"/>
        <v>0.0000001362617963</v>
      </c>
      <c r="R535" s="1">
        <f t="shared" ref="R535:T535" si="1583">1/(1+EXP(-O535))</f>
        <v>0.5005187607</v>
      </c>
      <c r="S535" s="1">
        <f t="shared" si="1583"/>
        <v>0.5000000016</v>
      </c>
      <c r="T535" s="1">
        <f t="shared" si="1583"/>
        <v>0.5000000341</v>
      </c>
      <c r="U535" s="1">
        <f t="shared" si="11"/>
        <v>2.475218456</v>
      </c>
      <c r="V535" s="1">
        <f t="shared" si="12"/>
        <v>0.2258325805</v>
      </c>
      <c r="W535" s="1">
        <f t="shared" si="13"/>
        <v>2</v>
      </c>
      <c r="X535" s="1">
        <f t="shared" si="14"/>
        <v>0</v>
      </c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</row>
    <row r="536" ht="15.75" customHeight="1">
      <c r="A536" s="1"/>
      <c r="B536" s="7">
        <v>1.0</v>
      </c>
      <c r="C536" s="7">
        <v>2.0</v>
      </c>
      <c r="D536" s="7">
        <v>3.0</v>
      </c>
      <c r="E536" s="7">
        <v>1.0</v>
      </c>
      <c r="F536" s="7">
        <v>2.0</v>
      </c>
      <c r="G536" s="8">
        <v>1.0</v>
      </c>
      <c r="H536" s="7">
        <v>1.0</v>
      </c>
      <c r="I536" s="7">
        <v>1.0</v>
      </c>
      <c r="J536" s="7">
        <v>1.0</v>
      </c>
      <c r="K536" s="7">
        <v>2.0</v>
      </c>
      <c r="L536" s="1">
        <f t="shared" ref="L536:N536" si="1584">SUMPRODUCT($B536:$J536, INDEX($B$2:$J$4, L$10, 0)) + INDEX($K$2:$K$4, L$10,1)</f>
        <v>12.61114473</v>
      </c>
      <c r="M536" s="1">
        <f t="shared" si="1584"/>
        <v>11.72113126</v>
      </c>
      <c r="N536" s="1">
        <f t="shared" si="1584"/>
        <v>12.12442745</v>
      </c>
      <c r="O536" s="1">
        <f t="shared" ref="O536:Q536" si="1585">(L536-L$7)/(L$6-L$7)</f>
        <v>0.07771144788</v>
      </c>
      <c r="P536" s="1">
        <f t="shared" si="1585"/>
        <v>0.07177679171</v>
      </c>
      <c r="Q536" s="1">
        <f t="shared" si="1585"/>
        <v>0.07504586884</v>
      </c>
      <c r="R536" s="1">
        <f t="shared" ref="R536:T536" si="1586">1/(1+EXP(-O536))</f>
        <v>0.5194180907</v>
      </c>
      <c r="S536" s="1">
        <f t="shared" si="1586"/>
        <v>0.517936498</v>
      </c>
      <c r="T536" s="1">
        <f t="shared" si="1586"/>
        <v>0.518752667</v>
      </c>
      <c r="U536" s="1">
        <f t="shared" si="11"/>
        <v>2.566907195</v>
      </c>
      <c r="V536" s="1">
        <f t="shared" si="12"/>
        <v>0.3213837677</v>
      </c>
      <c r="W536" s="1">
        <f t="shared" si="13"/>
        <v>2</v>
      </c>
      <c r="X536" s="1">
        <f t="shared" si="14"/>
        <v>0</v>
      </c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</row>
    <row r="537" ht="15.75" customHeight="1">
      <c r="A537" s="1"/>
      <c r="B537" s="7">
        <v>3.0</v>
      </c>
      <c r="C537" s="7">
        <v>1.0</v>
      </c>
      <c r="D537" s="7">
        <v>1.0</v>
      </c>
      <c r="E537" s="7">
        <v>1.0</v>
      </c>
      <c r="F537" s="7">
        <v>2.0</v>
      </c>
      <c r="G537" s="8">
        <v>1.0</v>
      </c>
      <c r="H537" s="7">
        <v>1.0</v>
      </c>
      <c r="I537" s="7">
        <v>1.0</v>
      </c>
      <c r="J537" s="7">
        <v>1.0</v>
      </c>
      <c r="K537" s="7">
        <v>2.0</v>
      </c>
      <c r="L537" s="1">
        <f t="shared" ref="L537:N537" si="1587">SUMPRODUCT($B537:$J537, INDEX($B$2:$J$4, L$10, 0)) + INDEX($K$2:$K$4, L$10,1)</f>
        <v>7.952892864</v>
      </c>
      <c r="M537" s="1">
        <f t="shared" si="1587"/>
        <v>7.568535274</v>
      </c>
      <c r="N537" s="1">
        <f t="shared" si="1587"/>
        <v>7.706420913</v>
      </c>
      <c r="O537" s="1">
        <f t="shared" ref="O537:Q537" si="1588">(L537-L$7)/(L$6-L$7)</f>
        <v>0.001538158696</v>
      </c>
      <c r="P537" s="1">
        <f t="shared" si="1588"/>
        <v>0.0006679091667</v>
      </c>
      <c r="Q537" s="1">
        <f t="shared" si="1588"/>
        <v>0.0003344592598</v>
      </c>
      <c r="R537" s="1">
        <f t="shared" ref="R537:T537" si="1589">1/(1+EXP(-O537))</f>
        <v>0.5003845396</v>
      </c>
      <c r="S537" s="1">
        <f t="shared" si="1589"/>
        <v>0.5001669773</v>
      </c>
      <c r="T537" s="1">
        <f t="shared" si="1589"/>
        <v>0.5000836148</v>
      </c>
      <c r="U537" s="1">
        <f t="shared" si="11"/>
        <v>2.47542491</v>
      </c>
      <c r="V537" s="1">
        <f t="shared" si="12"/>
        <v>0.2260288452</v>
      </c>
      <c r="W537" s="1">
        <f t="shared" si="13"/>
        <v>2</v>
      </c>
      <c r="X537" s="1">
        <f t="shared" si="14"/>
        <v>0</v>
      </c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</row>
    <row r="538" ht="15.75" customHeight="1">
      <c r="A538" s="1"/>
      <c r="B538" s="7">
        <v>3.0</v>
      </c>
      <c r="C538" s="7">
        <v>1.0</v>
      </c>
      <c r="D538" s="7">
        <v>1.0</v>
      </c>
      <c r="E538" s="7">
        <v>1.0</v>
      </c>
      <c r="F538" s="7">
        <v>2.0</v>
      </c>
      <c r="G538" s="8">
        <v>1.0</v>
      </c>
      <c r="H538" s="7">
        <v>2.0</v>
      </c>
      <c r="I538" s="7">
        <v>1.0</v>
      </c>
      <c r="J538" s="7">
        <v>1.0</v>
      </c>
      <c r="K538" s="7">
        <v>2.0</v>
      </c>
      <c r="L538" s="1">
        <f t="shared" ref="L538:N538" si="1590">SUMPRODUCT($B538:$J538, INDEX($B$2:$J$4, L$10, 0)) + INDEX($K$2:$K$4, L$10,1)</f>
        <v>7.985185587</v>
      </c>
      <c r="M538" s="1">
        <f t="shared" si="1590"/>
        <v>7.568535274</v>
      </c>
      <c r="N538" s="1">
        <f t="shared" si="1590"/>
        <v>7.706424942</v>
      </c>
      <c r="O538" s="1">
        <f t="shared" ref="O538:Q538" si="1591">(L538-L$7)/(L$6-L$7)</f>
        <v>0.00206622008</v>
      </c>
      <c r="P538" s="1">
        <f t="shared" si="1591"/>
        <v>0.0006679091667</v>
      </c>
      <c r="Q538" s="1">
        <f t="shared" si="1591"/>
        <v>0.0003345273907</v>
      </c>
      <c r="R538" s="1">
        <f t="shared" ref="R538:T538" si="1592">1/(1+EXP(-O538))</f>
        <v>0.5005165548</v>
      </c>
      <c r="S538" s="1">
        <f t="shared" si="1592"/>
        <v>0.5001669773</v>
      </c>
      <c r="T538" s="1">
        <f t="shared" si="1592"/>
        <v>0.5000836318</v>
      </c>
      <c r="U538" s="1">
        <f t="shared" si="11"/>
        <v>2.475633899</v>
      </c>
      <c r="V538" s="1">
        <f t="shared" si="12"/>
        <v>0.226227606</v>
      </c>
      <c r="W538" s="1">
        <f t="shared" si="13"/>
        <v>2</v>
      </c>
      <c r="X538" s="1">
        <f t="shared" si="14"/>
        <v>0</v>
      </c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</row>
    <row r="539" ht="15.75" customHeight="1">
      <c r="A539" s="1"/>
      <c r="B539" s="7">
        <v>2.0</v>
      </c>
      <c r="C539" s="7">
        <v>1.0</v>
      </c>
      <c r="D539" s="7">
        <v>1.0</v>
      </c>
      <c r="E539" s="7">
        <v>1.0</v>
      </c>
      <c r="F539" s="7">
        <v>2.0</v>
      </c>
      <c r="G539" s="8">
        <v>1.0</v>
      </c>
      <c r="H539" s="7">
        <v>1.0</v>
      </c>
      <c r="I539" s="7">
        <v>1.0</v>
      </c>
      <c r="J539" s="7">
        <v>1.0</v>
      </c>
      <c r="K539" s="7">
        <v>2.0</v>
      </c>
      <c r="L539" s="1">
        <f t="shared" ref="L539:N539" si="1593">SUMPRODUCT($B539:$J539, INDEX($B$2:$J$4, L$10, 0)) + INDEX($K$2:$K$4, L$10,1)</f>
        <v>7.937016298</v>
      </c>
      <c r="M539" s="1">
        <f t="shared" si="1593"/>
        <v>7.549033273</v>
      </c>
      <c r="N539" s="1">
        <f t="shared" si="1593"/>
        <v>7.696531906</v>
      </c>
      <c r="O539" s="1">
        <f t="shared" ref="O539:Q539" si="1594">(L539-L$7)/(L$6-L$7)</f>
        <v>0.001278539775</v>
      </c>
      <c r="P539" s="1">
        <f t="shared" si="1594"/>
        <v>0.0003339577008</v>
      </c>
      <c r="Q539" s="1">
        <f t="shared" si="1594"/>
        <v>0.0001672296299</v>
      </c>
      <c r="R539" s="1">
        <f t="shared" ref="R539:T539" si="1595">1/(1+EXP(-O539))</f>
        <v>0.5003196349</v>
      </c>
      <c r="S539" s="1">
        <f t="shared" si="1595"/>
        <v>0.5000834894</v>
      </c>
      <c r="T539" s="1">
        <f t="shared" si="1595"/>
        <v>0.5000418074</v>
      </c>
      <c r="U539" s="1">
        <f t="shared" si="11"/>
        <v>2.475112694</v>
      </c>
      <c r="V539" s="1">
        <f t="shared" si="12"/>
        <v>0.2257320719</v>
      </c>
      <c r="W539" s="1">
        <f t="shared" si="13"/>
        <v>2</v>
      </c>
      <c r="X539" s="1">
        <f t="shared" si="14"/>
        <v>0</v>
      </c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</row>
    <row r="540" ht="15.75" customHeight="1">
      <c r="A540" s="1"/>
      <c r="B540" s="7">
        <v>3.0</v>
      </c>
      <c r="C540" s="7">
        <v>1.0</v>
      </c>
      <c r="D540" s="7">
        <v>1.0</v>
      </c>
      <c r="E540" s="7">
        <v>1.0</v>
      </c>
      <c r="F540" s="7">
        <v>2.0</v>
      </c>
      <c r="G540" s="8">
        <v>1.0</v>
      </c>
      <c r="H540" s="7">
        <v>2.0</v>
      </c>
      <c r="I540" s="7">
        <v>1.0</v>
      </c>
      <c r="J540" s="7">
        <v>1.0</v>
      </c>
      <c r="K540" s="7">
        <v>2.0</v>
      </c>
      <c r="L540" s="1">
        <f t="shared" ref="L540:N540" si="1596">SUMPRODUCT($B540:$J540, INDEX($B$2:$J$4, L$10, 0)) + INDEX($K$2:$K$4, L$10,1)</f>
        <v>7.985185587</v>
      </c>
      <c r="M540" s="1">
        <f t="shared" si="1596"/>
        <v>7.568535274</v>
      </c>
      <c r="N540" s="1">
        <f t="shared" si="1596"/>
        <v>7.706424942</v>
      </c>
      <c r="O540" s="1">
        <f t="shared" ref="O540:Q540" si="1597">(L540-L$7)/(L$6-L$7)</f>
        <v>0.00206622008</v>
      </c>
      <c r="P540" s="1">
        <f t="shared" si="1597"/>
        <v>0.0006679091667</v>
      </c>
      <c r="Q540" s="1">
        <f t="shared" si="1597"/>
        <v>0.0003345273907</v>
      </c>
      <c r="R540" s="1">
        <f t="shared" ref="R540:T540" si="1598">1/(1+EXP(-O540))</f>
        <v>0.5005165548</v>
      </c>
      <c r="S540" s="1">
        <f t="shared" si="1598"/>
        <v>0.5001669773</v>
      </c>
      <c r="T540" s="1">
        <f t="shared" si="1598"/>
        <v>0.5000836318</v>
      </c>
      <c r="U540" s="1">
        <f t="shared" si="11"/>
        <v>2.475633899</v>
      </c>
      <c r="V540" s="1">
        <f t="shared" si="12"/>
        <v>0.226227606</v>
      </c>
      <c r="W540" s="1">
        <f t="shared" si="13"/>
        <v>2</v>
      </c>
      <c r="X540" s="1">
        <f t="shared" si="14"/>
        <v>0</v>
      </c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</row>
    <row r="541" ht="15.75" customHeight="1">
      <c r="A541" s="1"/>
      <c r="B541" s="7">
        <v>4.0</v>
      </c>
      <c r="C541" s="7">
        <v>1.0</v>
      </c>
      <c r="D541" s="7">
        <v>1.0</v>
      </c>
      <c r="E541" s="7">
        <v>1.0</v>
      </c>
      <c r="F541" s="7">
        <v>2.0</v>
      </c>
      <c r="G541" s="8">
        <v>1.0</v>
      </c>
      <c r="H541" s="7">
        <v>3.0</v>
      </c>
      <c r="I541" s="7">
        <v>1.0</v>
      </c>
      <c r="J541" s="7">
        <v>1.0</v>
      </c>
      <c r="K541" s="7">
        <v>2.0</v>
      </c>
      <c r="L541" s="1">
        <f t="shared" ref="L541:N541" si="1599">SUMPRODUCT($B541:$J541, INDEX($B$2:$J$4, L$10, 0)) + INDEX($K$2:$K$4, L$10,1)</f>
        <v>8.033354877</v>
      </c>
      <c r="M541" s="1">
        <f t="shared" si="1599"/>
        <v>7.588037275</v>
      </c>
      <c r="N541" s="1">
        <f t="shared" si="1599"/>
        <v>7.716317977</v>
      </c>
      <c r="O541" s="1">
        <f t="shared" ref="O541:Q541" si="1600">(L541-L$7)/(L$6-L$7)</f>
        <v>0.002853900385</v>
      </c>
      <c r="P541" s="1">
        <f t="shared" si="1600"/>
        <v>0.001001860633</v>
      </c>
      <c r="Q541" s="1">
        <f t="shared" si="1600"/>
        <v>0.0005018251515</v>
      </c>
      <c r="R541" s="1">
        <f t="shared" ref="R541:T541" si="1601">1/(1+EXP(-O541))</f>
        <v>0.5007134746</v>
      </c>
      <c r="S541" s="1">
        <f t="shared" si="1601"/>
        <v>0.5002504651</v>
      </c>
      <c r="T541" s="1">
        <f t="shared" si="1601"/>
        <v>0.5001254563</v>
      </c>
      <c r="U541" s="1">
        <f t="shared" si="11"/>
        <v>2.476155104</v>
      </c>
      <c r="V541" s="1">
        <f t="shared" si="12"/>
        <v>0.2267236831</v>
      </c>
      <c r="W541" s="1">
        <f t="shared" si="13"/>
        <v>2</v>
      </c>
      <c r="X541" s="1">
        <f t="shared" si="14"/>
        <v>0</v>
      </c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</row>
    <row r="542" ht="15.75" customHeight="1">
      <c r="A542" s="1"/>
      <c r="B542" s="7">
        <v>5.0</v>
      </c>
      <c r="C542" s="7">
        <v>2.0</v>
      </c>
      <c r="D542" s="7">
        <v>3.0</v>
      </c>
      <c r="E542" s="7">
        <v>4.0</v>
      </c>
      <c r="F542" s="7">
        <v>2.0</v>
      </c>
      <c r="G542" s="8">
        <v>7.0</v>
      </c>
      <c r="H542" s="7">
        <v>3.0</v>
      </c>
      <c r="I542" s="7">
        <v>6.0</v>
      </c>
      <c r="J542" s="7">
        <v>1.0</v>
      </c>
      <c r="K542" s="7">
        <v>4.0</v>
      </c>
      <c r="L542" s="1">
        <f t="shared" ref="L542:N542" si="1602">SUMPRODUCT($B542:$J542, INDEX($B$2:$J$4, L$10, 0)) + INDEX($K$2:$K$4, L$10,1)</f>
        <v>33.73357466</v>
      </c>
      <c r="M542" s="1">
        <f t="shared" si="1602"/>
        <v>32.799421</v>
      </c>
      <c r="N542" s="1">
        <f t="shared" si="1602"/>
        <v>33.68550979</v>
      </c>
      <c r="O542" s="1">
        <f t="shared" ref="O542:Q542" si="1603">(L542-L$7)/(L$6-L$7)</f>
        <v>0.423112472</v>
      </c>
      <c r="P542" s="1">
        <f t="shared" si="1603"/>
        <v>0.4327205562</v>
      </c>
      <c r="Q542" s="1">
        <f t="shared" si="1603"/>
        <v>0.4396580166</v>
      </c>
      <c r="R542" s="1">
        <f t="shared" ref="R542:T542" si="1604">1/(1+EXP(-O542))</f>
        <v>0.6042277967</v>
      </c>
      <c r="S542" s="1">
        <f t="shared" si="1604"/>
        <v>0.6065231247</v>
      </c>
      <c r="T542" s="1">
        <f t="shared" si="1604"/>
        <v>0.6081775399</v>
      </c>
      <c r="U542" s="1">
        <f t="shared" si="11"/>
        <v>3.000764562</v>
      </c>
      <c r="V542" s="1">
        <f t="shared" si="12"/>
        <v>0.9984714605</v>
      </c>
      <c r="W542" s="1">
        <f t="shared" si="13"/>
        <v>4</v>
      </c>
      <c r="X542" s="1">
        <f t="shared" si="14"/>
        <v>0</v>
      </c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</row>
    <row r="543" ht="15.75" customHeight="1">
      <c r="A543" s="1"/>
      <c r="B543" s="7">
        <v>5.0</v>
      </c>
      <c r="C543" s="7">
        <v>3.0</v>
      </c>
      <c r="D543" s="7">
        <v>5.0</v>
      </c>
      <c r="E543" s="7">
        <v>5.0</v>
      </c>
      <c r="F543" s="7">
        <v>3.0</v>
      </c>
      <c r="G543" s="8">
        <v>3.0</v>
      </c>
      <c r="H543" s="7">
        <v>4.0</v>
      </c>
      <c r="I543" s="7">
        <v>10.0</v>
      </c>
      <c r="J543" s="7">
        <v>1.0</v>
      </c>
      <c r="K543" s="7">
        <v>4.0</v>
      </c>
      <c r="L543" s="1">
        <f t="shared" ref="L543:N543" si="1605">SUMPRODUCT($B543:$J543, INDEX($B$2:$J$4, L$10, 0)) + INDEX($K$2:$K$4, L$10,1)</f>
        <v>26.70536202</v>
      </c>
      <c r="M543" s="1">
        <f t="shared" si="1605"/>
        <v>25.13797521</v>
      </c>
      <c r="N543" s="1">
        <f t="shared" si="1605"/>
        <v>25.98698145</v>
      </c>
      <c r="O543" s="1">
        <f t="shared" ref="O543:Q543" si="1606">(L543-L$7)/(L$6-L$7)</f>
        <v>0.3081847932</v>
      </c>
      <c r="P543" s="1">
        <f t="shared" si="1606"/>
        <v>0.3015262743</v>
      </c>
      <c r="Q543" s="1">
        <f t="shared" si="1606"/>
        <v>0.3094708159</v>
      </c>
      <c r="R543" s="1">
        <f t="shared" ref="R543:T543" si="1607">1/(1+EXP(-O543))</f>
        <v>0.576442128</v>
      </c>
      <c r="S543" s="1">
        <f t="shared" si="1607"/>
        <v>0.5748155848</v>
      </c>
      <c r="T543" s="1">
        <f t="shared" si="1607"/>
        <v>0.576756088</v>
      </c>
      <c r="U543" s="1">
        <f t="shared" si="11"/>
        <v>2.850549173</v>
      </c>
      <c r="V543" s="1">
        <f t="shared" si="12"/>
        <v>1.321237204</v>
      </c>
      <c r="W543" s="1">
        <f t="shared" si="13"/>
        <v>4</v>
      </c>
      <c r="X543" s="1">
        <f t="shared" si="14"/>
        <v>0</v>
      </c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</row>
    <row r="544" ht="15.75" customHeight="1">
      <c r="A544" s="1"/>
      <c r="B544" s="7">
        <v>10.0</v>
      </c>
      <c r="C544" s="7">
        <v>10.0</v>
      </c>
      <c r="D544" s="7">
        <v>10.0</v>
      </c>
      <c r="E544" s="7">
        <v>3.0</v>
      </c>
      <c r="F544" s="7">
        <v>10.0</v>
      </c>
      <c r="G544" s="8">
        <v>8.0</v>
      </c>
      <c r="H544" s="7">
        <v>8.0</v>
      </c>
      <c r="I544" s="7">
        <v>1.0</v>
      </c>
      <c r="J544" s="7">
        <v>1.0</v>
      </c>
      <c r="K544" s="7">
        <v>4.0</v>
      </c>
      <c r="L544" s="1">
        <f t="shared" ref="L544:N544" si="1608">SUMPRODUCT($B544:$J544, INDEX($B$2:$J$4, L$10, 0)) + INDEX($K$2:$K$4, L$10,1)</f>
        <v>59.85800736</v>
      </c>
      <c r="M544" s="1">
        <f t="shared" si="1608"/>
        <v>56.78000658</v>
      </c>
      <c r="N544" s="1">
        <f t="shared" si="1608"/>
        <v>57.42733381</v>
      </c>
      <c r="O544" s="1">
        <f t="shared" ref="O544:Q544" si="1609">(L544-L$7)/(L$6-L$7)</f>
        <v>0.850307915</v>
      </c>
      <c r="P544" s="1">
        <f t="shared" si="1609"/>
        <v>0.843363115</v>
      </c>
      <c r="Q544" s="1">
        <f t="shared" si="1609"/>
        <v>0.841147947</v>
      </c>
      <c r="R544" s="1">
        <f t="shared" ref="R544:T544" si="1610">1/(1+EXP(-O544))</f>
        <v>0.7006317307</v>
      </c>
      <c r="S544" s="1">
        <f t="shared" si="1610"/>
        <v>0.6991730538</v>
      </c>
      <c r="T544" s="1">
        <f t="shared" si="1610"/>
        <v>0.6987069318</v>
      </c>
      <c r="U544" s="1">
        <f t="shared" si="11"/>
        <v>3.461572682</v>
      </c>
      <c r="V544" s="1">
        <f t="shared" si="12"/>
        <v>0.2899039764</v>
      </c>
      <c r="W544" s="1">
        <f t="shared" si="13"/>
        <v>4</v>
      </c>
      <c r="X544" s="1">
        <f t="shared" si="14"/>
        <v>0</v>
      </c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</row>
    <row r="545" ht="15.75" customHeight="1">
      <c r="A545" s="1"/>
      <c r="B545" s="7">
        <v>9.0</v>
      </c>
      <c r="C545" s="7">
        <v>5.0</v>
      </c>
      <c r="D545" s="7">
        <v>5.0</v>
      </c>
      <c r="E545" s="7">
        <v>4.0</v>
      </c>
      <c r="F545" s="7">
        <v>4.0</v>
      </c>
      <c r="G545" s="8">
        <v>5.0</v>
      </c>
      <c r="H545" s="7">
        <v>4.0</v>
      </c>
      <c r="I545" s="7">
        <v>3.0</v>
      </c>
      <c r="J545" s="7">
        <v>3.0</v>
      </c>
      <c r="K545" s="7">
        <v>4.0</v>
      </c>
      <c r="L545" s="1">
        <f t="shared" ref="L545:N545" si="1611">SUMPRODUCT($B545:$J545, INDEX($B$2:$J$4, L$10, 0)) + INDEX($K$2:$K$4, L$10,1)</f>
        <v>34.4893073</v>
      </c>
      <c r="M545" s="1">
        <f t="shared" si="1611"/>
        <v>32.97649279</v>
      </c>
      <c r="N545" s="1">
        <f t="shared" si="1611"/>
        <v>33.40449635</v>
      </c>
      <c r="O545" s="1">
        <f t="shared" ref="O545:Q545" si="1612">(L545-L$7)/(L$6-L$7)</f>
        <v>0.4354704644</v>
      </c>
      <c r="P545" s="1">
        <f t="shared" si="1612"/>
        <v>0.4357527262</v>
      </c>
      <c r="Q545" s="1">
        <f t="shared" si="1612"/>
        <v>0.4349058936</v>
      </c>
      <c r="R545" s="1">
        <f t="shared" ref="R545:T545" si="1613">1/(1+EXP(-O545))</f>
        <v>0.6071792054</v>
      </c>
      <c r="S545" s="1">
        <f t="shared" si="1613"/>
        <v>0.6072465264</v>
      </c>
      <c r="T545" s="1">
        <f t="shared" si="1613"/>
        <v>0.60704454</v>
      </c>
      <c r="U545" s="1">
        <f t="shared" si="11"/>
        <v>3.004685086</v>
      </c>
      <c r="V545" s="1">
        <f t="shared" si="12"/>
        <v>0.9906517778</v>
      </c>
      <c r="W545" s="1">
        <f t="shared" si="13"/>
        <v>4</v>
      </c>
      <c r="X545" s="1">
        <f t="shared" si="14"/>
        <v>0</v>
      </c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</row>
    <row r="546" ht="15.75" customHeight="1">
      <c r="A546" s="1"/>
      <c r="B546" s="7">
        <v>10.0</v>
      </c>
      <c r="C546" s="7">
        <v>10.0</v>
      </c>
      <c r="D546" s="7">
        <v>9.0</v>
      </c>
      <c r="E546" s="7">
        <v>3.0</v>
      </c>
      <c r="F546" s="7">
        <v>7.0</v>
      </c>
      <c r="G546" s="8">
        <v>5.0</v>
      </c>
      <c r="H546" s="7">
        <v>3.0</v>
      </c>
      <c r="I546" s="7">
        <v>5.0</v>
      </c>
      <c r="J546" s="7">
        <v>1.0</v>
      </c>
      <c r="K546" s="7">
        <v>4.0</v>
      </c>
      <c r="L546" s="1">
        <f t="shared" ref="L546:N546" si="1614">SUMPRODUCT($B546:$J546, INDEX($B$2:$J$4, L$10, 0)) + INDEX($K$2:$K$4, L$10,1)</f>
        <v>49.36327628</v>
      </c>
      <c r="M546" s="1">
        <f t="shared" si="1614"/>
        <v>46.91169952</v>
      </c>
      <c r="N546" s="1">
        <f t="shared" si="1614"/>
        <v>47.10779525</v>
      </c>
      <c r="O546" s="1">
        <f t="shared" ref="O546:Q546" si="1615">(L546-L$7)/(L$6-L$7)</f>
        <v>0.6786945696</v>
      </c>
      <c r="P546" s="1">
        <f t="shared" si="1615"/>
        <v>0.6743786317</v>
      </c>
      <c r="Q546" s="1">
        <f t="shared" si="1615"/>
        <v>0.6666377318</v>
      </c>
      <c r="R546" s="1">
        <f t="shared" ref="R546:T546" si="1616">1/(1+EXP(-O546))</f>
        <v>0.6634472766</v>
      </c>
      <c r="S546" s="1">
        <f t="shared" si="1616"/>
        <v>0.6624829137</v>
      </c>
      <c r="T546" s="1">
        <f t="shared" si="1616"/>
        <v>0.6607498828</v>
      </c>
      <c r="U546" s="1">
        <f t="shared" si="11"/>
        <v>3.277043973</v>
      </c>
      <c r="V546" s="1">
        <f t="shared" si="12"/>
        <v>0.522665417</v>
      </c>
      <c r="W546" s="1">
        <f t="shared" si="13"/>
        <v>4</v>
      </c>
      <c r="X546" s="1">
        <f t="shared" si="14"/>
        <v>0</v>
      </c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</row>
    <row r="547" ht="15.75" customHeight="1">
      <c r="A547" s="1"/>
      <c r="B547" s="7">
        <v>10.0</v>
      </c>
      <c r="C547" s="7">
        <v>10.0</v>
      </c>
      <c r="D547" s="7">
        <v>10.0</v>
      </c>
      <c r="E547" s="7">
        <v>10.0</v>
      </c>
      <c r="F547" s="7">
        <v>3.0</v>
      </c>
      <c r="G547" s="8">
        <v>10.0</v>
      </c>
      <c r="H547" s="7">
        <v>10.0</v>
      </c>
      <c r="I547" s="7">
        <v>6.0</v>
      </c>
      <c r="J547" s="7">
        <v>1.0</v>
      </c>
      <c r="K547" s="7">
        <v>4.0</v>
      </c>
      <c r="L547" s="1">
        <f t="shared" ref="L547:N547" si="1617">SUMPRODUCT($B547:$J547, INDEX($B$2:$J$4, L$10, 0)) + INDEX($K$2:$K$4, L$10,1)</f>
        <v>67.62565703</v>
      </c>
      <c r="M547" s="1">
        <f t="shared" si="1617"/>
        <v>64.75607143</v>
      </c>
      <c r="N547" s="1">
        <f t="shared" si="1617"/>
        <v>65.61931956</v>
      </c>
      <c r="O547" s="1">
        <f t="shared" ref="O547:Q547" si="1618">(L547-L$7)/(L$6-L$7)</f>
        <v>0.9773271148</v>
      </c>
      <c r="P547" s="1">
        <f t="shared" si="1618"/>
        <v>0.9799449206</v>
      </c>
      <c r="Q547" s="1">
        <f t="shared" si="1618"/>
        <v>0.9796798385</v>
      </c>
      <c r="R547" s="1">
        <f t="shared" ref="R547:T547" si="1619">1/(1+EXP(-O547))</f>
        <v>0.7265775357</v>
      </c>
      <c r="S547" s="1">
        <f t="shared" si="1619"/>
        <v>0.7270972873</v>
      </c>
      <c r="T547" s="1">
        <f t="shared" si="1619"/>
        <v>0.7270446847</v>
      </c>
      <c r="U547" s="1">
        <f t="shared" si="11"/>
        <v>3.59734213</v>
      </c>
      <c r="V547" s="1">
        <f t="shared" si="12"/>
        <v>0.1621333606</v>
      </c>
      <c r="W547" s="1">
        <f t="shared" si="13"/>
        <v>4</v>
      </c>
      <c r="X547" s="1">
        <f t="shared" si="14"/>
        <v>0</v>
      </c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</row>
    <row r="548" ht="15.75" customHeight="1">
      <c r="A548" s="1"/>
      <c r="B548" s="7">
        <v>9.0</v>
      </c>
      <c r="C548" s="7">
        <v>8.0</v>
      </c>
      <c r="D548" s="7">
        <v>8.0</v>
      </c>
      <c r="E548" s="7">
        <v>5.0</v>
      </c>
      <c r="F548" s="7">
        <v>6.0</v>
      </c>
      <c r="G548" s="8">
        <v>2.0</v>
      </c>
      <c r="H548" s="7">
        <v>4.0</v>
      </c>
      <c r="I548" s="7">
        <v>10.0</v>
      </c>
      <c r="J548" s="7">
        <v>4.0</v>
      </c>
      <c r="K548" s="7">
        <v>4.0</v>
      </c>
      <c r="L548" s="1">
        <f t="shared" ref="L548:N548" si="1620">SUMPRODUCT($B548:$J548, INDEX($B$2:$J$4, L$10, 0)) + INDEX($K$2:$K$4, L$10,1)</f>
        <v>36.32894898</v>
      </c>
      <c r="M548" s="1">
        <f t="shared" si="1620"/>
        <v>34.01873686</v>
      </c>
      <c r="N548" s="1">
        <f t="shared" si="1620"/>
        <v>34.27117041</v>
      </c>
      <c r="O548" s="1">
        <f t="shared" ref="O548:Q548" si="1621">(L548-L$7)/(L$6-L$7)</f>
        <v>0.4655528991</v>
      </c>
      <c r="P548" s="1">
        <f t="shared" si="1621"/>
        <v>0.4536000707</v>
      </c>
      <c r="Q548" s="1">
        <f t="shared" si="1621"/>
        <v>0.4495619246</v>
      </c>
      <c r="R548" s="1">
        <f t="shared" ref="R548:T548" si="1622">1/(1+EXP(-O548))</f>
        <v>0.6143306486</v>
      </c>
      <c r="S548" s="1">
        <f t="shared" si="1622"/>
        <v>0.6114948413</v>
      </c>
      <c r="T548" s="1">
        <f t="shared" si="1622"/>
        <v>0.6105350725</v>
      </c>
      <c r="U548" s="1">
        <f t="shared" si="11"/>
        <v>3.029003789</v>
      </c>
      <c r="V548" s="1">
        <f t="shared" si="12"/>
        <v>0.9428336408</v>
      </c>
      <c r="W548" s="1">
        <f t="shared" si="13"/>
        <v>4</v>
      </c>
      <c r="X548" s="1">
        <f t="shared" si="14"/>
        <v>0</v>
      </c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</row>
    <row r="549" ht="15.75" customHeight="1">
      <c r="A549" s="1"/>
      <c r="B549" s="7">
        <v>7.0</v>
      </c>
      <c r="C549" s="7">
        <v>9.0</v>
      </c>
      <c r="D549" s="7">
        <v>4.0</v>
      </c>
      <c r="E549" s="7">
        <v>10.0</v>
      </c>
      <c r="F549" s="7">
        <v>10.0</v>
      </c>
      <c r="G549" s="8">
        <v>3.0</v>
      </c>
      <c r="H549" s="7">
        <v>5.0</v>
      </c>
      <c r="I549" s="7">
        <v>3.0</v>
      </c>
      <c r="J549" s="7">
        <v>3.0</v>
      </c>
      <c r="K549" s="7">
        <v>4.0</v>
      </c>
      <c r="L549" s="1">
        <f t="shared" ref="L549:N549" si="1623">SUMPRODUCT($B549:$J549, INDEX($B$2:$J$4, L$10, 0)) + INDEX($K$2:$K$4, L$10,1)</f>
        <v>33.39882523</v>
      </c>
      <c r="M549" s="1">
        <f t="shared" si="1623"/>
        <v>31.74996314</v>
      </c>
      <c r="N549" s="1">
        <f t="shared" si="1623"/>
        <v>30.84200366</v>
      </c>
      <c r="O549" s="1">
        <f t="shared" ref="O549:Q549" si="1624">(L549-L$7)/(L$6-L$7)</f>
        <v>0.4176385377</v>
      </c>
      <c r="P549" s="1">
        <f t="shared" si="1624"/>
        <v>0.414749683</v>
      </c>
      <c r="Q549" s="1">
        <f t="shared" si="1624"/>
        <v>0.3915724492</v>
      </c>
      <c r="R549" s="1">
        <f t="shared" ref="R549:T549" si="1625">1/(1+EXP(-O549))</f>
        <v>0.6029180348</v>
      </c>
      <c r="S549" s="1">
        <f t="shared" si="1625"/>
        <v>0.602226215</v>
      </c>
      <c r="T549" s="1">
        <f t="shared" si="1625"/>
        <v>0.596661177</v>
      </c>
      <c r="U549" s="1">
        <f t="shared" si="11"/>
        <v>2.971837909</v>
      </c>
      <c r="V549" s="1">
        <f t="shared" si="12"/>
        <v>1.057117286</v>
      </c>
      <c r="W549" s="1">
        <f t="shared" si="13"/>
        <v>4</v>
      </c>
      <c r="X549" s="1">
        <f t="shared" si="14"/>
        <v>0</v>
      </c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</row>
    <row r="550" ht="15.75" customHeight="1">
      <c r="A550" s="1"/>
      <c r="B550" s="7">
        <v>1.0</v>
      </c>
      <c r="C550" s="7">
        <v>1.0</v>
      </c>
      <c r="D550" s="7">
        <v>1.0</v>
      </c>
      <c r="E550" s="7">
        <v>1.0</v>
      </c>
      <c r="F550" s="7">
        <v>2.0</v>
      </c>
      <c r="G550" s="8">
        <v>1.0</v>
      </c>
      <c r="H550" s="7">
        <v>3.0</v>
      </c>
      <c r="I550" s="7">
        <v>1.0</v>
      </c>
      <c r="J550" s="7">
        <v>1.0</v>
      </c>
      <c r="K550" s="7">
        <v>2.0</v>
      </c>
      <c r="L550" s="1">
        <f t="shared" ref="L550:N550" si="1626">SUMPRODUCT($B550:$J550, INDEX($B$2:$J$4, L$10, 0)) + INDEX($K$2:$K$4, L$10,1)</f>
        <v>7.985725177</v>
      </c>
      <c r="M550" s="1">
        <f t="shared" si="1626"/>
        <v>7.529531272</v>
      </c>
      <c r="N550" s="1">
        <f t="shared" si="1626"/>
        <v>7.686650958</v>
      </c>
      <c r="O550" s="1">
        <f t="shared" ref="O550:Q550" si="1627">(L550-L$7)/(L$6-L$7)</f>
        <v>0.002075043622</v>
      </c>
      <c r="P550" s="1">
        <f t="shared" si="1627"/>
        <v>0.000000006234892308</v>
      </c>
      <c r="Q550" s="1">
        <f t="shared" si="1627"/>
        <v>0.0000001362617963</v>
      </c>
      <c r="R550" s="1">
        <f t="shared" ref="R550:T550" si="1628">1/(1+EXP(-O550))</f>
        <v>0.5005187607</v>
      </c>
      <c r="S550" s="1">
        <f t="shared" si="1628"/>
        <v>0.5000000016</v>
      </c>
      <c r="T550" s="1">
        <f t="shared" si="1628"/>
        <v>0.5000000341</v>
      </c>
      <c r="U550" s="1">
        <f t="shared" si="11"/>
        <v>2.475218456</v>
      </c>
      <c r="V550" s="1">
        <f t="shared" si="12"/>
        <v>0.2258325805</v>
      </c>
      <c r="W550" s="1">
        <f t="shared" si="13"/>
        <v>2</v>
      </c>
      <c r="X550" s="1">
        <f t="shared" si="14"/>
        <v>0</v>
      </c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</row>
    <row r="551" ht="15.75" customHeight="1">
      <c r="A551" s="1"/>
      <c r="B551" s="7">
        <v>5.0</v>
      </c>
      <c r="C551" s="7">
        <v>5.0</v>
      </c>
      <c r="D551" s="7">
        <v>7.0</v>
      </c>
      <c r="E551" s="7">
        <v>8.0</v>
      </c>
      <c r="F551" s="7">
        <v>6.0</v>
      </c>
      <c r="G551" s="8">
        <v>10.0</v>
      </c>
      <c r="H551" s="7">
        <v>7.0</v>
      </c>
      <c r="I551" s="7">
        <v>4.0</v>
      </c>
      <c r="J551" s="7">
        <v>1.0</v>
      </c>
      <c r="K551" s="7">
        <v>4.0</v>
      </c>
      <c r="L551" s="1">
        <f t="shared" ref="L551:N551" si="1629">SUMPRODUCT($B551:$J551, INDEX($B$2:$J$4, L$10, 0)) + INDEX($K$2:$K$4, L$10,1)</f>
        <v>54.38396732</v>
      </c>
      <c r="M551" s="1">
        <f t="shared" si="1629"/>
        <v>52.01417229</v>
      </c>
      <c r="N551" s="1">
        <f t="shared" si="1629"/>
        <v>53.38364036</v>
      </c>
      <c r="O551" s="1">
        <f t="shared" ref="O551:Q551" si="1630">(L551-L$7)/(L$6-L$7)</f>
        <v>0.7607945851</v>
      </c>
      <c r="P551" s="1">
        <f t="shared" si="1630"/>
        <v>0.761753165</v>
      </c>
      <c r="Q551" s="1">
        <f t="shared" si="1630"/>
        <v>0.7727664191</v>
      </c>
      <c r="R551" s="1">
        <f t="shared" ref="R551:T551" si="1631">1/(1+EXP(-O551))</f>
        <v>0.6815262219</v>
      </c>
      <c r="S551" s="1">
        <f t="shared" si="1631"/>
        <v>0.6817342438</v>
      </c>
      <c r="T551" s="1">
        <f t="shared" si="1631"/>
        <v>0.6841190217</v>
      </c>
      <c r="U551" s="1">
        <f t="shared" si="11"/>
        <v>3.3775263</v>
      </c>
      <c r="V551" s="1">
        <f t="shared" si="12"/>
        <v>0.3874735072</v>
      </c>
      <c r="W551" s="1">
        <f t="shared" si="13"/>
        <v>4</v>
      </c>
      <c r="X551" s="1">
        <f t="shared" si="14"/>
        <v>0</v>
      </c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</row>
    <row r="552" ht="15.75" customHeight="1">
      <c r="A552" s="1"/>
      <c r="B552" s="7">
        <v>1.0</v>
      </c>
      <c r="C552" s="7">
        <v>1.0</v>
      </c>
      <c r="D552" s="7">
        <v>1.0</v>
      </c>
      <c r="E552" s="7">
        <v>1.0</v>
      </c>
      <c r="F552" s="7">
        <v>2.0</v>
      </c>
      <c r="G552" s="8">
        <v>1.0</v>
      </c>
      <c r="H552" s="7">
        <v>1.0</v>
      </c>
      <c r="I552" s="7">
        <v>1.0</v>
      </c>
      <c r="J552" s="7">
        <v>1.0</v>
      </c>
      <c r="K552" s="7">
        <v>2.0</v>
      </c>
      <c r="L552" s="1">
        <f t="shared" ref="L552:N552" si="1632">SUMPRODUCT($B552:$J552, INDEX($B$2:$J$4, L$10, 0)) + INDEX($K$2:$K$4, L$10,1)</f>
        <v>7.921139731</v>
      </c>
      <c r="M552" s="1">
        <f t="shared" si="1632"/>
        <v>7.529531272</v>
      </c>
      <c r="N552" s="1">
        <f t="shared" si="1632"/>
        <v>7.6866429</v>
      </c>
      <c r="O552" s="1">
        <f t="shared" ref="O552:Q552" si="1633">(L552-L$7)/(L$6-L$7)</f>
        <v>0.001018920854</v>
      </c>
      <c r="P552" s="1">
        <f t="shared" si="1633"/>
        <v>0.000000006234892308</v>
      </c>
      <c r="Q552" s="1">
        <f t="shared" si="1633"/>
        <v>0</v>
      </c>
      <c r="R552" s="1">
        <f t="shared" ref="R552:T552" si="1634">1/(1+EXP(-O552))</f>
        <v>0.5002547302</v>
      </c>
      <c r="S552" s="1">
        <f t="shared" si="1634"/>
        <v>0.5000000016</v>
      </c>
      <c r="T552" s="1">
        <f t="shared" si="1634"/>
        <v>0.5</v>
      </c>
      <c r="U552" s="1">
        <f t="shared" si="11"/>
        <v>2.474800478</v>
      </c>
      <c r="V552" s="1">
        <f t="shared" si="12"/>
        <v>0.2254354935</v>
      </c>
      <c r="W552" s="1">
        <f t="shared" si="13"/>
        <v>2</v>
      </c>
      <c r="X552" s="1">
        <f t="shared" si="14"/>
        <v>0</v>
      </c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</row>
    <row r="553" ht="15.75" customHeight="1">
      <c r="A553" s="1"/>
      <c r="B553" s="7">
        <v>5.0</v>
      </c>
      <c r="C553" s="7">
        <v>5.0</v>
      </c>
      <c r="D553" s="7">
        <v>5.0</v>
      </c>
      <c r="E553" s="7">
        <v>2.0</v>
      </c>
      <c r="F553" s="7">
        <v>5.0</v>
      </c>
      <c r="G553" s="8">
        <v>10.0</v>
      </c>
      <c r="H553" s="7">
        <v>4.0</v>
      </c>
      <c r="I553" s="7">
        <v>3.0</v>
      </c>
      <c r="J553" s="7">
        <v>1.0</v>
      </c>
      <c r="K553" s="7">
        <v>4.0</v>
      </c>
      <c r="L553" s="1">
        <f t="shared" ref="L553:N553" si="1635">SUMPRODUCT($B553:$J553, INDEX($B$2:$J$4, L$10, 0)) + INDEX($K$2:$K$4, L$10,1)</f>
        <v>50.65318454</v>
      </c>
      <c r="M553" s="1">
        <f t="shared" si="1635"/>
        <v>49.17875307</v>
      </c>
      <c r="N553" s="1">
        <f t="shared" si="1635"/>
        <v>50.03526082</v>
      </c>
      <c r="O553" s="1">
        <f t="shared" ref="O553:Q553" si="1636">(L553-L$7)/(L$6-L$7)</f>
        <v>0.6997875799</v>
      </c>
      <c r="P553" s="1">
        <f t="shared" si="1636"/>
        <v>0.7131995632</v>
      </c>
      <c r="Q553" s="1">
        <f t="shared" si="1636"/>
        <v>0.7161431088</v>
      </c>
      <c r="R553" s="1">
        <f t="shared" ref="R553:T553" si="1637">1/(1+EXP(-O553))</f>
        <v>0.6681406742</v>
      </c>
      <c r="S553" s="1">
        <f t="shared" si="1637"/>
        <v>0.6711077605</v>
      </c>
      <c r="T553" s="1">
        <f t="shared" si="1637"/>
        <v>0.6717571386</v>
      </c>
      <c r="U553" s="1">
        <f t="shared" si="11"/>
        <v>3.31759248</v>
      </c>
      <c r="V553" s="1">
        <f t="shared" si="12"/>
        <v>0.465680023</v>
      </c>
      <c r="W553" s="1">
        <f t="shared" si="13"/>
        <v>4</v>
      </c>
      <c r="X553" s="1">
        <f t="shared" si="14"/>
        <v>0</v>
      </c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</row>
    <row r="554" ht="15.75" customHeight="1">
      <c r="A554" s="1"/>
      <c r="B554" s="7">
        <v>8.0</v>
      </c>
      <c r="C554" s="7">
        <v>5.0</v>
      </c>
      <c r="D554" s="7">
        <v>5.0</v>
      </c>
      <c r="E554" s="7">
        <v>5.0</v>
      </c>
      <c r="F554" s="7">
        <v>2.0</v>
      </c>
      <c r="G554" s="8">
        <v>10.0</v>
      </c>
      <c r="H554" s="7">
        <v>4.0</v>
      </c>
      <c r="I554" s="7">
        <v>3.0</v>
      </c>
      <c r="J554" s="7">
        <v>1.0</v>
      </c>
      <c r="K554" s="7">
        <v>4.0</v>
      </c>
      <c r="L554" s="1">
        <f t="shared" ref="L554:N554" si="1638">SUMPRODUCT($B554:$J554, INDEX($B$2:$J$4, L$10, 0)) + INDEX($K$2:$K$4, L$10,1)</f>
        <v>50.61007976</v>
      </c>
      <c r="M554" s="1">
        <f t="shared" si="1638"/>
        <v>49.23725798</v>
      </c>
      <c r="N554" s="1">
        <f t="shared" si="1638"/>
        <v>50.07332263</v>
      </c>
      <c r="O554" s="1">
        <f t="shared" ref="O554:Q554" si="1639">(L554-L$7)/(L$6-L$7)</f>
        <v>0.6990827161</v>
      </c>
      <c r="P554" s="1">
        <f t="shared" si="1639"/>
        <v>0.7142013989</v>
      </c>
      <c r="Q554" s="1">
        <f t="shared" si="1639"/>
        <v>0.7167867591</v>
      </c>
      <c r="R554" s="1">
        <f t="shared" ref="R554:T554" si="1640">1/(1+EXP(-O554))</f>
        <v>0.6679843672</v>
      </c>
      <c r="S554" s="1">
        <f t="shared" si="1640"/>
        <v>0.6713288499</v>
      </c>
      <c r="T554" s="1">
        <f t="shared" si="1640"/>
        <v>0.6718990475</v>
      </c>
      <c r="U554" s="1">
        <f t="shared" si="11"/>
        <v>3.317953353</v>
      </c>
      <c r="V554" s="1">
        <f t="shared" si="12"/>
        <v>0.4651876285</v>
      </c>
      <c r="W554" s="1">
        <f t="shared" si="13"/>
        <v>4</v>
      </c>
      <c r="X554" s="1">
        <f t="shared" si="14"/>
        <v>0</v>
      </c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</row>
    <row r="555" ht="15.75" customHeight="1">
      <c r="A555" s="1"/>
      <c r="B555" s="7">
        <v>2.0</v>
      </c>
      <c r="C555" s="7">
        <v>1.0</v>
      </c>
      <c r="D555" s="7">
        <v>1.0</v>
      </c>
      <c r="E555" s="7">
        <v>1.0</v>
      </c>
      <c r="F555" s="7">
        <v>2.0</v>
      </c>
      <c r="G555" s="8">
        <v>1.0</v>
      </c>
      <c r="H555" s="7">
        <v>3.0</v>
      </c>
      <c r="I555" s="7">
        <v>1.0</v>
      </c>
      <c r="J555" s="7">
        <v>1.0</v>
      </c>
      <c r="K555" s="7">
        <v>2.0</v>
      </c>
      <c r="L555" s="1">
        <f t="shared" ref="L555:N555" si="1641">SUMPRODUCT($B555:$J555, INDEX($B$2:$J$4, L$10, 0)) + INDEX($K$2:$K$4, L$10,1)</f>
        <v>8.001601743</v>
      </c>
      <c r="M555" s="1">
        <f t="shared" si="1641"/>
        <v>7.549033273</v>
      </c>
      <c r="N555" s="1">
        <f t="shared" si="1641"/>
        <v>7.696539964</v>
      </c>
      <c r="O555" s="1">
        <f t="shared" ref="O555:Q555" si="1642">(L555-L$7)/(L$6-L$7)</f>
        <v>0.002334662543</v>
      </c>
      <c r="P555" s="1">
        <f t="shared" si="1642"/>
        <v>0.0003339577008</v>
      </c>
      <c r="Q555" s="1">
        <f t="shared" si="1642"/>
        <v>0.0001673658917</v>
      </c>
      <c r="R555" s="1">
        <f t="shared" ref="R555:T555" si="1643">1/(1+EXP(-O555))</f>
        <v>0.5005836654</v>
      </c>
      <c r="S555" s="1">
        <f t="shared" si="1643"/>
        <v>0.5000834894</v>
      </c>
      <c r="T555" s="1">
        <f t="shared" si="1643"/>
        <v>0.5000418415</v>
      </c>
      <c r="U555" s="1">
        <f t="shared" si="11"/>
        <v>2.475530672</v>
      </c>
      <c r="V555" s="1">
        <f t="shared" si="12"/>
        <v>0.2261294198</v>
      </c>
      <c r="W555" s="1">
        <f t="shared" si="13"/>
        <v>2</v>
      </c>
      <c r="X555" s="1">
        <f t="shared" si="14"/>
        <v>0</v>
      </c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</row>
    <row r="556" ht="15.75" customHeight="1">
      <c r="A556" s="1"/>
      <c r="B556" s="7">
        <v>8.0</v>
      </c>
      <c r="C556" s="7">
        <v>10.0</v>
      </c>
      <c r="D556" s="7">
        <v>10.0</v>
      </c>
      <c r="E556" s="7">
        <v>10.0</v>
      </c>
      <c r="F556" s="7">
        <v>7.0</v>
      </c>
      <c r="G556" s="8">
        <v>5.0</v>
      </c>
      <c r="H556" s="7">
        <v>4.0</v>
      </c>
      <c r="I556" s="7">
        <v>8.0</v>
      </c>
      <c r="J556" s="7">
        <v>7.0</v>
      </c>
      <c r="K556" s="7">
        <v>4.0</v>
      </c>
      <c r="L556" s="1">
        <f t="shared" ref="L556:N556" si="1644">SUMPRODUCT($B556:$J556, INDEX($B$2:$J$4, L$10, 0)) + INDEX($K$2:$K$4, L$10,1)</f>
        <v>51.9894235</v>
      </c>
      <c r="M556" s="1">
        <f t="shared" si="1644"/>
        <v>49.02238506</v>
      </c>
      <c r="N556" s="1">
        <f t="shared" si="1644"/>
        <v>49.52440956</v>
      </c>
      <c r="O556" s="1">
        <f t="shared" ref="O556:Q556" si="1645">(L556-L$7)/(L$6-L$7)</f>
        <v>0.7216382054</v>
      </c>
      <c r="P556" s="1">
        <f t="shared" si="1645"/>
        <v>0.7105219239</v>
      </c>
      <c r="Q556" s="1">
        <f t="shared" si="1645"/>
        <v>0.7075042765</v>
      </c>
      <c r="R556" s="1">
        <f t="shared" ref="R556:T556" si="1646">1/(1+EXP(-O556))</f>
        <v>0.672967659</v>
      </c>
      <c r="S556" s="1">
        <f t="shared" si="1646"/>
        <v>0.6705164756</v>
      </c>
      <c r="T556" s="1">
        <f t="shared" si="1646"/>
        <v>0.6698494618</v>
      </c>
      <c r="U556" s="1">
        <f t="shared" si="11"/>
        <v>3.32098337</v>
      </c>
      <c r="V556" s="1">
        <f t="shared" si="12"/>
        <v>0.461063584</v>
      </c>
      <c r="W556" s="1">
        <f t="shared" si="13"/>
        <v>4</v>
      </c>
      <c r="X556" s="1">
        <f t="shared" si="14"/>
        <v>0</v>
      </c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</row>
    <row r="557" ht="15.75" customHeight="1">
      <c r="A557" s="1"/>
      <c r="B557" s="7">
        <v>5.0</v>
      </c>
      <c r="C557" s="7">
        <v>1.0</v>
      </c>
      <c r="D557" s="7">
        <v>2.0</v>
      </c>
      <c r="E557" s="7">
        <v>1.0</v>
      </c>
      <c r="F557" s="7">
        <v>2.0</v>
      </c>
      <c r="G557" s="8">
        <v>1.0</v>
      </c>
      <c r="H557" s="7">
        <v>3.0</v>
      </c>
      <c r="I557" s="7">
        <v>1.0</v>
      </c>
      <c r="J557" s="7">
        <v>1.0</v>
      </c>
      <c r="K557" s="7">
        <v>2.0</v>
      </c>
      <c r="L557" s="1">
        <f t="shared" ref="L557:N557" si="1647">SUMPRODUCT($B557:$J557, INDEX($B$2:$J$4, L$10, 0)) + INDEX($K$2:$K$4, L$10,1)</f>
        <v>9.596522116</v>
      </c>
      <c r="M557" s="1">
        <f t="shared" si="1647"/>
        <v>8.878852681</v>
      </c>
      <c r="N557" s="1">
        <f t="shared" si="1647"/>
        <v>9.241793615</v>
      </c>
      <c r="O557" s="1">
        <f t="shared" ref="O557:Q557" si="1648">(L557-L$7)/(L$6-L$7)</f>
        <v>0.02841533281</v>
      </c>
      <c r="P557" s="1">
        <f t="shared" si="1648"/>
        <v>0.02310573042</v>
      </c>
      <c r="Q557" s="1">
        <f t="shared" si="1648"/>
        <v>0.02629862607</v>
      </c>
      <c r="R557" s="1">
        <f t="shared" ref="R557:T557" si="1649">1/(1+EXP(-O557))</f>
        <v>0.5071033553</v>
      </c>
      <c r="S557" s="1">
        <f t="shared" si="1649"/>
        <v>0.5057761756</v>
      </c>
      <c r="T557" s="1">
        <f t="shared" si="1649"/>
        <v>0.5065742776</v>
      </c>
      <c r="U557" s="1">
        <f t="shared" si="11"/>
        <v>2.506452839</v>
      </c>
      <c r="V557" s="1">
        <f t="shared" si="12"/>
        <v>0.2564944777</v>
      </c>
      <c r="W557" s="1">
        <f t="shared" si="13"/>
        <v>2</v>
      </c>
      <c r="X557" s="1">
        <f t="shared" si="14"/>
        <v>0</v>
      </c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</row>
    <row r="558" ht="15.75" customHeight="1">
      <c r="A558" s="1"/>
      <c r="B558" s="7">
        <v>3.0</v>
      </c>
      <c r="C558" s="7">
        <v>1.0</v>
      </c>
      <c r="D558" s="7">
        <v>1.0</v>
      </c>
      <c r="E558" s="7">
        <v>1.0</v>
      </c>
      <c r="F558" s="7">
        <v>2.0</v>
      </c>
      <c r="G558" s="8">
        <v>1.0</v>
      </c>
      <c r="H558" s="7">
        <v>2.0</v>
      </c>
      <c r="I558" s="7">
        <v>1.0</v>
      </c>
      <c r="J558" s="7">
        <v>1.0</v>
      </c>
      <c r="K558" s="7">
        <v>2.0</v>
      </c>
      <c r="L558" s="1">
        <f t="shared" ref="L558:N558" si="1650">SUMPRODUCT($B558:$J558, INDEX($B$2:$J$4, L$10, 0)) + INDEX($K$2:$K$4, L$10,1)</f>
        <v>7.985185587</v>
      </c>
      <c r="M558" s="1">
        <f t="shared" si="1650"/>
        <v>7.568535274</v>
      </c>
      <c r="N558" s="1">
        <f t="shared" si="1650"/>
        <v>7.706424942</v>
      </c>
      <c r="O558" s="1">
        <f t="shared" ref="O558:Q558" si="1651">(L558-L$7)/(L$6-L$7)</f>
        <v>0.00206622008</v>
      </c>
      <c r="P558" s="1">
        <f t="shared" si="1651"/>
        <v>0.0006679091667</v>
      </c>
      <c r="Q558" s="1">
        <f t="shared" si="1651"/>
        <v>0.0003345273907</v>
      </c>
      <c r="R558" s="1">
        <f t="shared" ref="R558:T558" si="1652">1/(1+EXP(-O558))</f>
        <v>0.5005165548</v>
      </c>
      <c r="S558" s="1">
        <f t="shared" si="1652"/>
        <v>0.5001669773</v>
      </c>
      <c r="T558" s="1">
        <f t="shared" si="1652"/>
        <v>0.5000836318</v>
      </c>
      <c r="U558" s="1">
        <f t="shared" si="11"/>
        <v>2.475633899</v>
      </c>
      <c r="V558" s="1">
        <f t="shared" si="12"/>
        <v>0.226227606</v>
      </c>
      <c r="W558" s="1">
        <f t="shared" si="13"/>
        <v>2</v>
      </c>
      <c r="X558" s="1">
        <f t="shared" si="14"/>
        <v>0</v>
      </c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</row>
    <row r="559" ht="15.75" customHeight="1">
      <c r="A559" s="1"/>
      <c r="B559" s="7">
        <v>8.0</v>
      </c>
      <c r="C559" s="7">
        <v>2.0</v>
      </c>
      <c r="D559" s="7">
        <v>3.0</v>
      </c>
      <c r="E559" s="7">
        <v>1.0</v>
      </c>
      <c r="F559" s="7">
        <v>6.0</v>
      </c>
      <c r="G559" s="8">
        <v>3.0</v>
      </c>
      <c r="H559" s="7">
        <v>7.0</v>
      </c>
      <c r="I559" s="7">
        <v>1.0</v>
      </c>
      <c r="J559" s="7">
        <v>1.0</v>
      </c>
      <c r="K559" s="7">
        <v>4.0</v>
      </c>
      <c r="L559" s="1">
        <f t="shared" ref="L559:N559" si="1653">SUMPRODUCT($B559:$J559, INDEX($B$2:$J$4, L$10, 0)) + INDEX($K$2:$K$4, L$10,1)</f>
        <v>19.65696044</v>
      </c>
      <c r="M559" s="1">
        <f t="shared" si="1653"/>
        <v>18.3697539</v>
      </c>
      <c r="N559" s="1">
        <f t="shared" si="1653"/>
        <v>18.86404148</v>
      </c>
      <c r="O559" s="1">
        <f t="shared" ref="O559:Q559" si="1654">(L559-L$7)/(L$6-L$7)</f>
        <v>0.192926978</v>
      </c>
      <c r="P559" s="1">
        <f t="shared" si="1654"/>
        <v>0.1856275316</v>
      </c>
      <c r="Q559" s="1">
        <f t="shared" si="1654"/>
        <v>0.1890171949</v>
      </c>
      <c r="R559" s="1">
        <f t="shared" ref="R559:T559" si="1655">1/(1+EXP(-O559))</f>
        <v>0.5480826972</v>
      </c>
      <c r="S559" s="1">
        <f t="shared" si="1655"/>
        <v>0.5462740847</v>
      </c>
      <c r="T559" s="1">
        <f t="shared" si="1655"/>
        <v>0.5471141097</v>
      </c>
      <c r="U559" s="1">
        <f t="shared" si="11"/>
        <v>2.707702654</v>
      </c>
      <c r="V559" s="1">
        <f t="shared" si="12"/>
        <v>1.67003243</v>
      </c>
      <c r="W559" s="1">
        <f t="shared" si="13"/>
        <v>2</v>
      </c>
      <c r="X559" s="1">
        <f t="shared" si="14"/>
        <v>1</v>
      </c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</row>
    <row r="560" ht="15.75" customHeight="1">
      <c r="A560" s="1"/>
      <c r="B560" s="7">
        <v>3.0</v>
      </c>
      <c r="C560" s="7">
        <v>2.0</v>
      </c>
      <c r="D560" s="7">
        <v>1.0</v>
      </c>
      <c r="E560" s="7">
        <v>1.0</v>
      </c>
      <c r="F560" s="7">
        <v>2.0</v>
      </c>
      <c r="G560" s="8">
        <v>2.0</v>
      </c>
      <c r="H560" s="7">
        <v>3.0</v>
      </c>
      <c r="I560" s="7">
        <v>1.0</v>
      </c>
      <c r="J560" s="7">
        <v>1.0</v>
      </c>
      <c r="K560" s="7">
        <v>2.0</v>
      </c>
      <c r="L560" s="1">
        <f t="shared" ref="L560:N560" si="1656">SUMPRODUCT($B560:$J560, INDEX($B$2:$J$4, L$10, 0)) + INDEX($K$2:$K$4, L$10,1)</f>
        <v>12.85874282</v>
      </c>
      <c r="M560" s="1">
        <f t="shared" si="1656"/>
        <v>12.47356204</v>
      </c>
      <c r="N560" s="1">
        <f t="shared" si="1656"/>
        <v>12.44822366</v>
      </c>
      <c r="O560" s="1">
        <f t="shared" ref="O560:Q560" si="1657">(L560-L$7)/(L$6-L$7)</f>
        <v>0.08176025448</v>
      </c>
      <c r="P560" s="1">
        <f t="shared" si="1657"/>
        <v>0.08466138533</v>
      </c>
      <c r="Q560" s="1">
        <f t="shared" si="1657"/>
        <v>0.08052147671</v>
      </c>
      <c r="R560" s="1">
        <f t="shared" ref="R560:T560" si="1658">1/(1+EXP(-O560))</f>
        <v>0.5204286849</v>
      </c>
      <c r="S560" s="1">
        <f t="shared" si="1658"/>
        <v>0.5211527134</v>
      </c>
      <c r="T560" s="1">
        <f t="shared" si="1658"/>
        <v>0.5201194996</v>
      </c>
      <c r="U560" s="1">
        <f t="shared" si="11"/>
        <v>2.57615844</v>
      </c>
      <c r="V560" s="1">
        <f t="shared" si="12"/>
        <v>0.331958548</v>
      </c>
      <c r="W560" s="1">
        <f t="shared" si="13"/>
        <v>2</v>
      </c>
      <c r="X560" s="1">
        <f t="shared" si="14"/>
        <v>0</v>
      </c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</row>
    <row r="561" ht="15.75" customHeight="1">
      <c r="A561" s="1"/>
      <c r="B561" s="7">
        <v>5.0</v>
      </c>
      <c r="C561" s="7">
        <v>5.0</v>
      </c>
      <c r="D561" s="7">
        <v>5.0</v>
      </c>
      <c r="E561" s="7">
        <v>6.0</v>
      </c>
      <c r="F561" s="7">
        <v>3.0</v>
      </c>
      <c r="G561" s="8">
        <v>10.0</v>
      </c>
      <c r="H561" s="7">
        <v>3.0</v>
      </c>
      <c r="I561" s="7">
        <v>1.0</v>
      </c>
      <c r="J561" s="7">
        <v>1.0</v>
      </c>
      <c r="K561" s="7">
        <v>4.0</v>
      </c>
      <c r="L561" s="1">
        <f t="shared" ref="L561:N561" si="1659">SUMPRODUCT($B561:$J561, INDEX($B$2:$J$4, L$10, 0)) + INDEX($K$2:$K$4, L$10,1)</f>
        <v>50.05529483</v>
      </c>
      <c r="M561" s="1">
        <f t="shared" si="1659"/>
        <v>48.59316825</v>
      </c>
      <c r="N561" s="1">
        <f t="shared" si="1659"/>
        <v>49.44564063</v>
      </c>
      <c r="O561" s="1">
        <f t="shared" ref="O561:Q561" si="1660">(L561-L$7)/(L$6-L$7)</f>
        <v>0.6900106879</v>
      </c>
      <c r="P561" s="1">
        <f t="shared" si="1660"/>
        <v>0.7031720329</v>
      </c>
      <c r="Q561" s="1">
        <f t="shared" si="1660"/>
        <v>0.7061722418</v>
      </c>
      <c r="R561" s="1">
        <f t="shared" ref="R561:T561" si="1661">1/(1+EXP(-O561))</f>
        <v>0.6659693043</v>
      </c>
      <c r="S561" s="1">
        <f t="shared" si="1661"/>
        <v>0.6688906771</v>
      </c>
      <c r="T561" s="1">
        <f t="shared" si="1661"/>
        <v>0.6695548142</v>
      </c>
      <c r="U561" s="1">
        <f t="shared" si="11"/>
        <v>3.306718277</v>
      </c>
      <c r="V561" s="1">
        <f t="shared" si="12"/>
        <v>0.4806395468</v>
      </c>
      <c r="W561" s="1">
        <f t="shared" si="13"/>
        <v>4</v>
      </c>
      <c r="X561" s="1">
        <f t="shared" si="14"/>
        <v>0</v>
      </c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</row>
    <row r="562" ht="15.75" customHeight="1">
      <c r="A562" s="1"/>
      <c r="B562" s="7">
        <v>10.0</v>
      </c>
      <c r="C562" s="7">
        <v>6.0</v>
      </c>
      <c r="D562" s="7">
        <v>3.0</v>
      </c>
      <c r="E562" s="7">
        <v>6.0</v>
      </c>
      <c r="F562" s="7">
        <v>4.0</v>
      </c>
      <c r="G562" s="8">
        <v>10.0</v>
      </c>
      <c r="H562" s="7">
        <v>7.0</v>
      </c>
      <c r="I562" s="7">
        <v>8.0</v>
      </c>
      <c r="J562" s="7">
        <v>4.0</v>
      </c>
      <c r="K562" s="7">
        <v>4.0</v>
      </c>
      <c r="L562" s="1">
        <f t="shared" ref="L562:N562" si="1662">SUMPRODUCT($B562:$J562, INDEX($B$2:$J$4, L$10, 0)) + INDEX($K$2:$K$4, L$10,1)</f>
        <v>50.81933611</v>
      </c>
      <c r="M562" s="1">
        <f t="shared" si="1662"/>
        <v>49.84656932</v>
      </c>
      <c r="N562" s="1">
        <f t="shared" si="1662"/>
        <v>49.97337205</v>
      </c>
      <c r="O562" s="1">
        <f t="shared" ref="O562:Q562" si="1663">(L562-L$7)/(L$6-L$7)</f>
        <v>0.7025045459</v>
      </c>
      <c r="P562" s="1">
        <f t="shared" si="1663"/>
        <v>0.7246352211</v>
      </c>
      <c r="Q562" s="1">
        <f t="shared" si="1663"/>
        <v>0.7150965289</v>
      </c>
      <c r="R562" s="1">
        <f t="shared" ref="R562:T562" si="1664">1/(1+EXP(-O562))</f>
        <v>0.6687428281</v>
      </c>
      <c r="S562" s="1">
        <f t="shared" si="1664"/>
        <v>0.6736269066</v>
      </c>
      <c r="T562" s="1">
        <f t="shared" si="1664"/>
        <v>0.6715263268</v>
      </c>
      <c r="U562" s="1">
        <f t="shared" si="11"/>
        <v>3.322305323</v>
      </c>
      <c r="V562" s="1">
        <f t="shared" si="12"/>
        <v>0.4592700746</v>
      </c>
      <c r="W562" s="1">
        <f t="shared" si="13"/>
        <v>4</v>
      </c>
      <c r="X562" s="1">
        <f t="shared" si="14"/>
        <v>0</v>
      </c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</row>
    <row r="563" ht="15.75" customHeight="1">
      <c r="A563" s="1"/>
      <c r="B563" s="7">
        <v>4.0</v>
      </c>
      <c r="C563" s="7">
        <v>3.0</v>
      </c>
      <c r="D563" s="7">
        <v>3.0</v>
      </c>
      <c r="E563" s="7">
        <v>1.0</v>
      </c>
      <c r="F563" s="7">
        <v>2.0</v>
      </c>
      <c r="G563" s="8">
        <v>1.0</v>
      </c>
      <c r="H563" s="7">
        <v>3.0</v>
      </c>
      <c r="I563" s="7">
        <v>3.0</v>
      </c>
      <c r="J563" s="7">
        <v>1.0</v>
      </c>
      <c r="K563" s="7">
        <v>2.0</v>
      </c>
      <c r="L563" s="1">
        <f t="shared" ref="L563:N563" si="1665">SUMPRODUCT($B563:$J563, INDEX($B$2:$J$4, L$10, 0)) + INDEX($K$2:$K$4, L$10,1)</f>
        <v>14.88802204</v>
      </c>
      <c r="M563" s="1">
        <f t="shared" si="1665"/>
        <v>14.01419455</v>
      </c>
      <c r="N563" s="1">
        <f t="shared" si="1665"/>
        <v>14.16152303</v>
      </c>
      <c r="O563" s="1">
        <f t="shared" ref="O563:Q563" si="1666">(L563-L$7)/(L$6-L$7)</f>
        <v>0.1149437057</v>
      </c>
      <c r="P563" s="1">
        <f t="shared" si="1666"/>
        <v>0.1110431128</v>
      </c>
      <c r="Q563" s="1">
        <f t="shared" si="1666"/>
        <v>0.109494501</v>
      </c>
      <c r="R563" s="1">
        <f t="shared" ref="R563:T563" si="1667">1/(1+EXP(-O563))</f>
        <v>0.5287043298</v>
      </c>
      <c r="S563" s="1">
        <f t="shared" si="1667"/>
        <v>0.5277322878</v>
      </c>
      <c r="T563" s="1">
        <f t="shared" si="1667"/>
        <v>0.5273463094</v>
      </c>
      <c r="U563" s="1">
        <f t="shared" si="11"/>
        <v>2.612514831</v>
      </c>
      <c r="V563" s="1">
        <f t="shared" si="12"/>
        <v>0.3751744186</v>
      </c>
      <c r="W563" s="1">
        <f t="shared" si="13"/>
        <v>2</v>
      </c>
      <c r="X563" s="1">
        <f t="shared" si="14"/>
        <v>0</v>
      </c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</row>
    <row r="564" ht="15.75" customHeight="1">
      <c r="A564" s="1"/>
      <c r="B564" s="7">
        <v>5.0</v>
      </c>
      <c r="C564" s="7">
        <v>3.0</v>
      </c>
      <c r="D564" s="7">
        <v>6.0</v>
      </c>
      <c r="E564" s="7">
        <v>1.0</v>
      </c>
      <c r="F564" s="7">
        <v>2.0</v>
      </c>
      <c r="G564" s="8">
        <v>1.0</v>
      </c>
      <c r="H564" s="7">
        <v>1.0</v>
      </c>
      <c r="I564" s="7">
        <v>1.0</v>
      </c>
      <c r="J564" s="7">
        <v>1.0</v>
      </c>
      <c r="K564" s="7">
        <v>2.0</v>
      </c>
      <c r="L564" s="1">
        <f t="shared" ref="L564:N564" si="1668">SUMPRODUCT($B564:$J564, INDEX($B$2:$J$4, L$10, 0)) + INDEX($K$2:$K$4, L$10,1)</f>
        <v>18.91194666</v>
      </c>
      <c r="M564" s="1">
        <f t="shared" si="1668"/>
        <v>17.26205267</v>
      </c>
      <c r="N564" s="1">
        <f t="shared" si="1668"/>
        <v>18.11735466</v>
      </c>
      <c r="O564" s="1">
        <f t="shared" ref="O564:Q564" si="1669">(L564-L$7)/(L$6-L$7)</f>
        <v>0.1807442641</v>
      </c>
      <c r="P564" s="1">
        <f t="shared" si="1669"/>
        <v>0.1666593014</v>
      </c>
      <c r="Q564" s="1">
        <f t="shared" si="1669"/>
        <v>0.1763902275</v>
      </c>
      <c r="R564" s="1">
        <f t="shared" ref="R564:T564" si="1670">1/(1+EXP(-O564))</f>
        <v>0.5450634532</v>
      </c>
      <c r="S564" s="1">
        <f t="shared" si="1670"/>
        <v>0.5415686546</v>
      </c>
      <c r="T564" s="1">
        <f t="shared" si="1670"/>
        <v>0.5439835757</v>
      </c>
      <c r="U564" s="1">
        <f t="shared" si="11"/>
        <v>2.689788321</v>
      </c>
      <c r="V564" s="1">
        <f t="shared" si="12"/>
        <v>0.4758079275</v>
      </c>
      <c r="W564" s="1">
        <f t="shared" si="13"/>
        <v>2</v>
      </c>
      <c r="X564" s="1">
        <f t="shared" si="14"/>
        <v>0</v>
      </c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</row>
    <row r="565" ht="15.75" customHeight="1">
      <c r="A565" s="1"/>
      <c r="B565" s="7">
        <v>4.0</v>
      </c>
      <c r="C565" s="7">
        <v>5.0</v>
      </c>
      <c r="D565" s="7">
        <v>5.0</v>
      </c>
      <c r="E565" s="7">
        <v>8.0</v>
      </c>
      <c r="F565" s="7">
        <v>6.0</v>
      </c>
      <c r="G565" s="8">
        <v>10.0</v>
      </c>
      <c r="H565" s="7">
        <v>10.0</v>
      </c>
      <c r="I565" s="7">
        <v>7.0</v>
      </c>
      <c r="J565" s="7">
        <v>1.0</v>
      </c>
      <c r="K565" s="7">
        <v>4.0</v>
      </c>
      <c r="L565" s="1">
        <f t="shared" ref="L565:N565" si="1671">SUMPRODUCT($B565:$J565, INDEX($B$2:$J$4, L$10, 0)) + INDEX($K$2:$K$4, L$10,1)</f>
        <v>52.22424536</v>
      </c>
      <c r="M565" s="1">
        <f t="shared" si="1671"/>
        <v>50.33041962</v>
      </c>
      <c r="N565" s="1">
        <f t="shared" si="1671"/>
        <v>51.24380399</v>
      </c>
      <c r="O565" s="1">
        <f t="shared" ref="O565:Q565" si="1672">(L565-L$7)/(L$6-L$7)</f>
        <v>0.7254780907</v>
      </c>
      <c r="P565" s="1">
        <f t="shared" si="1672"/>
        <v>0.7329206537</v>
      </c>
      <c r="Q565" s="1">
        <f t="shared" si="1672"/>
        <v>0.7365803724</v>
      </c>
      <c r="R565" s="1">
        <f t="shared" ref="R565:T565" si="1673">1/(1+EXP(-O565))</f>
        <v>0.6738121874</v>
      </c>
      <c r="S565" s="1">
        <f t="shared" si="1673"/>
        <v>0.6754458624</v>
      </c>
      <c r="T565" s="1">
        <f t="shared" si="1673"/>
        <v>0.6762476257</v>
      </c>
      <c r="U565" s="1">
        <f t="shared" si="11"/>
        <v>3.341432969</v>
      </c>
      <c r="V565" s="1">
        <f t="shared" si="12"/>
        <v>0.4337105342</v>
      </c>
      <c r="W565" s="1">
        <f t="shared" si="13"/>
        <v>4</v>
      </c>
      <c r="X565" s="1">
        <f t="shared" si="14"/>
        <v>0</v>
      </c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</row>
    <row r="566" ht="15.75" customHeight="1">
      <c r="A566" s="1"/>
      <c r="B566" s="7">
        <v>10.0</v>
      </c>
      <c r="C566" s="7">
        <v>9.0</v>
      </c>
      <c r="D566" s="7">
        <v>8.0</v>
      </c>
      <c r="E566" s="7">
        <v>7.0</v>
      </c>
      <c r="F566" s="7">
        <v>6.0</v>
      </c>
      <c r="G566" s="8">
        <v>4.0</v>
      </c>
      <c r="H566" s="7">
        <v>7.0</v>
      </c>
      <c r="I566" s="7">
        <v>10.0</v>
      </c>
      <c r="J566" s="7">
        <v>3.0</v>
      </c>
      <c r="K566" s="7">
        <v>4.0</v>
      </c>
      <c r="L566" s="1">
        <f t="shared" ref="L566:N566" si="1674">SUMPRODUCT($B566:$J566, INDEX($B$2:$J$4, L$10, 0)) + INDEX($K$2:$K$4, L$10,1)</f>
        <v>44.59294026</v>
      </c>
      <c r="M566" s="1">
        <f t="shared" si="1674"/>
        <v>42.19931921</v>
      </c>
      <c r="N566" s="1">
        <f t="shared" si="1674"/>
        <v>42.36364612</v>
      </c>
      <c r="O566" s="1">
        <f t="shared" ref="O566:Q566" si="1675">(L566-L$7)/(L$6-L$7)</f>
        <v>0.6006884428</v>
      </c>
      <c r="P566" s="1">
        <f t="shared" si="1675"/>
        <v>0.5936840256</v>
      </c>
      <c r="Q566" s="1">
        <f t="shared" si="1675"/>
        <v>0.5864110357</v>
      </c>
      <c r="R566" s="1">
        <f t="shared" ref="R566:T566" si="1676">1/(1+EXP(-O566))</f>
        <v>0.6458137953</v>
      </c>
      <c r="S566" s="1">
        <f t="shared" si="1676"/>
        <v>0.6442099851</v>
      </c>
      <c r="T566" s="1">
        <f t="shared" si="1676"/>
        <v>0.6425412476</v>
      </c>
      <c r="U566" s="1">
        <f t="shared" si="11"/>
        <v>3.187737493</v>
      </c>
      <c r="V566" s="1">
        <f t="shared" si="12"/>
        <v>0.6597703809</v>
      </c>
      <c r="W566" s="1">
        <f t="shared" si="13"/>
        <v>4</v>
      </c>
      <c r="X566" s="1">
        <f t="shared" si="14"/>
        <v>0</v>
      </c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</row>
    <row r="567" ht="15.75" customHeight="1">
      <c r="A567" s="1"/>
      <c r="B567" s="7">
        <v>1.0</v>
      </c>
      <c r="C567" s="7">
        <v>1.0</v>
      </c>
      <c r="D567" s="7">
        <v>1.0</v>
      </c>
      <c r="E567" s="7">
        <v>1.0</v>
      </c>
      <c r="F567" s="7">
        <v>1.0</v>
      </c>
      <c r="G567" s="8">
        <v>1.0</v>
      </c>
      <c r="H567" s="7">
        <v>3.0</v>
      </c>
      <c r="I567" s="7">
        <v>1.0</v>
      </c>
      <c r="J567" s="7">
        <v>1.0</v>
      </c>
      <c r="K567" s="7">
        <v>2.0</v>
      </c>
      <c r="L567" s="1">
        <f t="shared" ref="L567:N567" si="1677">SUMPRODUCT($B567:$J567, INDEX($B$2:$J$4, L$10, 0)) + INDEX($K$2:$K$4, L$10,1)</f>
        <v>7.923414752</v>
      </c>
      <c r="M567" s="1">
        <f t="shared" si="1677"/>
        <v>7.529530907</v>
      </c>
      <c r="N567" s="1">
        <f t="shared" si="1677"/>
        <v>7.686650958</v>
      </c>
      <c r="O567" s="1">
        <f t="shared" ref="O567:Q567" si="1678">(L567-L$7)/(L$6-L$7)</f>
        <v>0.001056122768</v>
      </c>
      <c r="P567" s="1">
        <f t="shared" si="1678"/>
        <v>0</v>
      </c>
      <c r="Q567" s="1">
        <f t="shared" si="1678"/>
        <v>0.0000001362617963</v>
      </c>
      <c r="R567" s="1">
        <f t="shared" ref="R567:T567" si="1679">1/(1+EXP(-O567))</f>
        <v>0.5002640307</v>
      </c>
      <c r="S567" s="1">
        <f t="shared" si="1679"/>
        <v>0.5</v>
      </c>
      <c r="T567" s="1">
        <f t="shared" si="1679"/>
        <v>0.5000000341</v>
      </c>
      <c r="U567" s="1">
        <f t="shared" si="11"/>
        <v>2.474815255</v>
      </c>
      <c r="V567" s="1">
        <f t="shared" si="12"/>
        <v>0.2254495261</v>
      </c>
      <c r="W567" s="1">
        <f t="shared" si="13"/>
        <v>2</v>
      </c>
      <c r="X567" s="1">
        <f t="shared" si="14"/>
        <v>0</v>
      </c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</row>
    <row r="568" ht="15.75" customHeight="1">
      <c r="A568" s="1"/>
      <c r="B568" s="7">
        <v>5.0</v>
      </c>
      <c r="C568" s="7">
        <v>1.0</v>
      </c>
      <c r="D568" s="7">
        <v>1.0</v>
      </c>
      <c r="E568" s="7">
        <v>1.0</v>
      </c>
      <c r="F568" s="7">
        <v>2.0</v>
      </c>
      <c r="G568" s="8">
        <v>1.0</v>
      </c>
      <c r="H568" s="7">
        <v>2.0</v>
      </c>
      <c r="I568" s="7">
        <v>1.0</v>
      </c>
      <c r="J568" s="7">
        <v>1.0</v>
      </c>
      <c r="K568" s="7">
        <v>2.0</v>
      </c>
      <c r="L568" s="1">
        <f t="shared" ref="L568:N568" si="1680">SUMPRODUCT($B568:$J568, INDEX($B$2:$J$4, L$10, 0)) + INDEX($K$2:$K$4, L$10,1)</f>
        <v>8.016938721</v>
      </c>
      <c r="M568" s="1">
        <f t="shared" si="1680"/>
        <v>7.607539277</v>
      </c>
      <c r="N568" s="1">
        <f t="shared" si="1680"/>
        <v>7.726202954</v>
      </c>
      <c r="O568" s="1">
        <f t="shared" ref="O568:Q568" si="1681">(L568-L$7)/(L$6-L$7)</f>
        <v>0.002585457921</v>
      </c>
      <c r="P568" s="1">
        <f t="shared" si="1681"/>
        <v>0.001335812098</v>
      </c>
      <c r="Q568" s="1">
        <f t="shared" si="1681"/>
        <v>0.0006689866505</v>
      </c>
      <c r="R568" s="1">
        <f t="shared" ref="R568:T568" si="1682">1/(1+EXP(-O568))</f>
        <v>0.5006463641</v>
      </c>
      <c r="S568" s="1">
        <f t="shared" si="1682"/>
        <v>0.500333953</v>
      </c>
      <c r="T568" s="1">
        <f t="shared" si="1682"/>
        <v>0.5001672467</v>
      </c>
      <c r="U568" s="1">
        <f t="shared" si="11"/>
        <v>2.476258331</v>
      </c>
      <c r="V568" s="1">
        <f t="shared" si="12"/>
        <v>0.2268219982</v>
      </c>
      <c r="W568" s="1">
        <f t="shared" si="13"/>
        <v>2</v>
      </c>
      <c r="X568" s="1">
        <f t="shared" si="14"/>
        <v>0</v>
      </c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</row>
    <row r="569" ht="15.75" customHeight="1">
      <c r="A569" s="1"/>
      <c r="B569" s="7">
        <v>2.0</v>
      </c>
      <c r="C569" s="7">
        <v>1.0</v>
      </c>
      <c r="D569" s="7">
        <v>1.0</v>
      </c>
      <c r="E569" s="7">
        <v>1.0</v>
      </c>
      <c r="F569" s="7">
        <v>1.0</v>
      </c>
      <c r="G569" s="8">
        <v>1.0</v>
      </c>
      <c r="H569" s="7">
        <v>1.0</v>
      </c>
      <c r="I569" s="7">
        <v>1.0</v>
      </c>
      <c r="J569" s="7">
        <v>1.0</v>
      </c>
      <c r="K569" s="7">
        <v>2.0</v>
      </c>
      <c r="L569" s="1">
        <f t="shared" ref="L569:N569" si="1683">SUMPRODUCT($B569:$J569, INDEX($B$2:$J$4, L$10, 0)) + INDEX($K$2:$K$4, L$10,1)</f>
        <v>7.874705873</v>
      </c>
      <c r="M569" s="1">
        <f t="shared" si="1683"/>
        <v>7.549032909</v>
      </c>
      <c r="N569" s="1">
        <f t="shared" si="1683"/>
        <v>7.696531906</v>
      </c>
      <c r="O569" s="1">
        <f t="shared" ref="O569:Q569" si="1684">(L569-L$7)/(L$6-L$7)</f>
        <v>0.0002596189209</v>
      </c>
      <c r="P569" s="1">
        <f t="shared" si="1684"/>
        <v>0.0003339514659</v>
      </c>
      <c r="Q569" s="1">
        <f t="shared" si="1684"/>
        <v>0.0001672296299</v>
      </c>
      <c r="R569" s="1">
        <f t="shared" ref="R569:T569" si="1685">1/(1+EXP(-O569))</f>
        <v>0.5000649047</v>
      </c>
      <c r="S569" s="1">
        <f t="shared" si="1685"/>
        <v>0.5000834879</v>
      </c>
      <c r="T569" s="1">
        <f t="shared" si="1685"/>
        <v>0.5000418074</v>
      </c>
      <c r="U569" s="1">
        <f t="shared" si="11"/>
        <v>2.474709493</v>
      </c>
      <c r="V569" s="1">
        <f t="shared" si="12"/>
        <v>0.2253491026</v>
      </c>
      <c r="W569" s="1">
        <f t="shared" si="13"/>
        <v>2</v>
      </c>
      <c r="X569" s="1">
        <f t="shared" si="14"/>
        <v>0</v>
      </c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</row>
    <row r="570" ht="15.75" customHeight="1">
      <c r="A570" s="1"/>
      <c r="B570" s="7">
        <v>3.0</v>
      </c>
      <c r="C570" s="7">
        <v>1.0</v>
      </c>
      <c r="D570" s="7">
        <v>1.0</v>
      </c>
      <c r="E570" s="7">
        <v>1.0</v>
      </c>
      <c r="F570" s="7">
        <v>2.0</v>
      </c>
      <c r="G570" s="8">
        <v>1.0</v>
      </c>
      <c r="H570" s="7">
        <v>2.0</v>
      </c>
      <c r="I570" s="7">
        <v>1.0</v>
      </c>
      <c r="J570" s="7">
        <v>1.0</v>
      </c>
      <c r="K570" s="7">
        <v>2.0</v>
      </c>
      <c r="L570" s="1">
        <f t="shared" ref="L570:N570" si="1686">SUMPRODUCT($B570:$J570, INDEX($B$2:$J$4, L$10, 0)) + INDEX($K$2:$K$4, L$10,1)</f>
        <v>7.985185587</v>
      </c>
      <c r="M570" s="1">
        <f t="shared" si="1686"/>
        <v>7.568535274</v>
      </c>
      <c r="N570" s="1">
        <f t="shared" si="1686"/>
        <v>7.706424942</v>
      </c>
      <c r="O570" s="1">
        <f t="shared" ref="O570:Q570" si="1687">(L570-L$7)/(L$6-L$7)</f>
        <v>0.00206622008</v>
      </c>
      <c r="P570" s="1">
        <f t="shared" si="1687"/>
        <v>0.0006679091667</v>
      </c>
      <c r="Q570" s="1">
        <f t="shared" si="1687"/>
        <v>0.0003345273907</v>
      </c>
      <c r="R570" s="1">
        <f t="shared" ref="R570:T570" si="1688">1/(1+EXP(-O570))</f>
        <v>0.5005165548</v>
      </c>
      <c r="S570" s="1">
        <f t="shared" si="1688"/>
        <v>0.5001669773</v>
      </c>
      <c r="T570" s="1">
        <f t="shared" si="1688"/>
        <v>0.5000836318</v>
      </c>
      <c r="U570" s="1">
        <f t="shared" si="11"/>
        <v>2.475633899</v>
      </c>
      <c r="V570" s="1">
        <f t="shared" si="12"/>
        <v>0.226227606</v>
      </c>
      <c r="W570" s="1">
        <f t="shared" si="13"/>
        <v>2</v>
      </c>
      <c r="X570" s="1">
        <f t="shared" si="14"/>
        <v>0</v>
      </c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</row>
    <row r="571" ht="15.75" customHeight="1">
      <c r="A571" s="1"/>
      <c r="B571" s="7">
        <v>2.0</v>
      </c>
      <c r="C571" s="7">
        <v>1.0</v>
      </c>
      <c r="D571" s="7">
        <v>1.0</v>
      </c>
      <c r="E571" s="7">
        <v>1.0</v>
      </c>
      <c r="F571" s="7">
        <v>2.0</v>
      </c>
      <c r="G571" s="8">
        <v>1.0</v>
      </c>
      <c r="H571" s="7">
        <v>3.0</v>
      </c>
      <c r="I571" s="7">
        <v>1.0</v>
      </c>
      <c r="J571" s="7">
        <v>1.0</v>
      </c>
      <c r="K571" s="7">
        <v>2.0</v>
      </c>
      <c r="L571" s="1">
        <f t="shared" ref="L571:N571" si="1689">SUMPRODUCT($B571:$J571, INDEX($B$2:$J$4, L$10, 0)) + INDEX($K$2:$K$4, L$10,1)</f>
        <v>8.001601743</v>
      </c>
      <c r="M571" s="1">
        <f t="shared" si="1689"/>
        <v>7.549033273</v>
      </c>
      <c r="N571" s="1">
        <f t="shared" si="1689"/>
        <v>7.696539964</v>
      </c>
      <c r="O571" s="1">
        <f t="shared" ref="O571:Q571" si="1690">(L571-L$7)/(L$6-L$7)</f>
        <v>0.002334662543</v>
      </c>
      <c r="P571" s="1">
        <f t="shared" si="1690"/>
        <v>0.0003339577008</v>
      </c>
      <c r="Q571" s="1">
        <f t="shared" si="1690"/>
        <v>0.0001673658917</v>
      </c>
      <c r="R571" s="1">
        <f t="shared" ref="R571:T571" si="1691">1/(1+EXP(-O571))</f>
        <v>0.5005836654</v>
      </c>
      <c r="S571" s="1">
        <f t="shared" si="1691"/>
        <v>0.5000834894</v>
      </c>
      <c r="T571" s="1">
        <f t="shared" si="1691"/>
        <v>0.5000418415</v>
      </c>
      <c r="U571" s="1">
        <f t="shared" si="11"/>
        <v>2.475530672</v>
      </c>
      <c r="V571" s="1">
        <f t="shared" si="12"/>
        <v>0.2261294198</v>
      </c>
      <c r="W571" s="1">
        <f t="shared" si="13"/>
        <v>2</v>
      </c>
      <c r="X571" s="1">
        <f t="shared" si="14"/>
        <v>0</v>
      </c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</row>
    <row r="572" ht="15.75" customHeight="1">
      <c r="A572" s="1"/>
      <c r="B572" s="7">
        <v>1.0</v>
      </c>
      <c r="C572" s="7">
        <v>1.0</v>
      </c>
      <c r="D572" s="7">
        <v>1.0</v>
      </c>
      <c r="E572" s="7">
        <v>1.0</v>
      </c>
      <c r="F572" s="7">
        <v>2.0</v>
      </c>
      <c r="G572" s="8">
        <v>1.0</v>
      </c>
      <c r="H572" s="7">
        <v>1.0</v>
      </c>
      <c r="I572" s="7">
        <v>1.0</v>
      </c>
      <c r="J572" s="7">
        <v>1.0</v>
      </c>
      <c r="K572" s="7">
        <v>2.0</v>
      </c>
      <c r="L572" s="1">
        <f t="shared" ref="L572:N572" si="1692">SUMPRODUCT($B572:$J572, INDEX($B$2:$J$4, L$10, 0)) + INDEX($K$2:$K$4, L$10,1)</f>
        <v>7.921139731</v>
      </c>
      <c r="M572" s="1">
        <f t="shared" si="1692"/>
        <v>7.529531272</v>
      </c>
      <c r="N572" s="1">
        <f t="shared" si="1692"/>
        <v>7.6866429</v>
      </c>
      <c r="O572" s="1">
        <f t="shared" ref="O572:Q572" si="1693">(L572-L$7)/(L$6-L$7)</f>
        <v>0.001018920854</v>
      </c>
      <c r="P572" s="1">
        <f t="shared" si="1693"/>
        <v>0.000000006234892308</v>
      </c>
      <c r="Q572" s="1">
        <f t="shared" si="1693"/>
        <v>0</v>
      </c>
      <c r="R572" s="1">
        <f t="shared" ref="R572:T572" si="1694">1/(1+EXP(-O572))</f>
        <v>0.5002547302</v>
      </c>
      <c r="S572" s="1">
        <f t="shared" si="1694"/>
        <v>0.5000000016</v>
      </c>
      <c r="T572" s="1">
        <f t="shared" si="1694"/>
        <v>0.5</v>
      </c>
      <c r="U572" s="1">
        <f t="shared" si="11"/>
        <v>2.474800478</v>
      </c>
      <c r="V572" s="1">
        <f t="shared" si="12"/>
        <v>0.2254354935</v>
      </c>
      <c r="W572" s="1">
        <f t="shared" si="13"/>
        <v>2</v>
      </c>
      <c r="X572" s="1">
        <f t="shared" si="14"/>
        <v>0</v>
      </c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</row>
    <row r="573" ht="15.75" customHeight="1">
      <c r="A573" s="1"/>
      <c r="B573" s="7">
        <v>10.0</v>
      </c>
      <c r="C573" s="7">
        <v>6.0</v>
      </c>
      <c r="D573" s="7">
        <v>6.0</v>
      </c>
      <c r="E573" s="7">
        <v>3.0</v>
      </c>
      <c r="F573" s="7">
        <v>4.0</v>
      </c>
      <c r="G573" s="8">
        <v>5.0</v>
      </c>
      <c r="H573" s="7">
        <v>3.0</v>
      </c>
      <c r="I573" s="7">
        <v>6.0</v>
      </c>
      <c r="J573" s="7">
        <v>1.0</v>
      </c>
      <c r="K573" s="7">
        <v>4.0</v>
      </c>
      <c r="L573" s="1">
        <f t="shared" ref="L573:N573" si="1695">SUMPRODUCT($B573:$J573, INDEX($B$2:$J$4, L$10, 0)) + INDEX($K$2:$K$4, L$10,1)</f>
        <v>38.43739765</v>
      </c>
      <c r="M573" s="1">
        <f t="shared" si="1695"/>
        <v>36.79465752</v>
      </c>
      <c r="N573" s="1">
        <f t="shared" si="1695"/>
        <v>37.2349948</v>
      </c>
      <c r="O573" s="1">
        <f t="shared" ref="O573:Q573" si="1696">(L573-L$7)/(L$6-L$7)</f>
        <v>0.5000309556</v>
      </c>
      <c r="P573" s="1">
        <f t="shared" si="1696"/>
        <v>0.5011348216</v>
      </c>
      <c r="Q573" s="1">
        <f t="shared" si="1696"/>
        <v>0.4996821533</v>
      </c>
      <c r="R573" s="1">
        <f t="shared" ref="R573:T573" si="1697">1/(1+EXP(-O573))</f>
        <v>0.6224666059</v>
      </c>
      <c r="S573" s="1">
        <f t="shared" si="1697"/>
        <v>0.6227259814</v>
      </c>
      <c r="T573" s="1">
        <f t="shared" si="1697"/>
        <v>0.6223846331</v>
      </c>
      <c r="U573" s="1">
        <f t="shared" si="11"/>
        <v>3.080746557</v>
      </c>
      <c r="V573" s="1">
        <f t="shared" si="12"/>
        <v>0.8450268917</v>
      </c>
      <c r="W573" s="1">
        <f t="shared" si="13"/>
        <v>4</v>
      </c>
      <c r="X573" s="1">
        <f t="shared" si="14"/>
        <v>0</v>
      </c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</row>
    <row r="574" ht="15.75" customHeight="1">
      <c r="A574" s="1"/>
      <c r="B574" s="7">
        <v>4.0</v>
      </c>
      <c r="C574" s="7">
        <v>1.0</v>
      </c>
      <c r="D574" s="7">
        <v>1.0</v>
      </c>
      <c r="E574" s="7">
        <v>1.0</v>
      </c>
      <c r="F574" s="7">
        <v>2.0</v>
      </c>
      <c r="G574" s="8">
        <v>1.0</v>
      </c>
      <c r="H574" s="7">
        <v>3.0</v>
      </c>
      <c r="I574" s="7">
        <v>1.0</v>
      </c>
      <c r="J574" s="7">
        <v>1.0</v>
      </c>
      <c r="K574" s="7">
        <v>2.0</v>
      </c>
      <c r="L574" s="1">
        <f t="shared" ref="L574:N574" si="1698">SUMPRODUCT($B574:$J574, INDEX($B$2:$J$4, L$10, 0)) + INDEX($K$2:$K$4, L$10,1)</f>
        <v>8.033354877</v>
      </c>
      <c r="M574" s="1">
        <f t="shared" si="1698"/>
        <v>7.588037275</v>
      </c>
      <c r="N574" s="1">
        <f t="shared" si="1698"/>
        <v>7.716317977</v>
      </c>
      <c r="O574" s="1">
        <f t="shared" ref="O574:Q574" si="1699">(L574-L$7)/(L$6-L$7)</f>
        <v>0.002853900385</v>
      </c>
      <c r="P574" s="1">
        <f t="shared" si="1699"/>
        <v>0.001001860633</v>
      </c>
      <c r="Q574" s="1">
        <f t="shared" si="1699"/>
        <v>0.0005018251515</v>
      </c>
      <c r="R574" s="1">
        <f t="shared" ref="R574:T574" si="1700">1/(1+EXP(-O574))</f>
        <v>0.5007134746</v>
      </c>
      <c r="S574" s="1">
        <f t="shared" si="1700"/>
        <v>0.5002504651</v>
      </c>
      <c r="T574" s="1">
        <f t="shared" si="1700"/>
        <v>0.5001254563</v>
      </c>
      <c r="U574" s="1">
        <f t="shared" si="11"/>
        <v>2.476155104</v>
      </c>
      <c r="V574" s="1">
        <f t="shared" si="12"/>
        <v>0.2267236831</v>
      </c>
      <c r="W574" s="1">
        <f t="shared" si="13"/>
        <v>2</v>
      </c>
      <c r="X574" s="1">
        <f t="shared" si="14"/>
        <v>0</v>
      </c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</row>
    <row r="575" ht="15.75" customHeight="1">
      <c r="A575" s="1"/>
      <c r="B575" s="7">
        <v>5.0</v>
      </c>
      <c r="C575" s="7">
        <v>10.0</v>
      </c>
      <c r="D575" s="7">
        <v>6.0</v>
      </c>
      <c r="E575" s="7">
        <v>1.0</v>
      </c>
      <c r="F575" s="7">
        <v>10.0</v>
      </c>
      <c r="G575" s="8">
        <v>4.0</v>
      </c>
      <c r="H575" s="7">
        <v>4.0</v>
      </c>
      <c r="I575" s="7">
        <v>10.0</v>
      </c>
      <c r="J575" s="7">
        <v>10.0</v>
      </c>
      <c r="K575" s="7">
        <v>4.0</v>
      </c>
      <c r="L575" s="1">
        <f t="shared" ref="L575:N575" si="1701">SUMPRODUCT($B575:$J575, INDEX($B$2:$J$4, L$10, 0)) + INDEX($K$2:$K$4, L$10,1)</f>
        <v>42.97436968</v>
      </c>
      <c r="M575" s="1">
        <f t="shared" si="1701"/>
        <v>41.20815704</v>
      </c>
      <c r="N575" s="1">
        <f t="shared" si="1701"/>
        <v>40.67283745</v>
      </c>
      <c r="O575" s="1">
        <f t="shared" ref="O575:Q575" si="1702">(L575-L$7)/(L$6-L$7)</f>
        <v>0.5742210365</v>
      </c>
      <c r="P575" s="1">
        <f t="shared" si="1702"/>
        <v>0.5767114054</v>
      </c>
      <c r="Q575" s="1">
        <f t="shared" si="1702"/>
        <v>0.5578183439</v>
      </c>
      <c r="R575" s="1">
        <f t="shared" ref="R575:T575" si="1703">1/(1+EXP(-O575))</f>
        <v>0.6397365857</v>
      </c>
      <c r="S575" s="1">
        <f t="shared" si="1703"/>
        <v>0.6403103502</v>
      </c>
      <c r="T575" s="1">
        <f t="shared" si="1703"/>
        <v>0.635947597</v>
      </c>
      <c r="U575" s="1">
        <f t="shared" si="11"/>
        <v>3.160368656</v>
      </c>
      <c r="V575" s="1">
        <f t="shared" si="12"/>
        <v>0.7049807937</v>
      </c>
      <c r="W575" s="1">
        <f t="shared" si="13"/>
        <v>4</v>
      </c>
      <c r="X575" s="1">
        <f t="shared" si="14"/>
        <v>0</v>
      </c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</row>
    <row r="576" ht="15.75" customHeight="1">
      <c r="A576" s="1"/>
      <c r="B576" s="7">
        <v>9.0</v>
      </c>
      <c r="C576" s="7">
        <v>6.0</v>
      </c>
      <c r="D576" s="7">
        <v>9.0</v>
      </c>
      <c r="E576" s="7">
        <v>2.0</v>
      </c>
      <c r="F576" s="7">
        <v>10.0</v>
      </c>
      <c r="G576" s="8">
        <v>6.0</v>
      </c>
      <c r="H576" s="7">
        <v>2.0</v>
      </c>
      <c r="I576" s="7">
        <v>9.0</v>
      </c>
      <c r="J576" s="7">
        <v>10.0</v>
      </c>
      <c r="K576" s="7">
        <v>4.0</v>
      </c>
      <c r="L576" s="1">
        <f t="shared" ref="L576:N576" si="1704">SUMPRODUCT($B576:$J576, INDEX($B$2:$J$4, L$10, 0)) + INDEX($K$2:$K$4, L$10,1)</f>
        <v>47.47259597</v>
      </c>
      <c r="M576" s="1">
        <f t="shared" si="1704"/>
        <v>44.72352764</v>
      </c>
      <c r="N576" s="1">
        <f t="shared" si="1704"/>
        <v>46.00546063</v>
      </c>
      <c r="O576" s="1">
        <f t="shared" ref="O576:Q576" si="1705">(L576-L$7)/(L$6-L$7)</f>
        <v>0.647777534</v>
      </c>
      <c r="P576" s="1">
        <f t="shared" si="1705"/>
        <v>0.6369084666</v>
      </c>
      <c r="Q576" s="1">
        <f t="shared" si="1705"/>
        <v>0.647996525</v>
      </c>
      <c r="R576" s="1">
        <f t="shared" ref="R576:T576" si="1706">1/(1+EXP(-O576))</f>
        <v>0.6565094604</v>
      </c>
      <c r="S576" s="1">
        <f t="shared" si="1706"/>
        <v>0.6540542813</v>
      </c>
      <c r="T576" s="1">
        <f t="shared" si="1706"/>
        <v>0.6565588423</v>
      </c>
      <c r="U576" s="1">
        <f t="shared" si="11"/>
        <v>3.244964864</v>
      </c>
      <c r="V576" s="1">
        <f t="shared" si="12"/>
        <v>0.5700780562</v>
      </c>
      <c r="W576" s="1">
        <f t="shared" si="13"/>
        <v>4</v>
      </c>
      <c r="X576" s="1">
        <f t="shared" si="14"/>
        <v>0</v>
      </c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</row>
    <row r="577" ht="15.75" customHeight="1">
      <c r="A577" s="1"/>
      <c r="B577" s="7">
        <v>9.0</v>
      </c>
      <c r="C577" s="7">
        <v>9.0</v>
      </c>
      <c r="D577" s="7">
        <v>10.0</v>
      </c>
      <c r="E577" s="7">
        <v>3.0</v>
      </c>
      <c r="F577" s="7">
        <v>6.0</v>
      </c>
      <c r="G577" s="8">
        <v>10.0</v>
      </c>
      <c r="H577" s="7">
        <v>7.0</v>
      </c>
      <c r="I577" s="7">
        <v>10.0</v>
      </c>
      <c r="J577" s="7">
        <v>6.0</v>
      </c>
      <c r="K577" s="7">
        <v>4.0</v>
      </c>
      <c r="L577" s="1">
        <f t="shared" ref="L577:N577" si="1707">SUMPRODUCT($B577:$J577, INDEX($B$2:$J$4, L$10, 0)) + INDEX($K$2:$K$4, L$10,1)</f>
        <v>67.01842778</v>
      </c>
      <c r="M577" s="1">
        <f t="shared" si="1707"/>
        <v>64.25876552</v>
      </c>
      <c r="N577" s="1">
        <f t="shared" si="1707"/>
        <v>65.38483776</v>
      </c>
      <c r="O577" s="1">
        <f t="shared" ref="O577:Q577" si="1708">(L577-L$7)/(L$6-L$7)</f>
        <v>0.9673974995</v>
      </c>
      <c r="P577" s="1">
        <f t="shared" si="1708"/>
        <v>0.9714290748</v>
      </c>
      <c r="Q577" s="1">
        <f t="shared" si="1708"/>
        <v>0.9757145964</v>
      </c>
      <c r="R577" s="1">
        <f t="shared" ref="R577:T577" si="1709">1/(1+EXP(-O577))</f>
        <v>0.7246004604</v>
      </c>
      <c r="S577" s="1">
        <f t="shared" si="1709"/>
        <v>0.725404251</v>
      </c>
      <c r="T577" s="1">
        <f t="shared" si="1709"/>
        <v>0.7262570715</v>
      </c>
      <c r="U577" s="1">
        <f t="shared" si="11"/>
        <v>3.590067976</v>
      </c>
      <c r="V577" s="1">
        <f t="shared" si="12"/>
        <v>0.1680442645</v>
      </c>
      <c r="W577" s="1">
        <f t="shared" si="13"/>
        <v>4</v>
      </c>
      <c r="X577" s="1">
        <f t="shared" si="14"/>
        <v>0</v>
      </c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</row>
    <row r="578" ht="15.75" customHeight="1">
      <c r="A578" s="1"/>
      <c r="B578" s="7">
        <v>10.0</v>
      </c>
      <c r="C578" s="7">
        <v>8.0</v>
      </c>
      <c r="D578" s="7">
        <v>8.0</v>
      </c>
      <c r="E578" s="7">
        <v>4.0</v>
      </c>
      <c r="F578" s="7">
        <v>10.0</v>
      </c>
      <c r="G578" s="8">
        <v>10.0</v>
      </c>
      <c r="H578" s="7">
        <v>8.0</v>
      </c>
      <c r="I578" s="7">
        <v>1.0</v>
      </c>
      <c r="J578" s="7">
        <v>1.0</v>
      </c>
      <c r="K578" s="7">
        <v>4.0</v>
      </c>
      <c r="L578" s="1">
        <f t="shared" ref="L578:N578" si="1710">SUMPRODUCT($B578:$J578, INDEX($B$2:$J$4, L$10, 0)) + INDEX($K$2:$K$4, L$10,1)</f>
        <v>60.09632603</v>
      </c>
      <c r="M578" s="1">
        <f t="shared" si="1710"/>
        <v>57.45154057</v>
      </c>
      <c r="N578" s="1">
        <f t="shared" si="1710"/>
        <v>58.25610304</v>
      </c>
      <c r="O578" s="1">
        <f t="shared" ref="O578:Q578" si="1711">(L578-L$7)/(L$6-L$7)</f>
        <v>0.8542049813</v>
      </c>
      <c r="P578" s="1">
        <f t="shared" si="1711"/>
        <v>0.8548624353</v>
      </c>
      <c r="Q578" s="1">
        <f t="shared" si="1711"/>
        <v>0.8551629823</v>
      </c>
      <c r="R578" s="1">
        <f t="shared" ref="R578:T578" si="1712">1/(1+EXP(-O578))</f>
        <v>0.7014484886</v>
      </c>
      <c r="S578" s="1">
        <f t="shared" si="1712"/>
        <v>0.7015861535</v>
      </c>
      <c r="T578" s="1">
        <f t="shared" si="1712"/>
        <v>0.7016490731</v>
      </c>
      <c r="U578" s="1">
        <f t="shared" si="11"/>
        <v>3.471895818</v>
      </c>
      <c r="V578" s="1">
        <f t="shared" si="12"/>
        <v>0.2788940273</v>
      </c>
      <c r="W578" s="1">
        <f t="shared" si="13"/>
        <v>4</v>
      </c>
      <c r="X578" s="1">
        <f t="shared" si="14"/>
        <v>0</v>
      </c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</row>
    <row r="579" ht="15.75" customHeight="1">
      <c r="A579" s="1"/>
      <c r="B579" s="7">
        <v>4.0</v>
      </c>
      <c r="C579" s="7">
        <v>4.0</v>
      </c>
      <c r="D579" s="7">
        <v>4.0</v>
      </c>
      <c r="E579" s="7">
        <v>4.0</v>
      </c>
      <c r="F579" s="7">
        <v>6.0</v>
      </c>
      <c r="G579" s="8">
        <v>5.0</v>
      </c>
      <c r="H579" s="7">
        <v>7.0</v>
      </c>
      <c r="I579" s="7">
        <v>3.0</v>
      </c>
      <c r="J579" s="7">
        <v>1.0</v>
      </c>
      <c r="K579" s="7">
        <v>2.0</v>
      </c>
      <c r="L579" s="1">
        <f t="shared" ref="L579:N579" si="1713">SUMPRODUCT($B579:$J579, INDEX($B$2:$J$4, L$10, 0)) + INDEX($K$2:$K$4, L$10,1)</f>
        <v>31.48870916</v>
      </c>
      <c r="M579" s="1">
        <f t="shared" si="1713"/>
        <v>29.95869692</v>
      </c>
      <c r="N579" s="1">
        <f t="shared" si="1713"/>
        <v>30.43286548</v>
      </c>
      <c r="O579" s="1">
        <f t="shared" ref="O579:Q579" si="1714">(L579-L$7)/(L$6-L$7)</f>
        <v>0.3864036822</v>
      </c>
      <c r="P579" s="1">
        <f t="shared" si="1714"/>
        <v>0.3840761142</v>
      </c>
      <c r="Q579" s="1">
        <f t="shared" si="1714"/>
        <v>0.3846536523</v>
      </c>
      <c r="R579" s="1">
        <f t="shared" ref="R579:T579" si="1715">1/(1+EXP(-O579))</f>
        <v>0.59541666</v>
      </c>
      <c r="S579" s="1">
        <f t="shared" si="1715"/>
        <v>0.5948558347</v>
      </c>
      <c r="T579" s="1">
        <f t="shared" si="1715"/>
        <v>0.5949950151</v>
      </c>
      <c r="U579" s="1">
        <f t="shared" si="11"/>
        <v>2.944945882</v>
      </c>
      <c r="V579" s="1">
        <f t="shared" si="12"/>
        <v>0.8929227192</v>
      </c>
      <c r="W579" s="1">
        <f t="shared" si="13"/>
        <v>4</v>
      </c>
      <c r="X579" s="1">
        <f t="shared" si="14"/>
        <v>1</v>
      </c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</row>
    <row r="580" ht="15.75" customHeight="1">
      <c r="A580" s="1"/>
      <c r="B580" s="7">
        <v>3.0</v>
      </c>
      <c r="C580" s="7">
        <v>2.0</v>
      </c>
      <c r="D580" s="7">
        <v>2.0</v>
      </c>
      <c r="E580" s="7">
        <v>1.0</v>
      </c>
      <c r="F580" s="7">
        <v>2.0</v>
      </c>
      <c r="G580" s="8">
        <v>1.0</v>
      </c>
      <c r="H580" s="7">
        <v>2.0</v>
      </c>
      <c r="I580" s="7">
        <v>3.0</v>
      </c>
      <c r="J580" s="7">
        <v>1.0</v>
      </c>
      <c r="K580" s="7">
        <v>2.0</v>
      </c>
      <c r="L580" s="1">
        <f t="shared" ref="L580:N580" si="1716">SUMPRODUCT($B580:$J580, INDEX($B$2:$J$4, L$10, 0)) + INDEX($K$2:$K$4, L$10,1)</f>
        <v>11.69713843</v>
      </c>
      <c r="M580" s="1">
        <f t="shared" si="1716"/>
        <v>11.07440596</v>
      </c>
      <c r="N580" s="1">
        <f t="shared" si="1716"/>
        <v>11.22943208</v>
      </c>
      <c r="O580" s="1">
        <f t="shared" ref="O580:Q580" si="1717">(L580-L$7)/(L$6-L$7)</f>
        <v>0.0627653119</v>
      </c>
      <c r="P580" s="1">
        <f t="shared" si="1717"/>
        <v>0.06070229418</v>
      </c>
      <c r="Q580" s="1">
        <f t="shared" si="1717"/>
        <v>0.05991090571</v>
      </c>
      <c r="R580" s="1">
        <f t="shared" ref="R580:T580" si="1718">1/(1+EXP(-O580))</f>
        <v>0.5156861787</v>
      </c>
      <c r="S580" s="1">
        <f t="shared" si="1718"/>
        <v>0.5151709154</v>
      </c>
      <c r="T580" s="1">
        <f t="shared" si="1718"/>
        <v>0.5149732481</v>
      </c>
      <c r="U580" s="1">
        <f t="shared" si="11"/>
        <v>2.549951357</v>
      </c>
      <c r="V580" s="1">
        <f t="shared" si="12"/>
        <v>0.3024464953</v>
      </c>
      <c r="W580" s="1">
        <f t="shared" si="13"/>
        <v>2</v>
      </c>
      <c r="X580" s="1">
        <f t="shared" si="14"/>
        <v>0</v>
      </c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</row>
    <row r="581" ht="15.75" customHeight="1">
      <c r="A581" s="1"/>
      <c r="B581" s="7">
        <v>2.0</v>
      </c>
      <c r="C581" s="7">
        <v>1.0</v>
      </c>
      <c r="D581" s="7">
        <v>1.0</v>
      </c>
      <c r="E581" s="7">
        <v>1.0</v>
      </c>
      <c r="F581" s="7">
        <v>2.0</v>
      </c>
      <c r="G581" s="8">
        <v>1.0</v>
      </c>
      <c r="H581" s="7">
        <v>1.0</v>
      </c>
      <c r="I581" s="7">
        <v>1.0</v>
      </c>
      <c r="J581" s="7">
        <v>1.0</v>
      </c>
      <c r="K581" s="7">
        <v>2.0</v>
      </c>
      <c r="L581" s="1">
        <f t="shared" ref="L581:N581" si="1719">SUMPRODUCT($B581:$J581, INDEX($B$2:$J$4, L$10, 0)) + INDEX($K$2:$K$4, L$10,1)</f>
        <v>7.937016298</v>
      </c>
      <c r="M581" s="1">
        <f t="shared" si="1719"/>
        <v>7.549033273</v>
      </c>
      <c r="N581" s="1">
        <f t="shared" si="1719"/>
        <v>7.696531906</v>
      </c>
      <c r="O581" s="1">
        <f t="shared" ref="O581:Q581" si="1720">(L581-L$7)/(L$6-L$7)</f>
        <v>0.001278539775</v>
      </c>
      <c r="P581" s="1">
        <f t="shared" si="1720"/>
        <v>0.0003339577008</v>
      </c>
      <c r="Q581" s="1">
        <f t="shared" si="1720"/>
        <v>0.0001672296299</v>
      </c>
      <c r="R581" s="1">
        <f t="shared" ref="R581:T581" si="1721">1/(1+EXP(-O581))</f>
        <v>0.5003196349</v>
      </c>
      <c r="S581" s="1">
        <f t="shared" si="1721"/>
        <v>0.5000834894</v>
      </c>
      <c r="T581" s="1">
        <f t="shared" si="1721"/>
        <v>0.5000418074</v>
      </c>
      <c r="U581" s="1">
        <f t="shared" si="11"/>
        <v>2.475112694</v>
      </c>
      <c r="V581" s="1">
        <f t="shared" si="12"/>
        <v>0.2257320719</v>
      </c>
      <c r="W581" s="1">
        <f t="shared" si="13"/>
        <v>2</v>
      </c>
      <c r="X581" s="1">
        <f t="shared" si="14"/>
        <v>0</v>
      </c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</row>
    <row r="582" ht="15.75" customHeight="1">
      <c r="A582" s="1"/>
      <c r="B582" s="7">
        <v>1.0</v>
      </c>
      <c r="C582" s="7">
        <v>1.0</v>
      </c>
      <c r="D582" s="7">
        <v>1.0</v>
      </c>
      <c r="E582" s="7">
        <v>1.0</v>
      </c>
      <c r="F582" s="7">
        <v>2.0</v>
      </c>
      <c r="G582" s="8">
        <v>1.0</v>
      </c>
      <c r="H582" s="7">
        <v>2.0</v>
      </c>
      <c r="I582" s="7">
        <v>1.0</v>
      </c>
      <c r="J582" s="7">
        <v>1.0</v>
      </c>
      <c r="K582" s="7">
        <v>2.0</v>
      </c>
      <c r="L582" s="1">
        <f t="shared" ref="L582:N582" si="1722">SUMPRODUCT($B582:$J582, INDEX($B$2:$J$4, L$10, 0)) + INDEX($K$2:$K$4, L$10,1)</f>
        <v>7.953432454</v>
      </c>
      <c r="M582" s="1">
        <f t="shared" si="1722"/>
        <v>7.529531272</v>
      </c>
      <c r="N582" s="1">
        <f t="shared" si="1722"/>
        <v>7.686646929</v>
      </c>
      <c r="O582" s="1">
        <f t="shared" ref="O582:Q582" si="1723">(L582-L$7)/(L$6-L$7)</f>
        <v>0.001546982238</v>
      </c>
      <c r="P582" s="1">
        <f t="shared" si="1723"/>
        <v>0.000000006234892308</v>
      </c>
      <c r="Q582" s="1">
        <f t="shared" si="1723"/>
        <v>0.00000006813089816</v>
      </c>
      <c r="R582" s="1">
        <f t="shared" ref="R582:T582" si="1724">1/(1+EXP(-O582))</f>
        <v>0.5003867455</v>
      </c>
      <c r="S582" s="1">
        <f t="shared" si="1724"/>
        <v>0.5000000016</v>
      </c>
      <c r="T582" s="1">
        <f t="shared" si="1724"/>
        <v>0.500000017</v>
      </c>
      <c r="U582" s="1">
        <f t="shared" si="11"/>
        <v>2.475009467</v>
      </c>
      <c r="V582" s="1">
        <f t="shared" si="12"/>
        <v>0.2256339933</v>
      </c>
      <c r="W582" s="1">
        <f t="shared" si="13"/>
        <v>2</v>
      </c>
      <c r="X582" s="1">
        <f t="shared" si="14"/>
        <v>0</v>
      </c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</row>
    <row r="583" ht="15.75" customHeight="1">
      <c r="A583" s="1"/>
      <c r="B583" s="7">
        <v>5.0</v>
      </c>
      <c r="C583" s="7">
        <v>1.0</v>
      </c>
      <c r="D583" s="7">
        <v>2.0</v>
      </c>
      <c r="E583" s="7">
        <v>1.0</v>
      </c>
      <c r="F583" s="7">
        <v>2.0</v>
      </c>
      <c r="G583" s="8">
        <v>1.0</v>
      </c>
      <c r="H583" s="7">
        <v>3.0</v>
      </c>
      <c r="I583" s="7">
        <v>1.0</v>
      </c>
      <c r="J583" s="7">
        <v>1.0</v>
      </c>
      <c r="K583" s="7">
        <v>2.0</v>
      </c>
      <c r="L583" s="1">
        <f t="shared" ref="L583:N583" si="1725">SUMPRODUCT($B583:$J583, INDEX($B$2:$J$4, L$10, 0)) + INDEX($K$2:$K$4, L$10,1)</f>
        <v>9.596522116</v>
      </c>
      <c r="M583" s="1">
        <f t="shared" si="1725"/>
        <v>8.878852681</v>
      </c>
      <c r="N583" s="1">
        <f t="shared" si="1725"/>
        <v>9.241793615</v>
      </c>
      <c r="O583" s="1">
        <f t="shared" ref="O583:Q583" si="1726">(L583-L$7)/(L$6-L$7)</f>
        <v>0.02841533281</v>
      </c>
      <c r="P583" s="1">
        <f t="shared" si="1726"/>
        <v>0.02310573042</v>
      </c>
      <c r="Q583" s="1">
        <f t="shared" si="1726"/>
        <v>0.02629862607</v>
      </c>
      <c r="R583" s="1">
        <f t="shared" ref="R583:T583" si="1727">1/(1+EXP(-O583))</f>
        <v>0.5071033553</v>
      </c>
      <c r="S583" s="1">
        <f t="shared" si="1727"/>
        <v>0.5057761756</v>
      </c>
      <c r="T583" s="1">
        <f t="shared" si="1727"/>
        <v>0.5065742776</v>
      </c>
      <c r="U583" s="1">
        <f t="shared" si="11"/>
        <v>2.506452839</v>
      </c>
      <c r="V583" s="1">
        <f t="shared" si="12"/>
        <v>0.2564944777</v>
      </c>
      <c r="W583" s="1">
        <f t="shared" si="13"/>
        <v>2</v>
      </c>
      <c r="X583" s="1">
        <f t="shared" si="14"/>
        <v>0</v>
      </c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</row>
    <row r="584" ht="15.75" customHeight="1">
      <c r="A584" s="1"/>
      <c r="B584" s="7">
        <v>3.0</v>
      </c>
      <c r="C584" s="7">
        <v>1.0</v>
      </c>
      <c r="D584" s="7">
        <v>1.0</v>
      </c>
      <c r="E584" s="7">
        <v>1.0</v>
      </c>
      <c r="F584" s="7">
        <v>1.0</v>
      </c>
      <c r="G584" s="8">
        <v>1.0</v>
      </c>
      <c r="H584" s="7">
        <v>2.0</v>
      </c>
      <c r="I584" s="7">
        <v>1.0</v>
      </c>
      <c r="J584" s="7">
        <v>1.0</v>
      </c>
      <c r="K584" s="7">
        <v>2.0</v>
      </c>
      <c r="L584" s="1">
        <f t="shared" ref="L584:N584" si="1728">SUMPRODUCT($B584:$J584, INDEX($B$2:$J$4, L$10, 0)) + INDEX($K$2:$K$4, L$10,1)</f>
        <v>7.922875163</v>
      </c>
      <c r="M584" s="1">
        <f t="shared" si="1728"/>
        <v>7.56853491</v>
      </c>
      <c r="N584" s="1">
        <f t="shared" si="1728"/>
        <v>7.706424942</v>
      </c>
      <c r="O584" s="1">
        <f t="shared" ref="O584:Q584" si="1729">(L584-L$7)/(L$6-L$7)</f>
        <v>0.001047299226</v>
      </c>
      <c r="P584" s="1">
        <f t="shared" si="1729"/>
        <v>0.0006679029318</v>
      </c>
      <c r="Q584" s="1">
        <f t="shared" si="1729"/>
        <v>0.0003345273907</v>
      </c>
      <c r="R584" s="1">
        <f t="shared" ref="R584:T584" si="1730">1/(1+EXP(-O584))</f>
        <v>0.5002618248</v>
      </c>
      <c r="S584" s="1">
        <f t="shared" si="1730"/>
        <v>0.5001669757</v>
      </c>
      <c r="T584" s="1">
        <f t="shared" si="1730"/>
        <v>0.5000836318</v>
      </c>
      <c r="U584" s="1">
        <f t="shared" si="11"/>
        <v>2.475230698</v>
      </c>
      <c r="V584" s="1">
        <f t="shared" si="12"/>
        <v>0.2258442165</v>
      </c>
      <c r="W584" s="1">
        <f t="shared" si="13"/>
        <v>2</v>
      </c>
      <c r="X584" s="1">
        <f t="shared" si="14"/>
        <v>0</v>
      </c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</row>
    <row r="585" ht="15.75" customHeight="1">
      <c r="A585" s="1"/>
      <c r="B585" s="7">
        <v>4.0</v>
      </c>
      <c r="C585" s="7">
        <v>1.0</v>
      </c>
      <c r="D585" s="7">
        <v>1.0</v>
      </c>
      <c r="E585" s="7">
        <v>1.0</v>
      </c>
      <c r="F585" s="7">
        <v>2.0</v>
      </c>
      <c r="G585" s="8">
        <v>1.0</v>
      </c>
      <c r="H585" s="7">
        <v>2.0</v>
      </c>
      <c r="I585" s="7">
        <v>1.0</v>
      </c>
      <c r="J585" s="7">
        <v>1.0</v>
      </c>
      <c r="K585" s="7">
        <v>2.0</v>
      </c>
      <c r="L585" s="1">
        <f t="shared" ref="L585:N585" si="1731">SUMPRODUCT($B585:$J585, INDEX($B$2:$J$4, L$10, 0)) + INDEX($K$2:$K$4, L$10,1)</f>
        <v>8.001062154</v>
      </c>
      <c r="M585" s="1">
        <f t="shared" si="1731"/>
        <v>7.588037275</v>
      </c>
      <c r="N585" s="1">
        <f t="shared" si="1731"/>
        <v>7.716313948</v>
      </c>
      <c r="O585" s="1">
        <f t="shared" ref="O585:Q585" si="1732">(L585-L$7)/(L$6-L$7)</f>
        <v>0.002325839001</v>
      </c>
      <c r="P585" s="1">
        <f t="shared" si="1732"/>
        <v>0.001001860633</v>
      </c>
      <c r="Q585" s="1">
        <f t="shared" si="1732"/>
        <v>0.0005017570206</v>
      </c>
      <c r="R585" s="1">
        <f t="shared" ref="R585:T585" si="1733">1/(1+EXP(-O585))</f>
        <v>0.5005814595</v>
      </c>
      <c r="S585" s="1">
        <f t="shared" si="1733"/>
        <v>0.5002504651</v>
      </c>
      <c r="T585" s="1">
        <f t="shared" si="1733"/>
        <v>0.5001254393</v>
      </c>
      <c r="U585" s="1">
        <f t="shared" si="11"/>
        <v>2.475946115</v>
      </c>
      <c r="V585" s="1">
        <f t="shared" si="12"/>
        <v>0.2265247046</v>
      </c>
      <c r="W585" s="1">
        <f t="shared" si="13"/>
        <v>2</v>
      </c>
      <c r="X585" s="1">
        <f t="shared" si="14"/>
        <v>0</v>
      </c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</row>
    <row r="586" ht="15.75" customHeight="1">
      <c r="A586" s="1"/>
      <c r="B586" s="7">
        <v>4.0</v>
      </c>
      <c r="C586" s="7">
        <v>1.0</v>
      </c>
      <c r="D586" s="7">
        <v>1.0</v>
      </c>
      <c r="E586" s="7">
        <v>1.0</v>
      </c>
      <c r="F586" s="7">
        <v>2.0</v>
      </c>
      <c r="G586" s="8">
        <v>1.0</v>
      </c>
      <c r="H586" s="7">
        <v>3.0</v>
      </c>
      <c r="I586" s="7">
        <v>1.0</v>
      </c>
      <c r="J586" s="7">
        <v>1.0</v>
      </c>
      <c r="K586" s="7">
        <v>2.0</v>
      </c>
      <c r="L586" s="1">
        <f t="shared" ref="L586:N586" si="1734">SUMPRODUCT($B586:$J586, INDEX($B$2:$J$4, L$10, 0)) + INDEX($K$2:$K$4, L$10,1)</f>
        <v>8.033354877</v>
      </c>
      <c r="M586" s="1">
        <f t="shared" si="1734"/>
        <v>7.588037275</v>
      </c>
      <c r="N586" s="1">
        <f t="shared" si="1734"/>
        <v>7.716317977</v>
      </c>
      <c r="O586" s="1">
        <f t="shared" ref="O586:Q586" si="1735">(L586-L$7)/(L$6-L$7)</f>
        <v>0.002853900385</v>
      </c>
      <c r="P586" s="1">
        <f t="shared" si="1735"/>
        <v>0.001001860633</v>
      </c>
      <c r="Q586" s="1">
        <f t="shared" si="1735"/>
        <v>0.0005018251515</v>
      </c>
      <c r="R586" s="1">
        <f t="shared" ref="R586:T586" si="1736">1/(1+EXP(-O586))</f>
        <v>0.5007134746</v>
      </c>
      <c r="S586" s="1">
        <f t="shared" si="1736"/>
        <v>0.5002504651</v>
      </c>
      <c r="T586" s="1">
        <f t="shared" si="1736"/>
        <v>0.5001254563</v>
      </c>
      <c r="U586" s="1">
        <f t="shared" si="11"/>
        <v>2.476155104</v>
      </c>
      <c r="V586" s="1">
        <f t="shared" si="12"/>
        <v>0.2267236831</v>
      </c>
      <c r="W586" s="1">
        <f t="shared" si="13"/>
        <v>2</v>
      </c>
      <c r="X586" s="1">
        <f t="shared" si="14"/>
        <v>0</v>
      </c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</row>
    <row r="587" ht="15.75" customHeight="1">
      <c r="A587" s="1"/>
      <c r="B587" s="7">
        <v>7.0</v>
      </c>
      <c r="C587" s="7">
        <v>4.0</v>
      </c>
      <c r="D587" s="7">
        <v>4.0</v>
      </c>
      <c r="E587" s="7">
        <v>3.0</v>
      </c>
      <c r="F587" s="7">
        <v>4.0</v>
      </c>
      <c r="G587" s="8">
        <v>10.0</v>
      </c>
      <c r="H587" s="7">
        <v>6.0</v>
      </c>
      <c r="I587" s="7">
        <v>9.0</v>
      </c>
      <c r="J587" s="7">
        <v>1.0</v>
      </c>
      <c r="K587" s="7">
        <v>4.0</v>
      </c>
      <c r="L587" s="1">
        <f t="shared" ref="L587:N587" si="1737">SUMPRODUCT($B587:$J587, INDEX($B$2:$J$4, L$10, 0)) + INDEX($K$2:$K$4, L$10,1)</f>
        <v>49.28427953</v>
      </c>
      <c r="M587" s="1">
        <f t="shared" si="1737"/>
        <v>48.0542224</v>
      </c>
      <c r="N587" s="1">
        <f t="shared" si="1737"/>
        <v>48.93807488</v>
      </c>
      <c r="O587" s="1">
        <f t="shared" ref="O587:Q587" si="1738">(L587-L$7)/(L$6-L$7)</f>
        <v>0.6774027884</v>
      </c>
      <c r="P587" s="1">
        <f t="shared" si="1738"/>
        <v>0.6939431463</v>
      </c>
      <c r="Q587" s="1">
        <f t="shared" si="1738"/>
        <v>0.6975889696</v>
      </c>
      <c r="R587" s="1">
        <f t="shared" ref="R587:T587" si="1739">1/(1+EXP(-O587))</f>
        <v>0.6631587804</v>
      </c>
      <c r="S587" s="1">
        <f t="shared" si="1739"/>
        <v>0.6668435245</v>
      </c>
      <c r="T587" s="1">
        <f t="shared" si="1739"/>
        <v>0.6676529991</v>
      </c>
      <c r="U587" s="1">
        <f t="shared" si="11"/>
        <v>3.295628475</v>
      </c>
      <c r="V587" s="1">
        <f t="shared" si="12"/>
        <v>0.4961392449</v>
      </c>
      <c r="W587" s="1">
        <f t="shared" si="13"/>
        <v>4</v>
      </c>
      <c r="X587" s="1">
        <f t="shared" si="14"/>
        <v>0</v>
      </c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</row>
    <row r="588" ht="15.75" customHeight="1">
      <c r="A588" s="1"/>
      <c r="B588" s="7">
        <v>5.0</v>
      </c>
      <c r="C588" s="7">
        <v>1.0</v>
      </c>
      <c r="D588" s="7">
        <v>2.0</v>
      </c>
      <c r="E588" s="7">
        <v>1.0</v>
      </c>
      <c r="F588" s="7">
        <v>2.0</v>
      </c>
      <c r="G588" s="8">
        <v>1.0</v>
      </c>
      <c r="H588" s="7">
        <v>3.0</v>
      </c>
      <c r="I588" s="7">
        <v>1.0</v>
      </c>
      <c r="J588" s="7">
        <v>1.0</v>
      </c>
      <c r="K588" s="7">
        <v>2.0</v>
      </c>
      <c r="L588" s="1">
        <f t="shared" ref="L588:N588" si="1740">SUMPRODUCT($B588:$J588, INDEX($B$2:$J$4, L$10, 0)) + INDEX($K$2:$K$4, L$10,1)</f>
        <v>9.596522116</v>
      </c>
      <c r="M588" s="1">
        <f t="shared" si="1740"/>
        <v>8.878852681</v>
      </c>
      <c r="N588" s="1">
        <f t="shared" si="1740"/>
        <v>9.241793615</v>
      </c>
      <c r="O588" s="1">
        <f t="shared" ref="O588:Q588" si="1741">(L588-L$7)/(L$6-L$7)</f>
        <v>0.02841533281</v>
      </c>
      <c r="P588" s="1">
        <f t="shared" si="1741"/>
        <v>0.02310573042</v>
      </c>
      <c r="Q588" s="1">
        <f t="shared" si="1741"/>
        <v>0.02629862607</v>
      </c>
      <c r="R588" s="1">
        <f t="shared" ref="R588:T588" si="1742">1/(1+EXP(-O588))</f>
        <v>0.5071033553</v>
      </c>
      <c r="S588" s="1">
        <f t="shared" si="1742"/>
        <v>0.5057761756</v>
      </c>
      <c r="T588" s="1">
        <f t="shared" si="1742"/>
        <v>0.5065742776</v>
      </c>
      <c r="U588" s="1">
        <f t="shared" si="11"/>
        <v>2.506452839</v>
      </c>
      <c r="V588" s="1">
        <f t="shared" si="12"/>
        <v>0.2564944777</v>
      </c>
      <c r="W588" s="1">
        <f t="shared" si="13"/>
        <v>2</v>
      </c>
      <c r="X588" s="1">
        <f t="shared" si="14"/>
        <v>0</v>
      </c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</row>
    <row r="589" ht="15.75" customHeight="1">
      <c r="A589" s="1"/>
      <c r="B589" s="7">
        <v>1.0</v>
      </c>
      <c r="C589" s="7">
        <v>1.0</v>
      </c>
      <c r="D589" s="7">
        <v>1.0</v>
      </c>
      <c r="E589" s="7">
        <v>1.0</v>
      </c>
      <c r="F589" s="7">
        <v>2.0</v>
      </c>
      <c r="G589" s="8">
        <v>1.0</v>
      </c>
      <c r="H589" s="7">
        <v>1.0</v>
      </c>
      <c r="I589" s="7">
        <v>1.0</v>
      </c>
      <c r="J589" s="7">
        <v>1.0</v>
      </c>
      <c r="K589" s="7">
        <v>2.0</v>
      </c>
      <c r="L589" s="1">
        <f t="shared" ref="L589:N589" si="1743">SUMPRODUCT($B589:$J589, INDEX($B$2:$J$4, L$10, 0)) + INDEX($K$2:$K$4, L$10,1)</f>
        <v>7.921139731</v>
      </c>
      <c r="M589" s="1">
        <f t="shared" si="1743"/>
        <v>7.529531272</v>
      </c>
      <c r="N589" s="1">
        <f t="shared" si="1743"/>
        <v>7.6866429</v>
      </c>
      <c r="O589" s="1">
        <f t="shared" ref="O589:Q589" si="1744">(L589-L$7)/(L$6-L$7)</f>
        <v>0.001018920854</v>
      </c>
      <c r="P589" s="1">
        <f t="shared" si="1744"/>
        <v>0.000000006234892308</v>
      </c>
      <c r="Q589" s="1">
        <f t="shared" si="1744"/>
        <v>0</v>
      </c>
      <c r="R589" s="1">
        <f t="shared" ref="R589:T589" si="1745">1/(1+EXP(-O589))</f>
        <v>0.5002547302</v>
      </c>
      <c r="S589" s="1">
        <f t="shared" si="1745"/>
        <v>0.5000000016</v>
      </c>
      <c r="T589" s="1">
        <f t="shared" si="1745"/>
        <v>0.5</v>
      </c>
      <c r="U589" s="1">
        <f t="shared" si="11"/>
        <v>2.474800478</v>
      </c>
      <c r="V589" s="1">
        <f t="shared" si="12"/>
        <v>0.2254354935</v>
      </c>
      <c r="W589" s="1">
        <f t="shared" si="13"/>
        <v>2</v>
      </c>
      <c r="X589" s="1">
        <f t="shared" si="14"/>
        <v>0</v>
      </c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</row>
    <row r="590" ht="15.75" customHeight="1">
      <c r="A590" s="1"/>
      <c r="B590" s="7">
        <v>3.0</v>
      </c>
      <c r="C590" s="7">
        <v>1.0</v>
      </c>
      <c r="D590" s="7">
        <v>1.0</v>
      </c>
      <c r="E590" s="7">
        <v>1.0</v>
      </c>
      <c r="F590" s="7">
        <v>2.0</v>
      </c>
      <c r="G590" s="8">
        <v>1.0</v>
      </c>
      <c r="H590" s="7">
        <v>2.0</v>
      </c>
      <c r="I590" s="7">
        <v>1.0</v>
      </c>
      <c r="J590" s="7">
        <v>1.0</v>
      </c>
      <c r="K590" s="7">
        <v>2.0</v>
      </c>
      <c r="L590" s="1">
        <f t="shared" ref="L590:N590" si="1746">SUMPRODUCT($B590:$J590, INDEX($B$2:$J$4, L$10, 0)) + INDEX($K$2:$K$4, L$10,1)</f>
        <v>7.985185587</v>
      </c>
      <c r="M590" s="1">
        <f t="shared" si="1746"/>
        <v>7.568535274</v>
      </c>
      <c r="N590" s="1">
        <f t="shared" si="1746"/>
        <v>7.706424942</v>
      </c>
      <c r="O590" s="1">
        <f t="shared" ref="O590:Q590" si="1747">(L590-L$7)/(L$6-L$7)</f>
        <v>0.00206622008</v>
      </c>
      <c r="P590" s="1">
        <f t="shared" si="1747"/>
        <v>0.0006679091667</v>
      </c>
      <c r="Q590" s="1">
        <f t="shared" si="1747"/>
        <v>0.0003345273907</v>
      </c>
      <c r="R590" s="1">
        <f t="shared" ref="R590:T590" si="1748">1/(1+EXP(-O590))</f>
        <v>0.5005165548</v>
      </c>
      <c r="S590" s="1">
        <f t="shared" si="1748"/>
        <v>0.5001669773</v>
      </c>
      <c r="T590" s="1">
        <f t="shared" si="1748"/>
        <v>0.5000836318</v>
      </c>
      <c r="U590" s="1">
        <f t="shared" si="11"/>
        <v>2.475633899</v>
      </c>
      <c r="V590" s="1">
        <f t="shared" si="12"/>
        <v>0.226227606</v>
      </c>
      <c r="W590" s="1">
        <f t="shared" si="13"/>
        <v>2</v>
      </c>
      <c r="X590" s="1">
        <f t="shared" si="14"/>
        <v>0</v>
      </c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</row>
    <row r="591" ht="15.75" customHeight="1">
      <c r="A591" s="1"/>
      <c r="B591" s="7">
        <v>1.0</v>
      </c>
      <c r="C591" s="7">
        <v>1.0</v>
      </c>
      <c r="D591" s="7">
        <v>1.0</v>
      </c>
      <c r="E591" s="7">
        <v>1.0</v>
      </c>
      <c r="F591" s="7">
        <v>2.0</v>
      </c>
      <c r="G591" s="8">
        <v>1.0</v>
      </c>
      <c r="H591" s="7">
        <v>2.0</v>
      </c>
      <c r="I591" s="7">
        <v>1.0</v>
      </c>
      <c r="J591" s="7">
        <v>1.0</v>
      </c>
      <c r="K591" s="7">
        <v>2.0</v>
      </c>
      <c r="L591" s="1">
        <f t="shared" ref="L591:N591" si="1749">SUMPRODUCT($B591:$J591, INDEX($B$2:$J$4, L$10, 0)) + INDEX($K$2:$K$4, L$10,1)</f>
        <v>7.953432454</v>
      </c>
      <c r="M591" s="1">
        <f t="shared" si="1749"/>
        <v>7.529531272</v>
      </c>
      <c r="N591" s="1">
        <f t="shared" si="1749"/>
        <v>7.686646929</v>
      </c>
      <c r="O591" s="1">
        <f t="shared" ref="O591:Q591" si="1750">(L591-L$7)/(L$6-L$7)</f>
        <v>0.001546982238</v>
      </c>
      <c r="P591" s="1">
        <f t="shared" si="1750"/>
        <v>0.000000006234892308</v>
      </c>
      <c r="Q591" s="1">
        <f t="shared" si="1750"/>
        <v>0.00000006813089816</v>
      </c>
      <c r="R591" s="1">
        <f t="shared" ref="R591:T591" si="1751">1/(1+EXP(-O591))</f>
        <v>0.5003867455</v>
      </c>
      <c r="S591" s="1">
        <f t="shared" si="1751"/>
        <v>0.5000000016</v>
      </c>
      <c r="T591" s="1">
        <f t="shared" si="1751"/>
        <v>0.500000017</v>
      </c>
      <c r="U591" s="1">
        <f t="shared" si="11"/>
        <v>2.475009467</v>
      </c>
      <c r="V591" s="1">
        <f t="shared" si="12"/>
        <v>0.2256339933</v>
      </c>
      <c r="W591" s="1">
        <f t="shared" si="13"/>
        <v>2</v>
      </c>
      <c r="X591" s="1">
        <f t="shared" si="14"/>
        <v>0</v>
      </c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</row>
    <row r="592" ht="15.75" customHeight="1">
      <c r="A592" s="1"/>
      <c r="B592" s="7">
        <v>3.0</v>
      </c>
      <c r="C592" s="7">
        <v>1.0</v>
      </c>
      <c r="D592" s="7">
        <v>1.0</v>
      </c>
      <c r="E592" s="7">
        <v>1.0</v>
      </c>
      <c r="F592" s="7">
        <v>2.0</v>
      </c>
      <c r="G592" s="8">
        <v>1.0</v>
      </c>
      <c r="H592" s="7">
        <v>2.0</v>
      </c>
      <c r="I592" s="7">
        <v>3.0</v>
      </c>
      <c r="J592" s="7">
        <v>1.0</v>
      </c>
      <c r="K592" s="7">
        <v>2.0</v>
      </c>
      <c r="L592" s="1">
        <f t="shared" ref="L592:N592" si="1752">SUMPRODUCT($B592:$J592, INDEX($B$2:$J$4, L$10, 0)) + INDEX($K$2:$K$4, L$10,1)</f>
        <v>8.554424109</v>
      </c>
      <c r="M592" s="1">
        <f t="shared" si="1752"/>
        <v>8.154119367</v>
      </c>
      <c r="N592" s="1">
        <f t="shared" si="1752"/>
        <v>8.307234156</v>
      </c>
      <c r="O592" s="1">
        <f t="shared" ref="O592:Q592" si="1753">(L592-L$7)/(L$6-L$7)</f>
        <v>0.01137459837</v>
      </c>
      <c r="P592" s="1">
        <f t="shared" si="1753"/>
        <v>0.01069542703</v>
      </c>
      <c r="Q592" s="1">
        <f t="shared" si="1753"/>
        <v>0.01049460816</v>
      </c>
      <c r="R592" s="1">
        <f t="shared" ref="R592:T592" si="1754">1/(1+EXP(-O592))</f>
        <v>0.5028436189</v>
      </c>
      <c r="S592" s="1">
        <f t="shared" si="1754"/>
        <v>0.5026738313</v>
      </c>
      <c r="T592" s="1">
        <f t="shared" si="1754"/>
        <v>0.502623628</v>
      </c>
      <c r="U592" s="1">
        <f t="shared" si="11"/>
        <v>2.487812105</v>
      </c>
      <c r="V592" s="1">
        <f t="shared" si="12"/>
        <v>0.2379606495</v>
      </c>
      <c r="W592" s="1">
        <f t="shared" si="13"/>
        <v>2</v>
      </c>
      <c r="X592" s="1">
        <f t="shared" si="14"/>
        <v>0</v>
      </c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</row>
    <row r="593" ht="15.75" customHeight="1">
      <c r="A593" s="1"/>
      <c r="B593" s="7">
        <v>5.0</v>
      </c>
      <c r="C593" s="7">
        <v>3.0</v>
      </c>
      <c r="D593" s="7">
        <v>3.0</v>
      </c>
      <c r="E593" s="7">
        <v>3.0</v>
      </c>
      <c r="F593" s="7">
        <v>6.0</v>
      </c>
      <c r="G593" s="8">
        <v>10.0</v>
      </c>
      <c r="H593" s="7">
        <v>3.0</v>
      </c>
      <c r="I593" s="7">
        <v>1.0</v>
      </c>
      <c r="J593" s="7">
        <v>1.0</v>
      </c>
      <c r="K593" s="7">
        <v>4.0</v>
      </c>
      <c r="L593" s="1">
        <f t="shared" ref="L593:N593" si="1755">SUMPRODUCT($B593:$J593, INDEX($B$2:$J$4, L$10, 0)) + INDEX($K$2:$K$4, L$10,1)</f>
        <v>43.86060067</v>
      </c>
      <c r="M593" s="1">
        <f t="shared" si="1755"/>
        <v>42.75259616</v>
      </c>
      <c r="N593" s="1">
        <f t="shared" si="1755"/>
        <v>43.59285</v>
      </c>
      <c r="O593" s="1">
        <f t="shared" ref="O593:Q593" si="1756">(L593-L$7)/(L$6-L$7)</f>
        <v>0.5887129814</v>
      </c>
      <c r="P593" s="1">
        <f t="shared" si="1756"/>
        <v>0.6031583173</v>
      </c>
      <c r="Q593" s="1">
        <f t="shared" si="1756"/>
        <v>0.6071976853</v>
      </c>
      <c r="R593" s="1">
        <f t="shared" ref="R593:T593" si="1757">1/(1+EXP(-O593))</f>
        <v>0.6430697894</v>
      </c>
      <c r="S593" s="1">
        <f t="shared" si="1757"/>
        <v>0.6463785466</v>
      </c>
      <c r="T593" s="1">
        <f t="shared" si="1757"/>
        <v>0.6473012915</v>
      </c>
      <c r="U593" s="1">
        <f t="shared" si="11"/>
        <v>3.195141032</v>
      </c>
      <c r="V593" s="1">
        <f t="shared" si="12"/>
        <v>0.6477979577</v>
      </c>
      <c r="W593" s="1">
        <f t="shared" si="13"/>
        <v>4</v>
      </c>
      <c r="X593" s="1">
        <f t="shared" si="14"/>
        <v>0</v>
      </c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</row>
    <row r="594" ht="15.75" customHeight="1">
      <c r="A594" s="1"/>
      <c r="B594" s="7">
        <v>1.0</v>
      </c>
      <c r="C594" s="7">
        <v>1.0</v>
      </c>
      <c r="D594" s="7">
        <v>1.0</v>
      </c>
      <c r="E594" s="7">
        <v>1.0</v>
      </c>
      <c r="F594" s="7">
        <v>2.0</v>
      </c>
      <c r="G594" s="8">
        <v>1.0</v>
      </c>
      <c r="H594" s="7">
        <v>1.0</v>
      </c>
      <c r="I594" s="7">
        <v>1.0</v>
      </c>
      <c r="J594" s="7">
        <v>1.0</v>
      </c>
      <c r="K594" s="7">
        <v>2.0</v>
      </c>
      <c r="L594" s="1">
        <f t="shared" ref="L594:N594" si="1758">SUMPRODUCT($B594:$J594, INDEX($B$2:$J$4, L$10, 0)) + INDEX($K$2:$K$4, L$10,1)</f>
        <v>7.921139731</v>
      </c>
      <c r="M594" s="1">
        <f t="shared" si="1758"/>
        <v>7.529531272</v>
      </c>
      <c r="N594" s="1">
        <f t="shared" si="1758"/>
        <v>7.6866429</v>
      </c>
      <c r="O594" s="1">
        <f t="shared" ref="O594:Q594" si="1759">(L594-L$7)/(L$6-L$7)</f>
        <v>0.001018920854</v>
      </c>
      <c r="P594" s="1">
        <f t="shared" si="1759"/>
        <v>0.000000006234892308</v>
      </c>
      <c r="Q594" s="1">
        <f t="shared" si="1759"/>
        <v>0</v>
      </c>
      <c r="R594" s="1">
        <f t="shared" ref="R594:T594" si="1760">1/(1+EXP(-O594))</f>
        <v>0.5002547302</v>
      </c>
      <c r="S594" s="1">
        <f t="shared" si="1760"/>
        <v>0.5000000016</v>
      </c>
      <c r="T594" s="1">
        <f t="shared" si="1760"/>
        <v>0.5</v>
      </c>
      <c r="U594" s="1">
        <f t="shared" si="11"/>
        <v>2.474800478</v>
      </c>
      <c r="V594" s="1">
        <f t="shared" si="12"/>
        <v>0.2254354935</v>
      </c>
      <c r="W594" s="1">
        <f t="shared" si="13"/>
        <v>2</v>
      </c>
      <c r="X594" s="1">
        <f t="shared" si="14"/>
        <v>0</v>
      </c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</row>
    <row r="595" ht="15.75" customHeight="1">
      <c r="A595" s="1"/>
      <c r="B595" s="7">
        <v>7.0</v>
      </c>
      <c r="C595" s="7">
        <v>4.0</v>
      </c>
      <c r="D595" s="7">
        <v>7.0</v>
      </c>
      <c r="E595" s="7">
        <v>4.0</v>
      </c>
      <c r="F595" s="7">
        <v>3.0</v>
      </c>
      <c r="G595" s="8">
        <v>7.0</v>
      </c>
      <c r="H595" s="7">
        <v>7.0</v>
      </c>
      <c r="I595" s="7">
        <v>6.0</v>
      </c>
      <c r="J595" s="7">
        <v>1.0</v>
      </c>
      <c r="K595" s="7">
        <v>4.0</v>
      </c>
      <c r="L595" s="1">
        <f t="shared" ref="L595:N595" si="1761">SUMPRODUCT($B595:$J595, INDEX($B$2:$J$4, L$10, 0)) + INDEX($K$2:$K$4, L$10,1)</f>
        <v>43.3368191</v>
      </c>
      <c r="M595" s="1">
        <f t="shared" si="1761"/>
        <v>41.22162535</v>
      </c>
      <c r="N595" s="1">
        <f t="shared" si="1761"/>
        <v>42.58087303</v>
      </c>
      <c r="O595" s="1">
        <f t="shared" ref="O595:Q595" si="1762">(L595-L$7)/(L$6-L$7)</f>
        <v>0.5801479303</v>
      </c>
      <c r="P595" s="1">
        <f t="shared" si="1762"/>
        <v>0.5769420363</v>
      </c>
      <c r="Q595" s="1">
        <f t="shared" si="1762"/>
        <v>0.5900844861</v>
      </c>
      <c r="R595" s="1">
        <f t="shared" ref="R595:T595" si="1763">1/(1+EXP(-O595))</f>
        <v>0.6411014444</v>
      </c>
      <c r="S595" s="1">
        <f t="shared" si="1763"/>
        <v>0.6403634658</v>
      </c>
      <c r="T595" s="1">
        <f t="shared" si="1763"/>
        <v>0.6433845305</v>
      </c>
      <c r="U595" s="1">
        <f t="shared" si="11"/>
        <v>3.175380213</v>
      </c>
      <c r="V595" s="1">
        <f t="shared" si="12"/>
        <v>0.6799977928</v>
      </c>
      <c r="W595" s="1">
        <f t="shared" si="13"/>
        <v>4</v>
      </c>
      <c r="X595" s="1">
        <f t="shared" si="14"/>
        <v>0</v>
      </c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</row>
    <row r="596" ht="15.75" customHeight="1">
      <c r="A596" s="1"/>
      <c r="B596" s="7">
        <v>6.0</v>
      </c>
      <c r="C596" s="7">
        <v>3.0</v>
      </c>
      <c r="D596" s="7">
        <v>3.0</v>
      </c>
      <c r="E596" s="7">
        <v>5.0</v>
      </c>
      <c r="F596" s="7">
        <v>3.0</v>
      </c>
      <c r="G596" s="8">
        <v>10.0</v>
      </c>
      <c r="H596" s="7">
        <v>3.0</v>
      </c>
      <c r="I596" s="7">
        <v>5.0</v>
      </c>
      <c r="J596" s="7">
        <v>3.0</v>
      </c>
      <c r="K596" s="7">
        <v>2.0</v>
      </c>
      <c r="L596" s="1">
        <f t="shared" ref="L596:N596" si="1764">SUMPRODUCT($B596:$J596, INDEX($B$2:$J$4, L$10, 0)) + INDEX($K$2:$K$4, L$10,1)</f>
        <v>44.8921542</v>
      </c>
      <c r="M596" s="1">
        <f t="shared" si="1764"/>
        <v>43.94326526</v>
      </c>
      <c r="N596" s="1">
        <f t="shared" si="1764"/>
        <v>44.80995396</v>
      </c>
      <c r="O596" s="1">
        <f t="shared" ref="O596:Q596" si="1765">(L596-L$7)/(L$6-L$7)</f>
        <v>0.605581289</v>
      </c>
      <c r="P596" s="1">
        <f t="shared" si="1765"/>
        <v>0.6235472858</v>
      </c>
      <c r="Q596" s="1">
        <f t="shared" si="1765"/>
        <v>0.6277797174</v>
      </c>
      <c r="R596" s="1">
        <f t="shared" ref="R596:T596" si="1766">1/(1+EXP(-O596))</f>
        <v>0.6469321767</v>
      </c>
      <c r="S596" s="1">
        <f t="shared" si="1766"/>
        <v>0.6510248928</v>
      </c>
      <c r="T596" s="1">
        <f t="shared" si="1766"/>
        <v>0.6519858496</v>
      </c>
      <c r="U596" s="1">
        <f t="shared" si="11"/>
        <v>3.21695954</v>
      </c>
      <c r="V596" s="1">
        <f t="shared" si="12"/>
        <v>1.480990523</v>
      </c>
      <c r="W596" s="1">
        <f t="shared" si="13"/>
        <v>4</v>
      </c>
      <c r="X596" s="1">
        <f t="shared" si="14"/>
        <v>1</v>
      </c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</row>
    <row r="597" ht="15.75" customHeight="1">
      <c r="A597" s="1"/>
      <c r="B597" s="7">
        <v>3.0</v>
      </c>
      <c r="C597" s="7">
        <v>1.0</v>
      </c>
      <c r="D597" s="7">
        <v>1.0</v>
      </c>
      <c r="E597" s="7">
        <v>1.0</v>
      </c>
      <c r="F597" s="7">
        <v>2.0</v>
      </c>
      <c r="G597" s="8">
        <v>5.0</v>
      </c>
      <c r="H597" s="7">
        <v>5.0</v>
      </c>
      <c r="I597" s="7">
        <v>1.0</v>
      </c>
      <c r="J597" s="7">
        <v>1.0</v>
      </c>
      <c r="K597" s="7">
        <v>2.0</v>
      </c>
      <c r="L597" s="1">
        <f t="shared" ref="L597:N597" si="1767">SUMPRODUCT($B597:$J597, INDEX($B$2:$J$4, L$10, 0)) + INDEX($K$2:$K$4, L$10,1)</f>
        <v>21.06542717</v>
      </c>
      <c r="M597" s="1">
        <f t="shared" si="1767"/>
        <v>20.59274961</v>
      </c>
      <c r="N597" s="1">
        <f t="shared" si="1767"/>
        <v>21.04717065</v>
      </c>
      <c r="O597" s="1">
        <f t="shared" ref="O597:Q597" si="1768">(L597-L$7)/(L$6-L$7)</f>
        <v>0.2159586962</v>
      </c>
      <c r="P597" s="1">
        <f t="shared" si="1768"/>
        <v>0.2236940185</v>
      </c>
      <c r="Q597" s="1">
        <f t="shared" si="1768"/>
        <v>0.2259353516</v>
      </c>
      <c r="R597" s="1">
        <f t="shared" ref="R597:T597" si="1769">1/(1+EXP(-O597))</f>
        <v>0.5537808165</v>
      </c>
      <c r="S597" s="1">
        <f t="shared" si="1769"/>
        <v>0.5556914692</v>
      </c>
      <c r="T597" s="1">
        <f t="shared" si="1769"/>
        <v>0.5562447816</v>
      </c>
      <c r="U597" s="1">
        <f t="shared" si="11"/>
        <v>2.747928266</v>
      </c>
      <c r="V597" s="1">
        <f t="shared" si="12"/>
        <v>0.5593966906</v>
      </c>
      <c r="W597" s="1">
        <f t="shared" si="13"/>
        <v>2</v>
      </c>
      <c r="X597" s="1">
        <f t="shared" si="14"/>
        <v>0</v>
      </c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</row>
    <row r="598" ht="15.75" customHeight="1">
      <c r="A598" s="1"/>
      <c r="B598" s="7">
        <v>8.0</v>
      </c>
      <c r="C598" s="7">
        <v>5.0</v>
      </c>
      <c r="D598" s="7">
        <v>6.0</v>
      </c>
      <c r="E598" s="7">
        <v>2.0</v>
      </c>
      <c r="F598" s="7">
        <v>3.0</v>
      </c>
      <c r="G598" s="8">
        <v>10.0</v>
      </c>
      <c r="H598" s="7">
        <v>6.0</v>
      </c>
      <c r="I598" s="7">
        <v>6.0</v>
      </c>
      <c r="J598" s="7">
        <v>1.0</v>
      </c>
      <c r="K598" s="7">
        <v>4.0</v>
      </c>
      <c r="L598" s="1">
        <f t="shared" ref="L598:N598" si="1770">SUMPRODUCT($B598:$J598, INDEX($B$2:$J$4, L$10, 0)) + INDEX($K$2:$K$4, L$10,1)</f>
        <v>53.04192729</v>
      </c>
      <c r="M598" s="1">
        <f t="shared" si="1770"/>
        <v>51.38694789</v>
      </c>
      <c r="N598" s="1">
        <f t="shared" si="1770"/>
        <v>52.48173635</v>
      </c>
      <c r="O598" s="1">
        <f t="shared" ref="O598:Q598" si="1771">(L598-L$7)/(L$6-L$7)</f>
        <v>0.7388490987</v>
      </c>
      <c r="P598" s="1">
        <f t="shared" si="1771"/>
        <v>0.7510126003</v>
      </c>
      <c r="Q598" s="1">
        <f t="shared" si="1771"/>
        <v>0.7575146264</v>
      </c>
      <c r="R598" s="1">
        <f t="shared" ref="R598:T598" si="1772">1/(1+EXP(-O598))</f>
        <v>0.6767441346</v>
      </c>
      <c r="S598" s="1">
        <f t="shared" si="1772"/>
        <v>0.6793992997</v>
      </c>
      <c r="T598" s="1">
        <f t="shared" si="1772"/>
        <v>0.6808138892</v>
      </c>
      <c r="U598" s="1">
        <f t="shared" si="11"/>
        <v>3.360432615</v>
      </c>
      <c r="V598" s="1">
        <f t="shared" si="12"/>
        <v>0.4090464404</v>
      </c>
      <c r="W598" s="1">
        <f t="shared" si="13"/>
        <v>4</v>
      </c>
      <c r="X598" s="1">
        <f t="shared" si="14"/>
        <v>0</v>
      </c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</row>
    <row r="599" ht="15.75" customHeight="1">
      <c r="A599" s="1"/>
      <c r="B599" s="7">
        <v>7.0</v>
      </c>
      <c r="C599" s="7">
        <v>8.0</v>
      </c>
      <c r="D599" s="7">
        <v>3.0</v>
      </c>
      <c r="E599" s="7">
        <v>7.0</v>
      </c>
      <c r="F599" s="7">
        <v>4.0</v>
      </c>
      <c r="G599" s="8">
        <v>5.0</v>
      </c>
      <c r="H599" s="7">
        <v>7.0</v>
      </c>
      <c r="I599" s="7">
        <v>8.0</v>
      </c>
      <c r="J599" s="7">
        <v>2.0</v>
      </c>
      <c r="K599" s="7">
        <v>4.0</v>
      </c>
      <c r="L599" s="1">
        <f t="shared" ref="L599:N599" si="1773">SUMPRODUCT($B599:$J599, INDEX($B$2:$J$4, L$10, 0)) + INDEX($K$2:$K$4, L$10,1)</f>
        <v>37.76541504</v>
      </c>
      <c r="M599" s="1">
        <f t="shared" si="1773"/>
        <v>36.80574177</v>
      </c>
      <c r="N599" s="1">
        <f t="shared" si="1773"/>
        <v>36.08380885</v>
      </c>
      <c r="O599" s="1">
        <f t="shared" ref="O599:Q599" si="1774">(L599-L$7)/(L$6-L$7)</f>
        <v>0.4890424715</v>
      </c>
      <c r="P599" s="1">
        <f t="shared" si="1774"/>
        <v>0.5013246278</v>
      </c>
      <c r="Q599" s="1">
        <f t="shared" si="1774"/>
        <v>0.4802148382</v>
      </c>
      <c r="R599" s="1">
        <f t="shared" ref="R599:T599" si="1775">1/(1+EXP(-O599))</f>
        <v>0.6198808372</v>
      </c>
      <c r="S599" s="1">
        <f t="shared" si="1775"/>
        <v>0.6227705731</v>
      </c>
      <c r="T599" s="1">
        <f t="shared" si="1775"/>
        <v>0.6177986044</v>
      </c>
      <c r="U599" s="1">
        <f t="shared" si="11"/>
        <v>3.068856517</v>
      </c>
      <c r="V599" s="1">
        <f t="shared" si="12"/>
        <v>0.8670281855</v>
      </c>
      <c r="W599" s="1">
        <f t="shared" si="13"/>
        <v>4</v>
      </c>
      <c r="X599" s="1">
        <f t="shared" si="14"/>
        <v>0</v>
      </c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</row>
    <row r="600" ht="15.75" customHeight="1">
      <c r="A600" s="1"/>
      <c r="B600" s="7">
        <v>5.0</v>
      </c>
      <c r="C600" s="7">
        <v>4.0</v>
      </c>
      <c r="D600" s="7">
        <v>6.0</v>
      </c>
      <c r="E600" s="7">
        <v>8.0</v>
      </c>
      <c r="F600" s="7">
        <v>4.0</v>
      </c>
      <c r="G600" s="8">
        <v>1.0</v>
      </c>
      <c r="H600" s="7">
        <v>8.0</v>
      </c>
      <c r="I600" s="7">
        <v>10.0</v>
      </c>
      <c r="J600" s="7">
        <v>1.0</v>
      </c>
      <c r="K600" s="7">
        <v>4.0</v>
      </c>
      <c r="L600" s="1">
        <f t="shared" ref="L600:N600" si="1776">SUMPRODUCT($B600:$J600, INDEX($B$2:$J$4, L$10, 0)) + INDEX($K$2:$K$4, L$10,1)</f>
        <v>23.64407274</v>
      </c>
      <c r="M600" s="1">
        <f t="shared" si="1776"/>
        <v>21.546155</v>
      </c>
      <c r="N600" s="1">
        <f t="shared" si="1776"/>
        <v>22.24722346</v>
      </c>
      <c r="O600" s="1">
        <f t="shared" ref="O600:Q600" si="1777">(L600-L$7)/(L$6-L$7)</f>
        <v>0.2581255692</v>
      </c>
      <c r="P600" s="1">
        <f t="shared" si="1777"/>
        <v>0.240020093</v>
      </c>
      <c r="Q600" s="1">
        <f t="shared" si="1777"/>
        <v>0.2462290375</v>
      </c>
      <c r="R600" s="1">
        <f t="shared" ref="R600:T600" si="1778">1/(1+EXP(-O600))</f>
        <v>0.5641754595</v>
      </c>
      <c r="S600" s="1">
        <f t="shared" si="1778"/>
        <v>0.5597186009</v>
      </c>
      <c r="T600" s="1">
        <f t="shared" si="1778"/>
        <v>0.5612481219</v>
      </c>
      <c r="U600" s="1">
        <f t="shared" si="11"/>
        <v>2.779611908</v>
      </c>
      <c r="V600" s="1">
        <f t="shared" si="12"/>
        <v>1.489347095</v>
      </c>
      <c r="W600" s="1">
        <f t="shared" si="13"/>
        <v>2</v>
      </c>
      <c r="X600" s="1">
        <f t="shared" si="14"/>
        <v>1</v>
      </c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</row>
    <row r="601" ht="15.75" customHeight="1">
      <c r="A601" s="1"/>
      <c r="B601" s="7">
        <v>3.0</v>
      </c>
      <c r="C601" s="7">
        <v>1.0</v>
      </c>
      <c r="D601" s="7">
        <v>1.0</v>
      </c>
      <c r="E601" s="7">
        <v>2.0</v>
      </c>
      <c r="F601" s="7">
        <v>3.0</v>
      </c>
      <c r="G601" s="8">
        <v>4.0</v>
      </c>
      <c r="H601" s="7">
        <v>1.0</v>
      </c>
      <c r="I601" s="7">
        <v>1.0</v>
      </c>
      <c r="J601" s="7">
        <v>1.0</v>
      </c>
      <c r="K601" s="7">
        <v>2.0</v>
      </c>
      <c r="L601" s="1">
        <f t="shared" ref="L601:N601" si="1779">SUMPRODUCT($B601:$J601, INDEX($B$2:$J$4, L$10, 0)) + INDEX($K$2:$K$4, L$10,1)</f>
        <v>17.78479145</v>
      </c>
      <c r="M601" s="1">
        <f t="shared" si="1779"/>
        <v>17.33669639</v>
      </c>
      <c r="N601" s="1">
        <f t="shared" si="1779"/>
        <v>17.71476939</v>
      </c>
      <c r="O601" s="1">
        <f t="shared" ref="O601:Q601" si="1780">(L601-L$7)/(L$6-L$7)</f>
        <v>0.1623126459</v>
      </c>
      <c r="P601" s="1">
        <f t="shared" si="1780"/>
        <v>0.1679374974</v>
      </c>
      <c r="Q601" s="1">
        <f t="shared" si="1780"/>
        <v>0.1695822446</v>
      </c>
      <c r="R601" s="1">
        <f t="shared" ref="R601:T601" si="1781">1/(1+EXP(-O601))</f>
        <v>0.5404893082</v>
      </c>
      <c r="S601" s="1">
        <f t="shared" si="1781"/>
        <v>0.5418859781</v>
      </c>
      <c r="T601" s="1">
        <f t="shared" si="1781"/>
        <v>0.542294251</v>
      </c>
      <c r="U601" s="1">
        <f t="shared" si="11"/>
        <v>2.680172359</v>
      </c>
      <c r="V601" s="1">
        <f t="shared" si="12"/>
        <v>0.4626344381</v>
      </c>
      <c r="W601" s="1">
        <f t="shared" si="13"/>
        <v>2</v>
      </c>
      <c r="X601" s="1">
        <f t="shared" si="14"/>
        <v>0</v>
      </c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</row>
    <row r="602" ht="15.75" customHeight="1">
      <c r="A602" s="1"/>
      <c r="B602" s="7">
        <v>1.0</v>
      </c>
      <c r="C602" s="7">
        <v>1.0</v>
      </c>
      <c r="D602" s="7">
        <v>1.0</v>
      </c>
      <c r="E602" s="7">
        <v>1.0</v>
      </c>
      <c r="F602" s="7">
        <v>2.0</v>
      </c>
      <c r="G602" s="8">
        <v>1.0</v>
      </c>
      <c r="H602" s="7">
        <v>2.0</v>
      </c>
      <c r="I602" s="7">
        <v>1.0</v>
      </c>
      <c r="J602" s="7">
        <v>1.0</v>
      </c>
      <c r="K602" s="7">
        <v>2.0</v>
      </c>
      <c r="L602" s="1">
        <f t="shared" ref="L602:N602" si="1782">SUMPRODUCT($B602:$J602, INDEX($B$2:$J$4, L$10, 0)) + INDEX($K$2:$K$4, L$10,1)</f>
        <v>7.953432454</v>
      </c>
      <c r="M602" s="1">
        <f t="shared" si="1782"/>
        <v>7.529531272</v>
      </c>
      <c r="N602" s="1">
        <f t="shared" si="1782"/>
        <v>7.686646929</v>
      </c>
      <c r="O602" s="1">
        <f t="shared" ref="O602:Q602" si="1783">(L602-L$7)/(L$6-L$7)</f>
        <v>0.001546982238</v>
      </c>
      <c r="P602" s="1">
        <f t="shared" si="1783"/>
        <v>0.000000006234892308</v>
      </c>
      <c r="Q602" s="1">
        <f t="shared" si="1783"/>
        <v>0.00000006813089816</v>
      </c>
      <c r="R602" s="1">
        <f t="shared" ref="R602:T602" si="1784">1/(1+EXP(-O602))</f>
        <v>0.5003867455</v>
      </c>
      <c r="S602" s="1">
        <f t="shared" si="1784"/>
        <v>0.5000000016</v>
      </c>
      <c r="T602" s="1">
        <f t="shared" si="1784"/>
        <v>0.500000017</v>
      </c>
      <c r="U602" s="1">
        <f t="shared" si="11"/>
        <v>2.475009467</v>
      </c>
      <c r="V602" s="1">
        <f t="shared" si="12"/>
        <v>0.2256339933</v>
      </c>
      <c r="W602" s="1">
        <f t="shared" si="13"/>
        <v>2</v>
      </c>
      <c r="X602" s="1">
        <f t="shared" si="14"/>
        <v>0</v>
      </c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</row>
    <row r="603" ht="15.75" customHeight="1">
      <c r="A603" s="1"/>
      <c r="B603" s="7">
        <v>5.0</v>
      </c>
      <c r="C603" s="7">
        <v>3.0</v>
      </c>
      <c r="D603" s="7">
        <v>1.0</v>
      </c>
      <c r="E603" s="7">
        <v>2.0</v>
      </c>
      <c r="F603" s="7">
        <v>2.0</v>
      </c>
      <c r="G603" s="8">
        <v>1.0</v>
      </c>
      <c r="H603" s="7">
        <v>2.0</v>
      </c>
      <c r="I603" s="7">
        <v>1.0</v>
      </c>
      <c r="J603" s="7">
        <v>1.0</v>
      </c>
      <c r="K603" s="7">
        <v>2.0</v>
      </c>
      <c r="L603" s="1">
        <f t="shared" ref="L603:N603" si="1785">SUMPRODUCT($B603:$J603, INDEX($B$2:$J$4, L$10, 0)) + INDEX($K$2:$K$4, L$10,1)</f>
        <v>11.23985162</v>
      </c>
      <c r="M603" s="1">
        <f t="shared" si="1785"/>
        <v>10.90548565</v>
      </c>
      <c r="N603" s="1">
        <f t="shared" si="1785"/>
        <v>10.5422238</v>
      </c>
      <c r="O603" s="1">
        <f t="shared" ref="O603:Q603" si="1786">(L603-L$7)/(L$6-L$7)</f>
        <v>0.05528760529</v>
      </c>
      <c r="P603" s="1">
        <f t="shared" si="1786"/>
        <v>0.05780970976</v>
      </c>
      <c r="Q603" s="1">
        <f t="shared" si="1786"/>
        <v>0.04828975963</v>
      </c>
      <c r="R603" s="1">
        <f t="shared" ref="R603:T603" si="1787">1/(1+EXP(-O603))</f>
        <v>0.5138183816</v>
      </c>
      <c r="S603" s="1">
        <f t="shared" si="1787"/>
        <v>0.5144484038</v>
      </c>
      <c r="T603" s="1">
        <f t="shared" si="1787"/>
        <v>0.5120700945</v>
      </c>
      <c r="U603" s="1">
        <f t="shared" si="11"/>
        <v>2.540820478</v>
      </c>
      <c r="V603" s="1">
        <f t="shared" si="12"/>
        <v>0.2924867898</v>
      </c>
      <c r="W603" s="1">
        <f t="shared" si="13"/>
        <v>2</v>
      </c>
      <c r="X603" s="1">
        <f t="shared" si="14"/>
        <v>0</v>
      </c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</row>
    <row r="604" ht="15.75" customHeight="1">
      <c r="A604" s="1"/>
      <c r="B604" s="7">
        <v>10.0</v>
      </c>
      <c r="C604" s="7">
        <v>10.0</v>
      </c>
      <c r="D604" s="7">
        <v>10.0</v>
      </c>
      <c r="E604" s="7">
        <v>10.0</v>
      </c>
      <c r="F604" s="7">
        <v>10.0</v>
      </c>
      <c r="G604" s="8">
        <v>1.0</v>
      </c>
      <c r="H604" s="7">
        <v>8.0</v>
      </c>
      <c r="I604" s="7">
        <v>8.0</v>
      </c>
      <c r="J604" s="7">
        <v>8.0</v>
      </c>
      <c r="K604" s="7">
        <v>4.0</v>
      </c>
      <c r="L604" s="1">
        <f t="shared" ref="L604:N604" si="1788">SUMPRODUCT($B604:$J604, INDEX($B$2:$J$4, L$10, 0)) + INDEX($K$2:$K$4, L$10,1)</f>
        <v>39.35391538</v>
      </c>
      <c r="M604" s="1">
        <f t="shared" si="1788"/>
        <v>36.03717582</v>
      </c>
      <c r="N604" s="1">
        <f t="shared" si="1788"/>
        <v>36.20347007</v>
      </c>
      <c r="O604" s="1">
        <f t="shared" ref="O604:Q604" si="1789">(L604-L$7)/(L$6-L$7)</f>
        <v>0.5150181594</v>
      </c>
      <c r="P604" s="1">
        <f t="shared" si="1789"/>
        <v>0.4881637362</v>
      </c>
      <c r="Q604" s="1">
        <f t="shared" si="1789"/>
        <v>0.4822383885</v>
      </c>
      <c r="R604" s="1">
        <f t="shared" ref="R604:T604" si="1790">1/(1+EXP(-O604))</f>
        <v>0.6259821094</v>
      </c>
      <c r="S604" s="1">
        <f t="shared" si="1790"/>
        <v>0.6196737602</v>
      </c>
      <c r="T604" s="1">
        <f t="shared" si="1790"/>
        <v>0.6182762981</v>
      </c>
      <c r="U604" s="1">
        <f t="shared" si="11"/>
        <v>3.074224888</v>
      </c>
      <c r="V604" s="1">
        <f t="shared" si="12"/>
        <v>0.8570595574</v>
      </c>
      <c r="W604" s="1">
        <f t="shared" si="13"/>
        <v>4</v>
      </c>
      <c r="X604" s="1">
        <f t="shared" si="14"/>
        <v>0</v>
      </c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</row>
    <row r="605" ht="15.75" customHeight="1">
      <c r="A605" s="1"/>
      <c r="B605" s="7">
        <v>5.0</v>
      </c>
      <c r="C605" s="7">
        <v>8.0</v>
      </c>
      <c r="D605" s="7">
        <v>4.0</v>
      </c>
      <c r="E605" s="7">
        <v>10.0</v>
      </c>
      <c r="F605" s="7">
        <v>5.0</v>
      </c>
      <c r="G605" s="8">
        <v>8.0</v>
      </c>
      <c r="H605" s="7">
        <v>9.0</v>
      </c>
      <c r="I605" s="7">
        <v>10.0</v>
      </c>
      <c r="J605" s="7">
        <v>1.0</v>
      </c>
      <c r="K605" s="7">
        <v>4.0</v>
      </c>
      <c r="L605" s="1">
        <f t="shared" ref="L605:N605" si="1791">SUMPRODUCT($B605:$J605, INDEX($B$2:$J$4, L$10, 0)) + INDEX($K$2:$K$4, L$10,1)</f>
        <v>49.81080632</v>
      </c>
      <c r="M605" s="1">
        <f t="shared" si="1791"/>
        <v>48.39179638</v>
      </c>
      <c r="N605" s="1">
        <f t="shared" si="1791"/>
        <v>48.19437975</v>
      </c>
      <c r="O605" s="1">
        <f t="shared" ref="O605:Q605" si="1792">(L605-L$7)/(L$6-L$7)</f>
        <v>0.6860127301</v>
      </c>
      <c r="P605" s="1">
        <f t="shared" si="1792"/>
        <v>0.6997237492</v>
      </c>
      <c r="Q605" s="1">
        <f t="shared" si="1792"/>
        <v>0.6850125936</v>
      </c>
      <c r="R605" s="1">
        <f t="shared" ref="R605:T605" si="1793">1/(1+EXP(-O605))</f>
        <v>0.6650793525</v>
      </c>
      <c r="S605" s="1">
        <f t="shared" si="1793"/>
        <v>0.668126521</v>
      </c>
      <c r="T605" s="1">
        <f t="shared" si="1793"/>
        <v>0.6648565365</v>
      </c>
      <c r="U605" s="1">
        <f t="shared" si="11"/>
        <v>3.295985609</v>
      </c>
      <c r="V605" s="1">
        <f t="shared" si="12"/>
        <v>0.4956362625</v>
      </c>
      <c r="W605" s="1">
        <f t="shared" si="13"/>
        <v>4</v>
      </c>
      <c r="X605" s="1">
        <f t="shared" si="14"/>
        <v>0</v>
      </c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</row>
    <row r="606" ht="15.75" customHeight="1">
      <c r="A606" s="1"/>
      <c r="B606" s="7">
        <v>4.0</v>
      </c>
      <c r="C606" s="7">
        <v>1.0</v>
      </c>
      <c r="D606" s="7">
        <v>1.0</v>
      </c>
      <c r="E606" s="7">
        <v>1.0</v>
      </c>
      <c r="F606" s="7">
        <v>2.0</v>
      </c>
      <c r="G606" s="8">
        <v>1.0</v>
      </c>
      <c r="H606" s="7">
        <v>3.0</v>
      </c>
      <c r="I606" s="7">
        <v>1.0</v>
      </c>
      <c r="J606" s="7">
        <v>1.0</v>
      </c>
      <c r="K606" s="7">
        <v>2.0</v>
      </c>
      <c r="L606" s="1">
        <f t="shared" ref="L606:N606" si="1794">SUMPRODUCT($B606:$J606, INDEX($B$2:$J$4, L$10, 0)) + INDEX($K$2:$K$4, L$10,1)</f>
        <v>8.033354877</v>
      </c>
      <c r="M606" s="1">
        <f t="shared" si="1794"/>
        <v>7.588037275</v>
      </c>
      <c r="N606" s="1">
        <f t="shared" si="1794"/>
        <v>7.716317977</v>
      </c>
      <c r="O606" s="1">
        <f t="shared" ref="O606:Q606" si="1795">(L606-L$7)/(L$6-L$7)</f>
        <v>0.002853900385</v>
      </c>
      <c r="P606" s="1">
        <f t="shared" si="1795"/>
        <v>0.001001860633</v>
      </c>
      <c r="Q606" s="1">
        <f t="shared" si="1795"/>
        <v>0.0005018251515</v>
      </c>
      <c r="R606" s="1">
        <f t="shared" ref="R606:T606" si="1796">1/(1+EXP(-O606))</f>
        <v>0.5007134746</v>
      </c>
      <c r="S606" s="1">
        <f t="shared" si="1796"/>
        <v>0.5002504651</v>
      </c>
      <c r="T606" s="1">
        <f t="shared" si="1796"/>
        <v>0.5001254563</v>
      </c>
      <c r="U606" s="1">
        <f t="shared" si="11"/>
        <v>2.476155104</v>
      </c>
      <c r="V606" s="1">
        <f t="shared" si="12"/>
        <v>0.2267236831</v>
      </c>
      <c r="W606" s="1">
        <f t="shared" si="13"/>
        <v>2</v>
      </c>
      <c r="X606" s="1">
        <f t="shared" si="14"/>
        <v>0</v>
      </c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</row>
    <row r="607" ht="15.75" customHeight="1">
      <c r="A607" s="1"/>
      <c r="B607" s="7">
        <v>1.0</v>
      </c>
      <c r="C607" s="7">
        <v>1.0</v>
      </c>
      <c r="D607" s="7">
        <v>1.0</v>
      </c>
      <c r="E607" s="7">
        <v>1.0</v>
      </c>
      <c r="F607" s="7">
        <v>2.0</v>
      </c>
      <c r="G607" s="8">
        <v>1.0</v>
      </c>
      <c r="H607" s="7">
        <v>2.0</v>
      </c>
      <c r="I607" s="7">
        <v>1.0</v>
      </c>
      <c r="J607" s="7">
        <v>1.0</v>
      </c>
      <c r="K607" s="7">
        <v>2.0</v>
      </c>
      <c r="L607" s="1">
        <f t="shared" ref="L607:N607" si="1797">SUMPRODUCT($B607:$J607, INDEX($B$2:$J$4, L$10, 0)) + INDEX($K$2:$K$4, L$10,1)</f>
        <v>7.953432454</v>
      </c>
      <c r="M607" s="1">
        <f t="shared" si="1797"/>
        <v>7.529531272</v>
      </c>
      <c r="N607" s="1">
        <f t="shared" si="1797"/>
        <v>7.686646929</v>
      </c>
      <c r="O607" s="1">
        <f t="shared" ref="O607:Q607" si="1798">(L607-L$7)/(L$6-L$7)</f>
        <v>0.001546982238</v>
      </c>
      <c r="P607" s="1">
        <f t="shared" si="1798"/>
        <v>0.000000006234892308</v>
      </c>
      <c r="Q607" s="1">
        <f t="shared" si="1798"/>
        <v>0.00000006813089816</v>
      </c>
      <c r="R607" s="1">
        <f t="shared" ref="R607:T607" si="1799">1/(1+EXP(-O607))</f>
        <v>0.5003867455</v>
      </c>
      <c r="S607" s="1">
        <f t="shared" si="1799"/>
        <v>0.5000000016</v>
      </c>
      <c r="T607" s="1">
        <f t="shared" si="1799"/>
        <v>0.500000017</v>
      </c>
      <c r="U607" s="1">
        <f t="shared" si="11"/>
        <v>2.475009467</v>
      </c>
      <c r="V607" s="1">
        <f t="shared" si="12"/>
        <v>0.2256339933</v>
      </c>
      <c r="W607" s="1">
        <f t="shared" si="13"/>
        <v>2</v>
      </c>
      <c r="X607" s="1">
        <f t="shared" si="14"/>
        <v>0</v>
      </c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</row>
    <row r="608" ht="15.75" customHeight="1">
      <c r="A608" s="1"/>
      <c r="B608" s="7">
        <v>3.0</v>
      </c>
      <c r="C608" s="7">
        <v>3.0</v>
      </c>
      <c r="D608" s="7">
        <v>2.0</v>
      </c>
      <c r="E608" s="7">
        <v>1.0</v>
      </c>
      <c r="F608" s="7">
        <v>3.0</v>
      </c>
      <c r="G608" s="8">
        <v>1.0</v>
      </c>
      <c r="H608" s="7">
        <v>3.0</v>
      </c>
      <c r="I608" s="7">
        <v>6.0</v>
      </c>
      <c r="J608" s="7">
        <v>1.0</v>
      </c>
      <c r="K608" s="7">
        <v>2.0</v>
      </c>
      <c r="L608" s="1">
        <f t="shared" ref="L608:N608" si="1800">SUMPRODUCT($B608:$J608, INDEX($B$2:$J$4, L$10, 0)) + INDEX($K$2:$K$4, L$10,1)</f>
        <v>14.24102301</v>
      </c>
      <c r="M608" s="1">
        <f t="shared" si="1800"/>
        <v>13.60175564</v>
      </c>
      <c r="N608" s="1">
        <f t="shared" si="1800"/>
        <v>13.53726122</v>
      </c>
      <c r="O608" s="1">
        <f t="shared" ref="O608:Q608" si="1801">(L608-L$7)/(L$6-L$7)</f>
        <v>0.1043637616</v>
      </c>
      <c r="P608" s="1">
        <f t="shared" si="1801"/>
        <v>0.103980526</v>
      </c>
      <c r="Q608" s="1">
        <f t="shared" si="1801"/>
        <v>0.09893782124</v>
      </c>
      <c r="R608" s="1">
        <f t="shared" ref="R608:T608" si="1802">1/(1+EXP(-O608))</f>
        <v>0.5260672847</v>
      </c>
      <c r="S608" s="1">
        <f t="shared" si="1802"/>
        <v>0.5259717353</v>
      </c>
      <c r="T608" s="1">
        <f t="shared" si="1802"/>
        <v>0.5247142985</v>
      </c>
      <c r="U608" s="1">
        <f t="shared" si="11"/>
        <v>2.600919234</v>
      </c>
      <c r="V608" s="1">
        <f t="shared" si="12"/>
        <v>0.3611039256</v>
      </c>
      <c r="W608" s="1">
        <f t="shared" si="13"/>
        <v>2</v>
      </c>
      <c r="X608" s="1">
        <f t="shared" si="14"/>
        <v>0</v>
      </c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</row>
    <row r="609" ht="15.75" customHeight="1">
      <c r="A609" s="1"/>
      <c r="B609" s="7">
        <v>3.0</v>
      </c>
      <c r="C609" s="7">
        <v>1.0</v>
      </c>
      <c r="D609" s="7">
        <v>1.0</v>
      </c>
      <c r="E609" s="7">
        <v>1.0</v>
      </c>
      <c r="F609" s="7">
        <v>2.0</v>
      </c>
      <c r="G609" s="8">
        <v>1.0</v>
      </c>
      <c r="H609" s="7">
        <v>3.0</v>
      </c>
      <c r="I609" s="7">
        <v>2.0</v>
      </c>
      <c r="J609" s="7">
        <v>1.0</v>
      </c>
      <c r="K609" s="7">
        <v>2.0</v>
      </c>
      <c r="L609" s="1">
        <f t="shared" ref="L609:N609" si="1803">SUMPRODUCT($B609:$J609, INDEX($B$2:$J$4, L$10, 0)) + INDEX($K$2:$K$4, L$10,1)</f>
        <v>8.302097571</v>
      </c>
      <c r="M609" s="1">
        <f t="shared" si="1803"/>
        <v>7.86132732</v>
      </c>
      <c r="N609" s="1">
        <f t="shared" si="1803"/>
        <v>8.006833578</v>
      </c>
      <c r="O609" s="1">
        <f t="shared" ref="O609:Q609" si="1804">(L609-L$7)/(L$6-L$7)</f>
        <v>0.007248470611</v>
      </c>
      <c r="P609" s="1">
        <f t="shared" si="1804"/>
        <v>0.005681668097</v>
      </c>
      <c r="Q609" s="1">
        <f t="shared" si="1804"/>
        <v>0.005414635907</v>
      </c>
      <c r="R609" s="1">
        <f t="shared" ref="R609:T609" si="1805">1/(1+EXP(-O609))</f>
        <v>0.5018121097</v>
      </c>
      <c r="S609" s="1">
        <f t="shared" si="1805"/>
        <v>0.5014204132</v>
      </c>
      <c r="T609" s="1">
        <f t="shared" si="1805"/>
        <v>0.5013536557</v>
      </c>
      <c r="U609" s="1">
        <f t="shared" si="11"/>
        <v>2.481932033</v>
      </c>
      <c r="V609" s="1">
        <f t="shared" si="12"/>
        <v>0.232258484</v>
      </c>
      <c r="W609" s="1">
        <f t="shared" si="13"/>
        <v>2</v>
      </c>
      <c r="X609" s="1">
        <f t="shared" si="14"/>
        <v>0</v>
      </c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</row>
    <row r="610" ht="15.75" customHeight="1">
      <c r="A610" s="1"/>
      <c r="B610" s="7">
        <v>2.0</v>
      </c>
      <c r="C610" s="7">
        <v>1.0</v>
      </c>
      <c r="D610" s="7">
        <v>1.0</v>
      </c>
      <c r="E610" s="7">
        <v>2.0</v>
      </c>
      <c r="F610" s="7">
        <v>2.0</v>
      </c>
      <c r="G610" s="8">
        <v>1.0</v>
      </c>
      <c r="H610" s="7">
        <v>3.0</v>
      </c>
      <c r="I610" s="7">
        <v>1.0</v>
      </c>
      <c r="J610" s="7">
        <v>1.0</v>
      </c>
      <c r="K610" s="7">
        <v>2.0</v>
      </c>
      <c r="L610" s="1">
        <f t="shared" ref="L610:N610" si="1806">SUMPRODUCT($B610:$J610, INDEX($B$2:$J$4, L$10, 0)) + INDEX($K$2:$K$4, L$10,1)</f>
        <v>8.03366734</v>
      </c>
      <c r="M610" s="1">
        <f t="shared" si="1806"/>
        <v>7.549033273</v>
      </c>
      <c r="N610" s="1">
        <f t="shared" si="1806"/>
        <v>7.699338227</v>
      </c>
      <c r="O610" s="1">
        <f t="shared" ref="O610:Q610" si="1807">(L610-L$7)/(L$6-L$7)</f>
        <v>0.002859009877</v>
      </c>
      <c r="P610" s="1">
        <f t="shared" si="1807"/>
        <v>0.0003339577008</v>
      </c>
      <c r="Q610" s="1">
        <f t="shared" si="1807"/>
        <v>0.0002146863714</v>
      </c>
      <c r="R610" s="1">
        <f t="shared" ref="R610:T610" si="1808">1/(1+EXP(-O610))</f>
        <v>0.500714752</v>
      </c>
      <c r="S610" s="1">
        <f t="shared" si="1808"/>
        <v>0.5000834894</v>
      </c>
      <c r="T610" s="1">
        <f t="shared" si="1808"/>
        <v>0.5000536716</v>
      </c>
      <c r="U610" s="1">
        <f t="shared" si="11"/>
        <v>2.475758465</v>
      </c>
      <c r="V610" s="1">
        <f t="shared" si="12"/>
        <v>0.2263461169</v>
      </c>
      <c r="W610" s="1">
        <f t="shared" si="13"/>
        <v>2</v>
      </c>
      <c r="X610" s="1">
        <f t="shared" si="14"/>
        <v>0</v>
      </c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</row>
    <row r="611" ht="15.75" customHeight="1">
      <c r="A611" s="1"/>
      <c r="B611" s="7">
        <v>7.0</v>
      </c>
      <c r="C611" s="7">
        <v>6.0</v>
      </c>
      <c r="D611" s="7">
        <v>3.0</v>
      </c>
      <c r="E611" s="7">
        <v>2.0</v>
      </c>
      <c r="F611" s="7">
        <v>5.0</v>
      </c>
      <c r="G611" s="8">
        <v>10.0</v>
      </c>
      <c r="H611" s="7">
        <v>7.0</v>
      </c>
      <c r="I611" s="7">
        <v>4.0</v>
      </c>
      <c r="J611" s="7">
        <v>6.0</v>
      </c>
      <c r="K611" s="7">
        <v>4.0</v>
      </c>
      <c r="L611" s="1">
        <f t="shared" ref="L611:N611" si="1809">SUMPRODUCT($B611:$J611, INDEX($B$2:$J$4, L$10, 0)) + INDEX($K$2:$K$4, L$10,1)</f>
        <v>49.56727741</v>
      </c>
      <c r="M611" s="1">
        <f t="shared" si="1809"/>
        <v>48.61689549</v>
      </c>
      <c r="N611" s="1">
        <f t="shared" si="1809"/>
        <v>48.73089355</v>
      </c>
      <c r="O611" s="1">
        <f t="shared" ref="O611:Q611" si="1810">(L611-L$7)/(L$6-L$7)</f>
        <v>0.6820304641</v>
      </c>
      <c r="P611" s="1">
        <f t="shared" si="1810"/>
        <v>0.7035783373</v>
      </c>
      <c r="Q611" s="1">
        <f t="shared" si="1810"/>
        <v>0.6940853965</v>
      </c>
      <c r="R611" s="1">
        <f t="shared" ref="R611:T611" si="1811">1/(1+EXP(-O611))</f>
        <v>0.6641917252</v>
      </c>
      <c r="S611" s="1">
        <f t="shared" si="1811"/>
        <v>0.6689806576</v>
      </c>
      <c r="T611" s="1">
        <f t="shared" si="1811"/>
        <v>0.6668751265</v>
      </c>
      <c r="U611" s="1">
        <f t="shared" si="11"/>
        <v>3.299454096</v>
      </c>
      <c r="V611" s="1">
        <f t="shared" si="12"/>
        <v>0.4907645642</v>
      </c>
      <c r="W611" s="1">
        <f t="shared" si="13"/>
        <v>4</v>
      </c>
      <c r="X611" s="1">
        <f t="shared" si="14"/>
        <v>0</v>
      </c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</row>
    <row r="612" ht="15.75" customHeight="1">
      <c r="A612" s="1"/>
      <c r="B612" s="7">
        <v>1.0</v>
      </c>
      <c r="C612" s="7">
        <v>1.0</v>
      </c>
      <c r="D612" s="7">
        <v>3.0</v>
      </c>
      <c r="E612" s="7">
        <v>1.0</v>
      </c>
      <c r="F612" s="7">
        <v>2.0</v>
      </c>
      <c r="G612" s="8">
        <v>1.0</v>
      </c>
      <c r="H612" s="7">
        <v>1.0</v>
      </c>
      <c r="I612" s="7">
        <v>1.0</v>
      </c>
      <c r="J612" s="7">
        <v>1.0</v>
      </c>
      <c r="K612" s="7">
        <v>2.0</v>
      </c>
      <c r="L612" s="1">
        <f t="shared" ref="L612:N612" si="1812">SUMPRODUCT($B612:$J612, INDEX($B$2:$J$4, L$10, 0)) + INDEX($K$2:$K$4, L$10,1)</f>
        <v>11.01572108</v>
      </c>
      <c r="M612" s="1">
        <f t="shared" si="1812"/>
        <v>10.07215808</v>
      </c>
      <c r="N612" s="1">
        <f t="shared" si="1812"/>
        <v>10.71781616</v>
      </c>
      <c r="O612" s="1">
        <f t="shared" ref="O612:Q612" si="1813">(L612-L$7)/(L$6-L$7)</f>
        <v>0.05162254786</v>
      </c>
      <c r="P612" s="1">
        <f t="shared" si="1813"/>
        <v>0.04353984288</v>
      </c>
      <c r="Q612" s="1">
        <f t="shared" si="1813"/>
        <v>0.05125914259</v>
      </c>
      <c r="R612" s="1">
        <f t="shared" ref="R612:T612" si="1814">1/(1+EXP(-O612))</f>
        <v>0.5129027717</v>
      </c>
      <c r="S612" s="1">
        <f t="shared" si="1814"/>
        <v>0.5108832415</v>
      </c>
      <c r="T612" s="1">
        <f t="shared" si="1814"/>
        <v>0.5128119805</v>
      </c>
      <c r="U612" s="1">
        <f t="shared" si="11"/>
        <v>2.534762988</v>
      </c>
      <c r="V612" s="1">
        <f t="shared" si="12"/>
        <v>0.2859714534</v>
      </c>
      <c r="W612" s="1">
        <f t="shared" si="13"/>
        <v>2</v>
      </c>
      <c r="X612" s="1">
        <f t="shared" si="14"/>
        <v>0</v>
      </c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</row>
    <row r="613" ht="15.75" customHeight="1">
      <c r="A613" s="1"/>
      <c r="B613" s="7">
        <v>4.0</v>
      </c>
      <c r="C613" s="7">
        <v>1.0</v>
      </c>
      <c r="D613" s="7">
        <v>2.0</v>
      </c>
      <c r="E613" s="7">
        <v>1.0</v>
      </c>
      <c r="F613" s="7">
        <v>2.0</v>
      </c>
      <c r="G613" s="8">
        <v>1.0</v>
      </c>
      <c r="H613" s="7">
        <v>2.0</v>
      </c>
      <c r="I613" s="7">
        <v>1.0</v>
      </c>
      <c r="J613" s="7">
        <v>1.0</v>
      </c>
      <c r="K613" s="7">
        <v>2.0</v>
      </c>
      <c r="L613" s="1">
        <f t="shared" ref="L613:N613" si="1815">SUMPRODUCT($B613:$J613, INDEX($B$2:$J$4, L$10, 0)) + INDEX($K$2:$K$4, L$10,1)</f>
        <v>9.548352827</v>
      </c>
      <c r="M613" s="1">
        <f t="shared" si="1815"/>
        <v>8.85935068</v>
      </c>
      <c r="N613" s="1">
        <f t="shared" si="1815"/>
        <v>9.23190058</v>
      </c>
      <c r="O613" s="1">
        <f t="shared" ref="O613:Q613" si="1816">(L613-L$7)/(L$6-L$7)</f>
        <v>0.0276276525</v>
      </c>
      <c r="P613" s="1">
        <f t="shared" si="1816"/>
        <v>0.02277177895</v>
      </c>
      <c r="Q613" s="1">
        <f t="shared" si="1816"/>
        <v>0.02613132831</v>
      </c>
      <c r="R613" s="1">
        <f t="shared" ref="R613:T613" si="1817">1/(1+EXP(-O613))</f>
        <v>0.5069064738</v>
      </c>
      <c r="S613" s="1">
        <f t="shared" si="1817"/>
        <v>0.5056926987</v>
      </c>
      <c r="T613" s="1">
        <f t="shared" si="1817"/>
        <v>0.5065324604</v>
      </c>
      <c r="U613" s="1">
        <f t="shared" si="11"/>
        <v>2.505931725</v>
      </c>
      <c r="V613" s="1">
        <f t="shared" si="12"/>
        <v>0.2559669101</v>
      </c>
      <c r="W613" s="1">
        <f t="shared" si="13"/>
        <v>2</v>
      </c>
      <c r="X613" s="1">
        <f t="shared" si="14"/>
        <v>0</v>
      </c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</row>
    <row r="614" ht="15.75" customHeight="1">
      <c r="A614" s="1"/>
      <c r="B614" s="7">
        <v>5.0</v>
      </c>
      <c r="C614" s="7">
        <v>1.0</v>
      </c>
      <c r="D614" s="7">
        <v>1.0</v>
      </c>
      <c r="E614" s="7">
        <v>1.0</v>
      </c>
      <c r="F614" s="7">
        <v>3.0</v>
      </c>
      <c r="G614" s="8">
        <v>2.0</v>
      </c>
      <c r="H614" s="7">
        <v>2.0</v>
      </c>
      <c r="I614" s="7">
        <v>2.0</v>
      </c>
      <c r="J614" s="7">
        <v>1.0</v>
      </c>
      <c r="K614" s="7">
        <v>2.0</v>
      </c>
      <c r="L614" s="1">
        <f t="shared" ref="L614:N614" si="1818">SUMPRODUCT($B614:$J614, INDEX($B$2:$J$4, L$10, 0)) + INDEX($K$2:$K$4, L$10,1)</f>
        <v>11.60970926</v>
      </c>
      <c r="M614" s="1">
        <f t="shared" si="1818"/>
        <v>11.15638527</v>
      </c>
      <c r="N614" s="1">
        <f t="shared" si="1818"/>
        <v>11.36179097</v>
      </c>
      <c r="O614" s="1">
        <f t="shared" ref="O614:Q614" si="1819">(L614-L$7)/(L$6-L$7)</f>
        <v>0.06133564092</v>
      </c>
      <c r="P614" s="1">
        <f t="shared" si="1819"/>
        <v>0.06210610459</v>
      </c>
      <c r="Q614" s="1">
        <f t="shared" si="1819"/>
        <v>0.06214918198</v>
      </c>
      <c r="R614" s="1">
        <f t="shared" ref="R614:T614" si="1820">1/(1+EXP(-O614))</f>
        <v>0.5153291048</v>
      </c>
      <c r="S614" s="1">
        <f t="shared" si="1820"/>
        <v>0.5155215374</v>
      </c>
      <c r="T614" s="1">
        <f t="shared" si="1820"/>
        <v>0.5155322963</v>
      </c>
      <c r="U614" s="1">
        <f t="shared" si="11"/>
        <v>2.55092405</v>
      </c>
      <c r="V614" s="1">
        <f t="shared" si="12"/>
        <v>0.3035173089</v>
      </c>
      <c r="W614" s="1">
        <f t="shared" si="13"/>
        <v>2</v>
      </c>
      <c r="X614" s="1">
        <f t="shared" si="14"/>
        <v>0</v>
      </c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</row>
    <row r="615" ht="15.75" customHeight="1">
      <c r="A615" s="1"/>
      <c r="B615" s="7">
        <v>1.0</v>
      </c>
      <c r="C615" s="7">
        <v>2.0</v>
      </c>
      <c r="D615" s="7">
        <v>3.0</v>
      </c>
      <c r="E615" s="7">
        <v>1.0</v>
      </c>
      <c r="F615" s="7">
        <v>2.0</v>
      </c>
      <c r="G615" s="8">
        <v>1.0</v>
      </c>
      <c r="H615" s="7">
        <v>2.0</v>
      </c>
      <c r="I615" s="7">
        <v>1.0</v>
      </c>
      <c r="J615" s="7">
        <v>1.0</v>
      </c>
      <c r="K615" s="7">
        <v>2.0</v>
      </c>
      <c r="L615" s="1">
        <f t="shared" ref="L615:N615" si="1821">SUMPRODUCT($B615:$J615, INDEX($B$2:$J$4, L$10, 0)) + INDEX($K$2:$K$4, L$10,1)</f>
        <v>12.64343745</v>
      </c>
      <c r="M615" s="1">
        <f t="shared" si="1821"/>
        <v>11.72113126</v>
      </c>
      <c r="N615" s="1">
        <f t="shared" si="1821"/>
        <v>12.12443148</v>
      </c>
      <c r="O615" s="1">
        <f t="shared" ref="O615:Q615" si="1822">(L615-L$7)/(L$6-L$7)</f>
        <v>0.07823950926</v>
      </c>
      <c r="P615" s="1">
        <f t="shared" si="1822"/>
        <v>0.07177679171</v>
      </c>
      <c r="Q615" s="1">
        <f t="shared" si="1822"/>
        <v>0.07504593697</v>
      </c>
      <c r="R615" s="1">
        <f t="shared" ref="R615:T615" si="1823">1/(1+EXP(-O615))</f>
        <v>0.5195499056</v>
      </c>
      <c r="S615" s="1">
        <f t="shared" si="1823"/>
        <v>0.517936498</v>
      </c>
      <c r="T615" s="1">
        <f t="shared" si="1823"/>
        <v>0.518752684</v>
      </c>
      <c r="U615" s="1">
        <f t="shared" si="11"/>
        <v>2.567115867</v>
      </c>
      <c r="V615" s="1">
        <f t="shared" si="12"/>
        <v>0.3216204063</v>
      </c>
      <c r="W615" s="1">
        <f t="shared" si="13"/>
        <v>2</v>
      </c>
      <c r="X615" s="1">
        <f t="shared" si="14"/>
        <v>0</v>
      </c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</row>
    <row r="616" ht="15.75" customHeight="1">
      <c r="A616" s="1"/>
      <c r="B616" s="7">
        <v>5.0</v>
      </c>
      <c r="C616" s="7">
        <v>3.0</v>
      </c>
      <c r="D616" s="7">
        <v>3.0</v>
      </c>
      <c r="E616" s="7">
        <v>1.0</v>
      </c>
      <c r="F616" s="7">
        <v>2.0</v>
      </c>
      <c r="G616" s="8">
        <v>1.0</v>
      </c>
      <c r="H616" s="7">
        <v>2.0</v>
      </c>
      <c r="I616" s="7">
        <v>1.0</v>
      </c>
      <c r="J616" s="7">
        <v>1.0</v>
      </c>
      <c r="K616" s="7">
        <v>2.0</v>
      </c>
      <c r="L616" s="1">
        <f t="shared" ref="L616:N616" si="1824">SUMPRODUCT($B616:$J616, INDEX($B$2:$J$4, L$10, 0)) + INDEX($K$2:$K$4, L$10,1)</f>
        <v>14.30236737</v>
      </c>
      <c r="M616" s="1">
        <f t="shared" si="1824"/>
        <v>13.44811245</v>
      </c>
      <c r="N616" s="1">
        <f t="shared" si="1824"/>
        <v>13.5705988</v>
      </c>
      <c r="O616" s="1">
        <f t="shared" ref="O616:Q616" si="1825">(L616-L$7)/(L$6-L$7)</f>
        <v>0.105366885</v>
      </c>
      <c r="P616" s="1">
        <f t="shared" si="1825"/>
        <v>0.1013495464</v>
      </c>
      <c r="Q616" s="1">
        <f t="shared" si="1825"/>
        <v>0.09950158174</v>
      </c>
      <c r="R616" s="1">
        <f t="shared" ref="R616:T616" si="1826">1/(1+EXP(-O616))</f>
        <v>0.5263173774</v>
      </c>
      <c r="S616" s="1">
        <f t="shared" si="1826"/>
        <v>0.5253157206</v>
      </c>
      <c r="T616" s="1">
        <f t="shared" si="1826"/>
        <v>0.5248548924</v>
      </c>
      <c r="U616" s="1">
        <f t="shared" si="11"/>
        <v>2.600474152</v>
      </c>
      <c r="V616" s="1">
        <f t="shared" si="12"/>
        <v>0.3605692073</v>
      </c>
      <c r="W616" s="1">
        <f t="shared" si="13"/>
        <v>2</v>
      </c>
      <c r="X616" s="1">
        <f t="shared" si="14"/>
        <v>0</v>
      </c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</row>
    <row r="617" ht="15.75" customHeight="1">
      <c r="A617" s="1"/>
      <c r="B617" s="7">
        <v>1.0</v>
      </c>
      <c r="C617" s="7">
        <v>1.0</v>
      </c>
      <c r="D617" s="7">
        <v>1.0</v>
      </c>
      <c r="E617" s="7">
        <v>1.0</v>
      </c>
      <c r="F617" s="7">
        <v>2.0</v>
      </c>
      <c r="G617" s="8">
        <v>1.0</v>
      </c>
      <c r="H617" s="7">
        <v>2.0</v>
      </c>
      <c r="I617" s="7">
        <v>1.0</v>
      </c>
      <c r="J617" s="7">
        <v>1.0</v>
      </c>
      <c r="K617" s="7">
        <v>2.0</v>
      </c>
      <c r="L617" s="1">
        <f t="shared" ref="L617:N617" si="1827">SUMPRODUCT($B617:$J617, INDEX($B$2:$J$4, L$10, 0)) + INDEX($K$2:$K$4, L$10,1)</f>
        <v>7.953432454</v>
      </c>
      <c r="M617" s="1">
        <f t="shared" si="1827"/>
        <v>7.529531272</v>
      </c>
      <c r="N617" s="1">
        <f t="shared" si="1827"/>
        <v>7.686646929</v>
      </c>
      <c r="O617" s="1">
        <f t="shared" ref="O617:Q617" si="1828">(L617-L$7)/(L$6-L$7)</f>
        <v>0.001546982238</v>
      </c>
      <c r="P617" s="1">
        <f t="shared" si="1828"/>
        <v>0.000000006234892308</v>
      </c>
      <c r="Q617" s="1">
        <f t="shared" si="1828"/>
        <v>0.00000006813089816</v>
      </c>
      <c r="R617" s="1">
        <f t="shared" ref="R617:T617" si="1829">1/(1+EXP(-O617))</f>
        <v>0.5003867455</v>
      </c>
      <c r="S617" s="1">
        <f t="shared" si="1829"/>
        <v>0.5000000016</v>
      </c>
      <c r="T617" s="1">
        <f t="shared" si="1829"/>
        <v>0.500000017</v>
      </c>
      <c r="U617" s="1">
        <f t="shared" si="11"/>
        <v>2.475009467</v>
      </c>
      <c r="V617" s="1">
        <f t="shared" si="12"/>
        <v>0.2256339933</v>
      </c>
      <c r="W617" s="1">
        <f t="shared" si="13"/>
        <v>2</v>
      </c>
      <c r="X617" s="1">
        <f t="shared" si="14"/>
        <v>0</v>
      </c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</row>
    <row r="618" ht="15.75" customHeight="1">
      <c r="A618" s="1"/>
      <c r="B618" s="7">
        <v>5.0</v>
      </c>
      <c r="C618" s="7">
        <v>1.0</v>
      </c>
      <c r="D618" s="7">
        <v>2.0</v>
      </c>
      <c r="E618" s="7">
        <v>1.0</v>
      </c>
      <c r="F618" s="7">
        <v>2.0</v>
      </c>
      <c r="G618" s="8">
        <v>1.0</v>
      </c>
      <c r="H618" s="7">
        <v>1.0</v>
      </c>
      <c r="I618" s="7">
        <v>1.0</v>
      </c>
      <c r="J618" s="7">
        <v>1.0</v>
      </c>
      <c r="K618" s="7">
        <v>2.0</v>
      </c>
      <c r="L618" s="1">
        <f t="shared" ref="L618:N618" si="1830">SUMPRODUCT($B618:$J618, INDEX($B$2:$J$4, L$10, 0)) + INDEX($K$2:$K$4, L$10,1)</f>
        <v>9.531936671</v>
      </c>
      <c r="M618" s="1">
        <f t="shared" si="1830"/>
        <v>8.878852681</v>
      </c>
      <c r="N618" s="1">
        <f t="shared" si="1830"/>
        <v>9.241785557</v>
      </c>
      <c r="O618" s="1">
        <f t="shared" ref="O618:Q618" si="1831">(L618-L$7)/(L$6-L$7)</f>
        <v>0.02735921004</v>
      </c>
      <c r="P618" s="1">
        <f t="shared" si="1831"/>
        <v>0.02310573042</v>
      </c>
      <c r="Q618" s="1">
        <f t="shared" si="1831"/>
        <v>0.02629848981</v>
      </c>
      <c r="R618" s="1">
        <f t="shared" ref="R618:T618" si="1832">1/(1+EXP(-O618))</f>
        <v>0.5068393759</v>
      </c>
      <c r="S618" s="1">
        <f t="shared" si="1832"/>
        <v>0.5057761756</v>
      </c>
      <c r="T618" s="1">
        <f t="shared" si="1832"/>
        <v>0.5065742436</v>
      </c>
      <c r="U618" s="1">
        <f t="shared" si="11"/>
        <v>2.506034942</v>
      </c>
      <c r="V618" s="1">
        <f t="shared" si="12"/>
        <v>0.2560713622</v>
      </c>
      <c r="W618" s="1">
        <f t="shared" si="13"/>
        <v>2</v>
      </c>
      <c r="X618" s="1">
        <f t="shared" si="14"/>
        <v>0</v>
      </c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</row>
    <row r="619" ht="15.75" customHeight="1">
      <c r="A619" s="1"/>
      <c r="B619" s="7">
        <v>4.0</v>
      </c>
      <c r="C619" s="7">
        <v>1.0</v>
      </c>
      <c r="D619" s="7">
        <v>1.0</v>
      </c>
      <c r="E619" s="7">
        <v>1.0</v>
      </c>
      <c r="F619" s="7">
        <v>1.0</v>
      </c>
      <c r="G619" s="8">
        <v>1.0</v>
      </c>
      <c r="H619" s="7">
        <v>2.0</v>
      </c>
      <c r="I619" s="7">
        <v>1.0</v>
      </c>
      <c r="J619" s="7">
        <v>1.0</v>
      </c>
      <c r="K619" s="7">
        <v>2.0</v>
      </c>
      <c r="L619" s="1">
        <f t="shared" ref="L619:N619" si="1833">SUMPRODUCT($B619:$J619, INDEX($B$2:$J$4, L$10, 0)) + INDEX($K$2:$K$4, L$10,1)</f>
        <v>7.93875173</v>
      </c>
      <c r="M619" s="1">
        <f t="shared" si="1833"/>
        <v>7.588036911</v>
      </c>
      <c r="N619" s="1">
        <f t="shared" si="1833"/>
        <v>7.716313948</v>
      </c>
      <c r="O619" s="1">
        <f t="shared" ref="O619:Q619" si="1834">(L619-L$7)/(L$6-L$7)</f>
        <v>0.001306918147</v>
      </c>
      <c r="P619" s="1">
        <f t="shared" si="1834"/>
        <v>0.001001854398</v>
      </c>
      <c r="Q619" s="1">
        <f t="shared" si="1834"/>
        <v>0.0005017570206</v>
      </c>
      <c r="R619" s="1">
        <f t="shared" ref="R619:T619" si="1835">1/(1+EXP(-O619))</f>
        <v>0.5003267295</v>
      </c>
      <c r="S619" s="1">
        <f t="shared" si="1835"/>
        <v>0.5002504636</v>
      </c>
      <c r="T619" s="1">
        <f t="shared" si="1835"/>
        <v>0.5001254393</v>
      </c>
      <c r="U619" s="1">
        <f t="shared" si="11"/>
        <v>2.475542915</v>
      </c>
      <c r="V619" s="1">
        <f t="shared" si="12"/>
        <v>0.2261410635</v>
      </c>
      <c r="W619" s="1">
        <f t="shared" si="13"/>
        <v>2</v>
      </c>
      <c r="X619" s="1">
        <f t="shared" si="14"/>
        <v>0</v>
      </c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</row>
    <row r="620" ht="15.75" customHeight="1">
      <c r="A620" s="1"/>
      <c r="B620" s="7">
        <v>5.0</v>
      </c>
      <c r="C620" s="7">
        <v>1.0</v>
      </c>
      <c r="D620" s="7">
        <v>1.0</v>
      </c>
      <c r="E620" s="7">
        <v>1.0</v>
      </c>
      <c r="F620" s="7">
        <v>2.0</v>
      </c>
      <c r="G620" s="8">
        <v>1.0</v>
      </c>
      <c r="H620" s="7">
        <v>1.0</v>
      </c>
      <c r="I620" s="7">
        <v>1.0</v>
      </c>
      <c r="J620" s="7">
        <v>1.0</v>
      </c>
      <c r="K620" s="7">
        <v>2.0</v>
      </c>
      <c r="L620" s="1">
        <f t="shared" ref="L620:N620" si="1836">SUMPRODUCT($B620:$J620, INDEX($B$2:$J$4, L$10, 0)) + INDEX($K$2:$K$4, L$10,1)</f>
        <v>7.984645998</v>
      </c>
      <c r="M620" s="1">
        <f t="shared" si="1836"/>
        <v>7.607539277</v>
      </c>
      <c r="N620" s="1">
        <f t="shared" si="1836"/>
        <v>7.726198925</v>
      </c>
      <c r="O620" s="1">
        <f t="shared" ref="O620:Q620" si="1837">(L620-L$7)/(L$6-L$7)</f>
        <v>0.002057396537</v>
      </c>
      <c r="P620" s="1">
        <f t="shared" si="1837"/>
        <v>0.001335812098</v>
      </c>
      <c r="Q620" s="1">
        <f t="shared" si="1837"/>
        <v>0.0006689185196</v>
      </c>
      <c r="R620" s="1">
        <f t="shared" ref="R620:T620" si="1838">1/(1+EXP(-O620))</f>
        <v>0.500514349</v>
      </c>
      <c r="S620" s="1">
        <f t="shared" si="1838"/>
        <v>0.500333953</v>
      </c>
      <c r="T620" s="1">
        <f t="shared" si="1838"/>
        <v>0.5001672296</v>
      </c>
      <c r="U620" s="1">
        <f t="shared" si="11"/>
        <v>2.476049343</v>
      </c>
      <c r="V620" s="1">
        <f t="shared" si="12"/>
        <v>0.2266229766</v>
      </c>
      <c r="W620" s="1">
        <f t="shared" si="13"/>
        <v>2</v>
      </c>
      <c r="X620" s="1">
        <f t="shared" si="14"/>
        <v>0</v>
      </c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</row>
    <row r="621" ht="15.75" customHeight="1">
      <c r="A621" s="1"/>
      <c r="B621" s="7">
        <v>10.0</v>
      </c>
      <c r="C621" s="7">
        <v>4.0</v>
      </c>
      <c r="D621" s="7">
        <v>3.0</v>
      </c>
      <c r="E621" s="7">
        <v>10.0</v>
      </c>
      <c r="F621" s="7">
        <v>3.0</v>
      </c>
      <c r="G621" s="8">
        <v>10.0</v>
      </c>
      <c r="H621" s="7">
        <v>7.0</v>
      </c>
      <c r="I621" s="7">
        <v>1.0</v>
      </c>
      <c r="J621" s="7">
        <v>2.0</v>
      </c>
      <c r="K621" s="7">
        <v>4.0</v>
      </c>
      <c r="L621" s="1">
        <f t="shared" ref="L621:N621" si="1839">SUMPRODUCT($B621:$J621, INDEX($B$2:$J$4, L$10, 0)) + INDEX($K$2:$K$4, L$10,1)</f>
        <v>45.70210595</v>
      </c>
      <c r="M621" s="1">
        <f t="shared" si="1839"/>
        <v>44.49907826</v>
      </c>
      <c r="N621" s="1">
        <f t="shared" si="1839"/>
        <v>45.06851028</v>
      </c>
      <c r="O621" s="1">
        <f t="shared" ref="O621:Q621" si="1840">(L621-L$7)/(L$6-L$7)</f>
        <v>0.6188258903</v>
      </c>
      <c r="P621" s="1">
        <f t="shared" si="1840"/>
        <v>0.6330650047</v>
      </c>
      <c r="Q621" s="1">
        <f t="shared" si="1840"/>
        <v>0.6321520756</v>
      </c>
      <c r="R621" s="1">
        <f t="shared" ref="R621:T621" si="1841">1/(1+EXP(-O621))</f>
        <v>0.6499514686</v>
      </c>
      <c r="S621" s="1">
        <f t="shared" si="1841"/>
        <v>0.6531841175</v>
      </c>
      <c r="T621" s="1">
        <f t="shared" si="1841"/>
        <v>0.6529772785</v>
      </c>
      <c r="U621" s="1">
        <f t="shared" si="11"/>
        <v>3.227002234</v>
      </c>
      <c r="V621" s="1">
        <f t="shared" si="12"/>
        <v>0.5975255465</v>
      </c>
      <c r="W621" s="1">
        <f t="shared" si="13"/>
        <v>4</v>
      </c>
      <c r="X621" s="1">
        <f t="shared" si="14"/>
        <v>0</v>
      </c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</row>
    <row r="622" ht="15.75" customHeight="1">
      <c r="A622" s="1"/>
      <c r="B622" s="7">
        <v>3.0</v>
      </c>
      <c r="C622" s="7">
        <v>1.0</v>
      </c>
      <c r="D622" s="7">
        <v>3.0</v>
      </c>
      <c r="E622" s="7">
        <v>1.0</v>
      </c>
      <c r="F622" s="7">
        <v>3.0</v>
      </c>
      <c r="G622" s="8">
        <v>4.0</v>
      </c>
      <c r="H622" s="7">
        <v>1.0</v>
      </c>
      <c r="I622" s="7">
        <v>1.0</v>
      </c>
      <c r="J622" s="7">
        <v>1.0</v>
      </c>
      <c r="K622" s="7">
        <v>2.0</v>
      </c>
      <c r="L622" s="1">
        <f t="shared" ref="L622:N622" si="1842">SUMPRODUCT($B622:$J622, INDEX($B$2:$J$4, L$10, 0)) + INDEX($K$2:$K$4, L$10,1)</f>
        <v>20.8473072</v>
      </c>
      <c r="M622" s="1">
        <f t="shared" si="1842"/>
        <v>19.8793232</v>
      </c>
      <c r="N622" s="1">
        <f t="shared" si="1842"/>
        <v>20.74314439</v>
      </c>
      <c r="O622" s="1">
        <f t="shared" ref="O622:Q622" si="1843">(L622-L$7)/(L$6-L$7)</f>
        <v>0.2123919255</v>
      </c>
      <c r="P622" s="1">
        <f t="shared" si="1843"/>
        <v>0.211477334</v>
      </c>
      <c r="Q622" s="1">
        <f t="shared" si="1843"/>
        <v>0.2207940667</v>
      </c>
      <c r="R622" s="1">
        <f t="shared" ref="R622:T622" si="1844">1/(1+EXP(-O622))</f>
        <v>0.5528992721</v>
      </c>
      <c r="S622" s="1">
        <f t="shared" si="1844"/>
        <v>0.5526731726</v>
      </c>
      <c r="T622" s="1">
        <f t="shared" si="1844"/>
        <v>0.5549753604</v>
      </c>
      <c r="U622" s="1">
        <f t="shared" si="11"/>
        <v>2.739374976</v>
      </c>
      <c r="V622" s="1">
        <f t="shared" si="12"/>
        <v>0.5466753557</v>
      </c>
      <c r="W622" s="1">
        <f t="shared" si="13"/>
        <v>2</v>
      </c>
      <c r="X622" s="1">
        <f t="shared" si="14"/>
        <v>0</v>
      </c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</row>
    <row r="623" ht="15.75" customHeight="1">
      <c r="A623" s="1"/>
      <c r="B623" s="7">
        <v>3.0</v>
      </c>
      <c r="C623" s="7">
        <v>1.0</v>
      </c>
      <c r="D623" s="7">
        <v>1.0</v>
      </c>
      <c r="E623" s="7">
        <v>1.0</v>
      </c>
      <c r="F623" s="7">
        <v>2.0</v>
      </c>
      <c r="G623" s="8">
        <v>1.0</v>
      </c>
      <c r="H623" s="7">
        <v>2.0</v>
      </c>
      <c r="I623" s="7">
        <v>1.0</v>
      </c>
      <c r="J623" s="7">
        <v>1.0</v>
      </c>
      <c r="K623" s="7">
        <v>2.0</v>
      </c>
      <c r="L623" s="1">
        <f t="shared" ref="L623:N623" si="1845">SUMPRODUCT($B623:$J623, INDEX($B$2:$J$4, L$10, 0)) + INDEX($K$2:$K$4, L$10,1)</f>
        <v>7.985185587</v>
      </c>
      <c r="M623" s="1">
        <f t="shared" si="1845"/>
        <v>7.568535274</v>
      </c>
      <c r="N623" s="1">
        <f t="shared" si="1845"/>
        <v>7.706424942</v>
      </c>
      <c r="O623" s="1">
        <f t="shared" ref="O623:Q623" si="1846">(L623-L$7)/(L$6-L$7)</f>
        <v>0.00206622008</v>
      </c>
      <c r="P623" s="1">
        <f t="shared" si="1846"/>
        <v>0.0006679091667</v>
      </c>
      <c r="Q623" s="1">
        <f t="shared" si="1846"/>
        <v>0.0003345273907</v>
      </c>
      <c r="R623" s="1">
        <f t="shared" ref="R623:T623" si="1847">1/(1+EXP(-O623))</f>
        <v>0.5005165548</v>
      </c>
      <c r="S623" s="1">
        <f t="shared" si="1847"/>
        <v>0.5001669773</v>
      </c>
      <c r="T623" s="1">
        <f t="shared" si="1847"/>
        <v>0.5000836318</v>
      </c>
      <c r="U623" s="1">
        <f t="shared" si="11"/>
        <v>2.475633899</v>
      </c>
      <c r="V623" s="1">
        <f t="shared" si="12"/>
        <v>0.226227606</v>
      </c>
      <c r="W623" s="1">
        <f t="shared" si="13"/>
        <v>2</v>
      </c>
      <c r="X623" s="1">
        <f t="shared" si="14"/>
        <v>0</v>
      </c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</row>
    <row r="624" ht="15.75" customHeight="1">
      <c r="A624" s="1"/>
      <c r="B624" s="7">
        <v>10.0</v>
      </c>
      <c r="C624" s="7">
        <v>3.0</v>
      </c>
      <c r="D624" s="7">
        <v>6.0</v>
      </c>
      <c r="E624" s="7">
        <v>2.0</v>
      </c>
      <c r="F624" s="7">
        <v>3.0</v>
      </c>
      <c r="G624" s="8">
        <v>5.0</v>
      </c>
      <c r="H624" s="7">
        <v>4.0</v>
      </c>
      <c r="I624" s="7">
        <v>10.0</v>
      </c>
      <c r="J624" s="7">
        <v>2.0</v>
      </c>
      <c r="K624" s="7">
        <v>4.0</v>
      </c>
      <c r="L624" s="1">
        <f t="shared" ref="L624:N624" si="1848">SUMPRODUCT($B624:$J624, INDEX($B$2:$J$4, L$10, 0)) + INDEX($K$2:$K$4, L$10,1)</f>
        <v>34.72752045</v>
      </c>
      <c r="M624" s="1">
        <f t="shared" si="1848"/>
        <v>33.01890579</v>
      </c>
      <c r="N624" s="1">
        <f t="shared" si="1848"/>
        <v>34.21398513</v>
      </c>
      <c r="O624" s="1">
        <f t="shared" ref="O624:Q624" si="1849">(L624-L$7)/(L$6-L$7)</f>
        <v>0.4393658053</v>
      </c>
      <c r="P624" s="1">
        <f t="shared" si="1849"/>
        <v>0.4364790046</v>
      </c>
      <c r="Q624" s="1">
        <f t="shared" si="1849"/>
        <v>0.4485948837</v>
      </c>
      <c r="R624" s="1">
        <f t="shared" ref="R624:T624" si="1850">1/(1+EXP(-O624))</f>
        <v>0.6081079045</v>
      </c>
      <c r="S624" s="1">
        <f t="shared" si="1850"/>
        <v>0.607419729</v>
      </c>
      <c r="T624" s="1">
        <f t="shared" si="1850"/>
        <v>0.6103051031</v>
      </c>
      <c r="U624" s="1">
        <f t="shared" si="11"/>
        <v>3.012036719</v>
      </c>
      <c r="V624" s="1">
        <f t="shared" si="12"/>
        <v>0.9760714437</v>
      </c>
      <c r="W624" s="1">
        <f t="shared" si="13"/>
        <v>4</v>
      </c>
      <c r="X624" s="1">
        <f t="shared" si="14"/>
        <v>0</v>
      </c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</row>
    <row r="625" ht="15.75" customHeight="1">
      <c r="A625" s="1"/>
      <c r="B625" s="7">
        <v>1.0</v>
      </c>
      <c r="C625" s="7">
        <v>1.0</v>
      </c>
      <c r="D625" s="7">
        <v>1.0</v>
      </c>
      <c r="E625" s="7">
        <v>1.0</v>
      </c>
      <c r="F625" s="7">
        <v>2.0</v>
      </c>
      <c r="G625" s="8">
        <v>2.0</v>
      </c>
      <c r="H625" s="7">
        <v>2.0</v>
      </c>
      <c r="I625" s="7">
        <v>1.0</v>
      </c>
      <c r="J625" s="7">
        <v>1.0</v>
      </c>
      <c r="K625" s="7">
        <v>2.0</v>
      </c>
      <c r="L625" s="1">
        <f t="shared" ref="L625:N625" si="1851">SUMPRODUCT($B625:$J625, INDEX($B$2:$J$4, L$10, 0)) + INDEX($K$2:$K$4, L$10,1)</f>
        <v>11.19927331</v>
      </c>
      <c r="M625" s="1">
        <f t="shared" si="1851"/>
        <v>10.78558485</v>
      </c>
      <c r="N625" s="1">
        <f t="shared" si="1851"/>
        <v>11.02183033</v>
      </c>
      <c r="O625" s="1">
        <f t="shared" ref="O625:Q625" si="1852">(L625-L$7)/(L$6-L$7)</f>
        <v>0.05462405523</v>
      </c>
      <c r="P625" s="1">
        <f t="shared" si="1852"/>
        <v>0.05575653356</v>
      </c>
      <c r="Q625" s="1">
        <f t="shared" si="1852"/>
        <v>0.05640022307</v>
      </c>
      <c r="R625" s="1">
        <f t="shared" ref="R625:T625" si="1853">1/(1+EXP(-O625))</f>
        <v>0.5136526193</v>
      </c>
      <c r="S625" s="1">
        <f t="shared" si="1853"/>
        <v>0.5139355234</v>
      </c>
      <c r="T625" s="1">
        <f t="shared" si="1853"/>
        <v>0.5140963193</v>
      </c>
      <c r="U625" s="1">
        <f t="shared" si="11"/>
        <v>2.54318949</v>
      </c>
      <c r="V625" s="1">
        <f t="shared" si="12"/>
        <v>0.2950548218</v>
      </c>
      <c r="W625" s="1">
        <f t="shared" si="13"/>
        <v>2</v>
      </c>
      <c r="X625" s="1">
        <f t="shared" si="14"/>
        <v>0</v>
      </c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</row>
    <row r="626" ht="15.75" customHeight="1">
      <c r="A626" s="1"/>
      <c r="B626" s="7">
        <v>10.0</v>
      </c>
      <c r="C626" s="7">
        <v>5.0</v>
      </c>
      <c r="D626" s="7">
        <v>5.0</v>
      </c>
      <c r="E626" s="7">
        <v>6.0</v>
      </c>
      <c r="F626" s="7">
        <v>3.0</v>
      </c>
      <c r="G626" s="8">
        <v>10.0</v>
      </c>
      <c r="H626" s="7">
        <v>7.0</v>
      </c>
      <c r="I626" s="7">
        <v>9.0</v>
      </c>
      <c r="J626" s="7">
        <v>2.0</v>
      </c>
      <c r="K626" s="7">
        <v>4.0</v>
      </c>
      <c r="L626" s="1">
        <f t="shared" ref="L626:N626" si="1854">SUMPRODUCT($B626:$J626, INDEX($B$2:$J$4, L$10, 0)) + INDEX($K$2:$K$4, L$10,1)</f>
        <v>52.54080264</v>
      </c>
      <c r="M626" s="1">
        <f t="shared" si="1854"/>
        <v>51.03301462</v>
      </c>
      <c r="N626" s="1">
        <f t="shared" si="1854"/>
        <v>51.89833863</v>
      </c>
      <c r="O626" s="1">
        <f t="shared" ref="O626:Q626" si="1855">(L626-L$7)/(L$6-L$7)</f>
        <v>0.7306545412</v>
      </c>
      <c r="P626" s="1">
        <f t="shared" si="1855"/>
        <v>0.7449518617</v>
      </c>
      <c r="Q626" s="1">
        <f t="shared" si="1855"/>
        <v>0.7476489856</v>
      </c>
      <c r="R626" s="1">
        <f t="shared" ref="R626:T626" si="1856">1/(1+EXP(-O626))</f>
        <v>0.6749488907</v>
      </c>
      <c r="S626" s="1">
        <f t="shared" si="1856"/>
        <v>0.6780777416</v>
      </c>
      <c r="T626" s="1">
        <f t="shared" si="1856"/>
        <v>0.6786662093</v>
      </c>
      <c r="U626" s="1">
        <f t="shared" si="11"/>
        <v>3.351724899</v>
      </c>
      <c r="V626" s="1">
        <f t="shared" si="12"/>
        <v>0.420260606</v>
      </c>
      <c r="W626" s="1">
        <f t="shared" si="13"/>
        <v>4</v>
      </c>
      <c r="X626" s="1">
        <f t="shared" si="14"/>
        <v>0</v>
      </c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</row>
    <row r="627" ht="15.75" customHeight="1">
      <c r="A627" s="1"/>
      <c r="B627" s="7">
        <v>10.0</v>
      </c>
      <c r="C627" s="7">
        <v>5.0</v>
      </c>
      <c r="D627" s="7">
        <v>7.0</v>
      </c>
      <c r="E627" s="7">
        <v>4.0</v>
      </c>
      <c r="F627" s="7">
        <v>4.0</v>
      </c>
      <c r="G627" s="8">
        <v>10.0</v>
      </c>
      <c r="H627" s="7">
        <v>8.0</v>
      </c>
      <c r="I627" s="7">
        <v>9.0</v>
      </c>
      <c r="J627" s="7">
        <v>1.0</v>
      </c>
      <c r="K627" s="7">
        <v>4.0</v>
      </c>
      <c r="L627" s="1">
        <f t="shared" ref="L627:N627" si="1857">SUMPRODUCT($B627:$J627, INDEX($B$2:$J$4, L$10, 0)) + INDEX($K$2:$K$4, L$10,1)</f>
        <v>55.66585594</v>
      </c>
      <c r="M627" s="1">
        <f t="shared" si="1857"/>
        <v>53.5756418</v>
      </c>
      <c r="N627" s="1">
        <f t="shared" si="1857"/>
        <v>54.9239194</v>
      </c>
      <c r="O627" s="1">
        <f t="shared" ref="O627:Q627" si="1858">(L627-L$7)/(L$6-L$7)</f>
        <v>0.7817564557</v>
      </c>
      <c r="P627" s="1">
        <f t="shared" si="1858"/>
        <v>0.7884917045</v>
      </c>
      <c r="Q627" s="1">
        <f t="shared" si="1858"/>
        <v>0.7988135553</v>
      </c>
      <c r="R627" s="1">
        <f t="shared" ref="R627:T627" si="1859">1/(1+EXP(-O627))</f>
        <v>0.6860585468</v>
      </c>
      <c r="S627" s="1">
        <f t="shared" si="1859"/>
        <v>0.6875073786</v>
      </c>
      <c r="T627" s="1">
        <f t="shared" si="1859"/>
        <v>0.6897206319</v>
      </c>
      <c r="U627" s="1">
        <f t="shared" si="11"/>
        <v>3.40383797</v>
      </c>
      <c r="V627" s="1">
        <f t="shared" si="12"/>
        <v>0.3554091657</v>
      </c>
      <c r="W627" s="1">
        <f t="shared" si="13"/>
        <v>4</v>
      </c>
      <c r="X627" s="1">
        <f t="shared" si="14"/>
        <v>0</v>
      </c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</row>
    <row r="628" ht="15.75" customHeight="1">
      <c r="A628" s="1"/>
      <c r="B628" s="7">
        <v>5.0</v>
      </c>
      <c r="C628" s="7">
        <v>1.0</v>
      </c>
      <c r="D628" s="7">
        <v>1.0</v>
      </c>
      <c r="E628" s="7">
        <v>2.0</v>
      </c>
      <c r="F628" s="7">
        <v>2.0</v>
      </c>
      <c r="G628" s="8">
        <v>2.0</v>
      </c>
      <c r="H628" s="7">
        <v>3.0</v>
      </c>
      <c r="I628" s="7">
        <v>1.0</v>
      </c>
      <c r="J628" s="7">
        <v>1.0</v>
      </c>
      <c r="K628" s="7">
        <v>2.0</v>
      </c>
      <c r="L628" s="1">
        <f t="shared" ref="L628:N628" si="1860">SUMPRODUCT($B628:$J628, INDEX($B$2:$J$4, L$10, 0)) + INDEX($K$2:$K$4, L$10,1)</f>
        <v>11.3271379</v>
      </c>
      <c r="M628" s="1">
        <f t="shared" si="1860"/>
        <v>10.86359286</v>
      </c>
      <c r="N628" s="1">
        <f t="shared" si="1860"/>
        <v>11.06418865</v>
      </c>
      <c r="O628" s="1">
        <f t="shared" ref="O628:Q628" si="1861">(L628-L$7)/(L$6-L$7)</f>
        <v>0.05671493963</v>
      </c>
      <c r="P628" s="1">
        <f t="shared" si="1861"/>
        <v>0.05709233942</v>
      </c>
      <c r="Q628" s="1">
        <f t="shared" si="1861"/>
        <v>0.0571165302</v>
      </c>
      <c r="R628" s="1">
        <f t="shared" ref="R628:T628" si="1862">1/(1+EXP(-O628))</f>
        <v>0.5141749355</v>
      </c>
      <c r="S628" s="1">
        <f t="shared" si="1862"/>
        <v>0.5142692092</v>
      </c>
      <c r="T628" s="1">
        <f t="shared" si="1862"/>
        <v>0.5142752519</v>
      </c>
      <c r="U628" s="1">
        <f t="shared" si="11"/>
        <v>2.544873811</v>
      </c>
      <c r="V628" s="1">
        <f t="shared" si="12"/>
        <v>0.2968874702</v>
      </c>
      <c r="W628" s="1">
        <f t="shared" si="13"/>
        <v>2</v>
      </c>
      <c r="X628" s="1">
        <f t="shared" si="14"/>
        <v>0</v>
      </c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</row>
    <row r="629" ht="15.75" customHeight="1">
      <c r="A629" s="1"/>
      <c r="B629" s="7">
        <v>1.0</v>
      </c>
      <c r="C629" s="7">
        <v>1.0</v>
      </c>
      <c r="D629" s="7">
        <v>1.0</v>
      </c>
      <c r="E629" s="7">
        <v>1.0</v>
      </c>
      <c r="F629" s="7">
        <v>2.0</v>
      </c>
      <c r="G629" s="8">
        <v>1.0</v>
      </c>
      <c r="H629" s="7">
        <v>1.0</v>
      </c>
      <c r="I629" s="7">
        <v>1.0</v>
      </c>
      <c r="J629" s="7">
        <v>1.0</v>
      </c>
      <c r="K629" s="7">
        <v>2.0</v>
      </c>
      <c r="L629" s="1">
        <f t="shared" ref="L629:N629" si="1863">SUMPRODUCT($B629:$J629, INDEX($B$2:$J$4, L$10, 0)) + INDEX($K$2:$K$4, L$10,1)</f>
        <v>7.921139731</v>
      </c>
      <c r="M629" s="1">
        <f t="shared" si="1863"/>
        <v>7.529531272</v>
      </c>
      <c r="N629" s="1">
        <f t="shared" si="1863"/>
        <v>7.6866429</v>
      </c>
      <c r="O629" s="1">
        <f t="shared" ref="O629:Q629" si="1864">(L629-L$7)/(L$6-L$7)</f>
        <v>0.001018920854</v>
      </c>
      <c r="P629" s="1">
        <f t="shared" si="1864"/>
        <v>0.000000006234892308</v>
      </c>
      <c r="Q629" s="1">
        <f t="shared" si="1864"/>
        <v>0</v>
      </c>
      <c r="R629" s="1">
        <f t="shared" ref="R629:T629" si="1865">1/(1+EXP(-O629))</f>
        <v>0.5002547302</v>
      </c>
      <c r="S629" s="1">
        <f t="shared" si="1865"/>
        <v>0.5000000016</v>
      </c>
      <c r="T629" s="1">
        <f t="shared" si="1865"/>
        <v>0.5</v>
      </c>
      <c r="U629" s="1">
        <f t="shared" si="11"/>
        <v>2.474800478</v>
      </c>
      <c r="V629" s="1">
        <f t="shared" si="12"/>
        <v>0.2254354935</v>
      </c>
      <c r="W629" s="1">
        <f t="shared" si="13"/>
        <v>2</v>
      </c>
      <c r="X629" s="1">
        <f t="shared" si="14"/>
        <v>0</v>
      </c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</row>
    <row r="630" ht="15.75" customHeight="1">
      <c r="A630" s="1"/>
      <c r="B630" s="7">
        <v>6.0</v>
      </c>
      <c r="C630" s="7">
        <v>1.0</v>
      </c>
      <c r="D630" s="7">
        <v>1.0</v>
      </c>
      <c r="E630" s="7">
        <v>1.0</v>
      </c>
      <c r="F630" s="7">
        <v>1.0</v>
      </c>
      <c r="G630" s="8">
        <v>1.0</v>
      </c>
      <c r="H630" s="7">
        <v>1.0</v>
      </c>
      <c r="I630" s="7">
        <v>1.0</v>
      </c>
      <c r="J630" s="7">
        <v>1.0</v>
      </c>
      <c r="K630" s="7">
        <v>2.0</v>
      </c>
      <c r="L630" s="1">
        <f t="shared" ref="L630:N630" si="1866">SUMPRODUCT($B630:$J630, INDEX($B$2:$J$4, L$10, 0)) + INDEX($K$2:$K$4, L$10,1)</f>
        <v>7.938212141</v>
      </c>
      <c r="M630" s="1">
        <f t="shared" si="1866"/>
        <v>7.627040914</v>
      </c>
      <c r="N630" s="1">
        <f t="shared" si="1866"/>
        <v>7.736087932</v>
      </c>
      <c r="O630" s="1">
        <f t="shared" ref="O630:Q630" si="1867">(L630-L$7)/(L$6-L$7)</f>
        <v>0.001298094604</v>
      </c>
      <c r="P630" s="1">
        <f t="shared" si="1867"/>
        <v>0.001669757329</v>
      </c>
      <c r="Q630" s="1">
        <f t="shared" si="1867"/>
        <v>0.0008361481495</v>
      </c>
      <c r="R630" s="1">
        <f t="shared" ref="R630:T630" si="1868">1/(1+EXP(-O630))</f>
        <v>0.5003245236</v>
      </c>
      <c r="S630" s="1">
        <f t="shared" si="1868"/>
        <v>0.5004174392</v>
      </c>
      <c r="T630" s="1">
        <f t="shared" si="1868"/>
        <v>0.500209037</v>
      </c>
      <c r="U630" s="1">
        <f t="shared" si="11"/>
        <v>2.475958358</v>
      </c>
      <c r="V630" s="1">
        <f t="shared" si="12"/>
        <v>0.2265363585</v>
      </c>
      <c r="W630" s="1">
        <f t="shared" si="13"/>
        <v>2</v>
      </c>
      <c r="X630" s="1">
        <f t="shared" si="14"/>
        <v>0</v>
      </c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</row>
    <row r="631" ht="15.75" customHeight="1">
      <c r="A631" s="1"/>
      <c r="B631" s="7">
        <v>3.0</v>
      </c>
      <c r="C631" s="7">
        <v>1.0</v>
      </c>
      <c r="D631" s="7">
        <v>1.0</v>
      </c>
      <c r="E631" s="7">
        <v>1.0</v>
      </c>
      <c r="F631" s="7">
        <v>2.0</v>
      </c>
      <c r="G631" s="8">
        <v>1.0</v>
      </c>
      <c r="H631" s="7">
        <v>2.0</v>
      </c>
      <c r="I631" s="7">
        <v>1.0</v>
      </c>
      <c r="J631" s="7">
        <v>1.0</v>
      </c>
      <c r="K631" s="7">
        <v>2.0</v>
      </c>
      <c r="L631" s="1">
        <f t="shared" ref="L631:N631" si="1869">SUMPRODUCT($B631:$J631, INDEX($B$2:$J$4, L$10, 0)) + INDEX($K$2:$K$4, L$10,1)</f>
        <v>7.985185587</v>
      </c>
      <c r="M631" s="1">
        <f t="shared" si="1869"/>
        <v>7.568535274</v>
      </c>
      <c r="N631" s="1">
        <f t="shared" si="1869"/>
        <v>7.706424942</v>
      </c>
      <c r="O631" s="1">
        <f t="shared" ref="O631:Q631" si="1870">(L631-L$7)/(L$6-L$7)</f>
        <v>0.00206622008</v>
      </c>
      <c r="P631" s="1">
        <f t="shared" si="1870"/>
        <v>0.0006679091667</v>
      </c>
      <c r="Q631" s="1">
        <f t="shared" si="1870"/>
        <v>0.0003345273907</v>
      </c>
      <c r="R631" s="1">
        <f t="shared" ref="R631:T631" si="1871">1/(1+EXP(-O631))</f>
        <v>0.5005165548</v>
      </c>
      <c r="S631" s="1">
        <f t="shared" si="1871"/>
        <v>0.5001669773</v>
      </c>
      <c r="T631" s="1">
        <f t="shared" si="1871"/>
        <v>0.5000836318</v>
      </c>
      <c r="U631" s="1">
        <f t="shared" si="11"/>
        <v>2.475633899</v>
      </c>
      <c r="V631" s="1">
        <f t="shared" si="12"/>
        <v>0.226227606</v>
      </c>
      <c r="W631" s="1">
        <f t="shared" si="13"/>
        <v>2</v>
      </c>
      <c r="X631" s="1">
        <f t="shared" si="14"/>
        <v>0</v>
      </c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</row>
    <row r="632" ht="15.75" customHeight="1">
      <c r="A632" s="1"/>
      <c r="B632" s="7">
        <v>5.0</v>
      </c>
      <c r="C632" s="7">
        <v>7.0</v>
      </c>
      <c r="D632" s="7">
        <v>10.0</v>
      </c>
      <c r="E632" s="7">
        <v>10.0</v>
      </c>
      <c r="F632" s="7">
        <v>5.0</v>
      </c>
      <c r="G632" s="8">
        <v>10.0</v>
      </c>
      <c r="H632" s="7">
        <v>10.0</v>
      </c>
      <c r="I632" s="7">
        <v>10.0</v>
      </c>
      <c r="J632" s="7">
        <v>1.0</v>
      </c>
      <c r="K632" s="7">
        <v>4.0</v>
      </c>
      <c r="L632" s="1">
        <f t="shared" ref="L632:N632" si="1872">SUMPRODUCT($B632:$J632, INDEX($B$2:$J$4, L$10, 0)) + INDEX($K$2:$K$4, L$10,1)</f>
        <v>64.02310113</v>
      </c>
      <c r="M632" s="1">
        <f t="shared" si="1872"/>
        <v>60.88281078</v>
      </c>
      <c r="N632" s="1">
        <f t="shared" si="1872"/>
        <v>62.55165909</v>
      </c>
      <c r="O632" s="1">
        <f t="shared" ref="O632:Q632" si="1873">(L632-L$7)/(L$6-L$7)</f>
        <v>0.9184169185</v>
      </c>
      <c r="P632" s="1">
        <f t="shared" si="1873"/>
        <v>0.913619365</v>
      </c>
      <c r="Q632" s="1">
        <f t="shared" si="1873"/>
        <v>0.9278036731</v>
      </c>
      <c r="R632" s="1">
        <f t="shared" ref="R632:T632" si="1874">1/(1+EXP(-O632))</f>
        <v>0.7147194321</v>
      </c>
      <c r="S632" s="1">
        <f t="shared" si="1874"/>
        <v>0.7137402254</v>
      </c>
      <c r="T632" s="1">
        <f t="shared" si="1874"/>
        <v>0.716629486</v>
      </c>
      <c r="U632" s="1">
        <f t="shared" si="11"/>
        <v>3.538662341</v>
      </c>
      <c r="V632" s="1">
        <f t="shared" si="12"/>
        <v>0.2128324358</v>
      </c>
      <c r="W632" s="1">
        <f t="shared" si="13"/>
        <v>4</v>
      </c>
      <c r="X632" s="1">
        <f t="shared" si="14"/>
        <v>0</v>
      </c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</row>
    <row r="633" ht="15.75" customHeight="1">
      <c r="A633" s="1"/>
      <c r="B633" s="7">
        <v>5.0</v>
      </c>
      <c r="C633" s="7">
        <v>2.0</v>
      </c>
      <c r="D633" s="7">
        <v>4.0</v>
      </c>
      <c r="E633" s="7">
        <v>1.0</v>
      </c>
      <c r="F633" s="7">
        <v>1.0</v>
      </c>
      <c r="G633" s="8">
        <v>1.0</v>
      </c>
      <c r="H633" s="7">
        <v>1.0</v>
      </c>
      <c r="I633" s="7">
        <v>1.0</v>
      </c>
      <c r="J633" s="7">
        <v>1.0</v>
      </c>
      <c r="K633" s="7">
        <v>2.0</v>
      </c>
      <c r="L633" s="1">
        <f t="shared" ref="L633:N633" si="1875">SUMPRODUCT($B633:$J633, INDEX($B$2:$J$4, L$10, 0)) + INDEX($K$2:$K$4, L$10,1)</f>
        <v>14.15963124</v>
      </c>
      <c r="M633" s="1">
        <f t="shared" si="1875"/>
        <v>13.07045231</v>
      </c>
      <c r="N633" s="1">
        <f t="shared" si="1875"/>
        <v>13.67957011</v>
      </c>
      <c r="O633" s="1">
        <f t="shared" ref="O633:Q633" si="1876">(L633-L$7)/(L$6-L$7)</f>
        <v>0.1030328162</v>
      </c>
      <c r="P633" s="1">
        <f t="shared" si="1876"/>
        <v>0.09488250966</v>
      </c>
      <c r="Q633" s="1">
        <f t="shared" si="1876"/>
        <v>0.1013443586</v>
      </c>
      <c r="R633" s="1">
        <f t="shared" ref="R633:T633" si="1877">1/(1+EXP(-O633))</f>
        <v>0.5257354413</v>
      </c>
      <c r="S633" s="1">
        <f t="shared" si="1877"/>
        <v>0.5237028476</v>
      </c>
      <c r="T633" s="1">
        <f t="shared" si="1877"/>
        <v>0.525314427</v>
      </c>
      <c r="U633" s="1">
        <f t="shared" si="11"/>
        <v>2.59768094</v>
      </c>
      <c r="V633" s="1">
        <f t="shared" si="12"/>
        <v>0.3572225062</v>
      </c>
      <c r="W633" s="1">
        <f t="shared" si="13"/>
        <v>2</v>
      </c>
      <c r="X633" s="1">
        <f t="shared" si="14"/>
        <v>0</v>
      </c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</row>
    <row r="634" ht="15.75" customHeight="1">
      <c r="A634" s="1"/>
      <c r="B634" s="7">
        <v>3.0</v>
      </c>
      <c r="C634" s="7">
        <v>1.0</v>
      </c>
      <c r="D634" s="7">
        <v>1.0</v>
      </c>
      <c r="E634" s="7">
        <v>1.0</v>
      </c>
      <c r="F634" s="7">
        <v>2.0</v>
      </c>
      <c r="G634" s="8">
        <v>1.0</v>
      </c>
      <c r="H634" s="7">
        <v>2.0</v>
      </c>
      <c r="I634" s="7">
        <v>1.0</v>
      </c>
      <c r="J634" s="7">
        <v>1.0</v>
      </c>
      <c r="K634" s="7">
        <v>2.0</v>
      </c>
      <c r="L634" s="1">
        <f t="shared" ref="L634:N634" si="1878">SUMPRODUCT($B634:$J634, INDEX($B$2:$J$4, L$10, 0)) + INDEX($K$2:$K$4, L$10,1)</f>
        <v>7.985185587</v>
      </c>
      <c r="M634" s="1">
        <f t="shared" si="1878"/>
        <v>7.568535274</v>
      </c>
      <c r="N634" s="1">
        <f t="shared" si="1878"/>
        <v>7.706424942</v>
      </c>
      <c r="O634" s="1">
        <f t="shared" ref="O634:Q634" si="1879">(L634-L$7)/(L$6-L$7)</f>
        <v>0.00206622008</v>
      </c>
      <c r="P634" s="1">
        <f t="shared" si="1879"/>
        <v>0.0006679091667</v>
      </c>
      <c r="Q634" s="1">
        <f t="shared" si="1879"/>
        <v>0.0003345273907</v>
      </c>
      <c r="R634" s="1">
        <f t="shared" ref="R634:T634" si="1880">1/(1+EXP(-O634))</f>
        <v>0.5005165548</v>
      </c>
      <c r="S634" s="1">
        <f t="shared" si="1880"/>
        <v>0.5001669773</v>
      </c>
      <c r="T634" s="1">
        <f t="shared" si="1880"/>
        <v>0.5000836318</v>
      </c>
      <c r="U634" s="1">
        <f t="shared" si="11"/>
        <v>2.475633899</v>
      </c>
      <c r="V634" s="1">
        <f t="shared" si="12"/>
        <v>0.226227606</v>
      </c>
      <c r="W634" s="1">
        <f t="shared" si="13"/>
        <v>2</v>
      </c>
      <c r="X634" s="1">
        <f t="shared" si="14"/>
        <v>0</v>
      </c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</row>
    <row r="635" ht="15.75" customHeight="1">
      <c r="A635" s="1"/>
      <c r="B635" s="7">
        <v>6.0</v>
      </c>
      <c r="C635" s="7">
        <v>3.0</v>
      </c>
      <c r="D635" s="7">
        <v>3.0</v>
      </c>
      <c r="E635" s="7">
        <v>3.0</v>
      </c>
      <c r="F635" s="7">
        <v>3.0</v>
      </c>
      <c r="G635" s="8">
        <v>2.0</v>
      </c>
      <c r="H635" s="7">
        <v>6.0</v>
      </c>
      <c r="I635" s="7">
        <v>1.0</v>
      </c>
      <c r="J635" s="7">
        <v>1.0</v>
      </c>
      <c r="K635" s="7">
        <v>2.0</v>
      </c>
      <c r="L635" s="1">
        <f t="shared" ref="L635:N635" si="1881">SUMPRODUCT($B635:$J635, INDEX($B$2:$J$4, L$10, 0)) + INDEX($K$2:$K$4, L$10,1)</f>
        <v>17.8196973</v>
      </c>
      <c r="M635" s="1">
        <f t="shared" si="1881"/>
        <v>16.7236684</v>
      </c>
      <c r="N635" s="1">
        <f t="shared" si="1881"/>
        <v>16.92128385</v>
      </c>
      <c r="O635" s="1">
        <f t="shared" ref="O635:Q635" si="1882">(L635-L$7)/(L$6-L$7)</f>
        <v>0.1628834379</v>
      </c>
      <c r="P635" s="1">
        <f t="shared" si="1882"/>
        <v>0.1574400314</v>
      </c>
      <c r="Q635" s="1">
        <f t="shared" si="1882"/>
        <v>0.1561638798</v>
      </c>
      <c r="R635" s="1">
        <f t="shared" ref="R635:T635" si="1883">1/(1+EXP(-O635))</f>
        <v>0.5406310672</v>
      </c>
      <c r="S635" s="1">
        <f t="shared" si="1883"/>
        <v>0.5392789063</v>
      </c>
      <c r="T635" s="1">
        <f t="shared" si="1883"/>
        <v>0.5389618214</v>
      </c>
      <c r="U635" s="1">
        <f t="shared" si="11"/>
        <v>2.670376582</v>
      </c>
      <c r="V635" s="1">
        <f t="shared" si="12"/>
        <v>0.4494047611</v>
      </c>
      <c r="W635" s="1">
        <f t="shared" si="13"/>
        <v>2</v>
      </c>
      <c r="X635" s="1">
        <f t="shared" si="14"/>
        <v>0</v>
      </c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</row>
    <row r="636" ht="15.75" customHeight="1">
      <c r="A636" s="1"/>
      <c r="B636" s="7">
        <v>4.0</v>
      </c>
      <c r="C636" s="7">
        <v>1.0</v>
      </c>
      <c r="D636" s="7">
        <v>1.0</v>
      </c>
      <c r="E636" s="7">
        <v>1.0</v>
      </c>
      <c r="F636" s="7">
        <v>2.0</v>
      </c>
      <c r="G636" s="8">
        <v>1.0</v>
      </c>
      <c r="H636" s="7">
        <v>1.0</v>
      </c>
      <c r="I636" s="7">
        <v>1.0</v>
      </c>
      <c r="J636" s="7">
        <v>1.0</v>
      </c>
      <c r="K636" s="7">
        <v>2.0</v>
      </c>
      <c r="L636" s="1">
        <f t="shared" ref="L636:N636" si="1884">SUMPRODUCT($B636:$J636, INDEX($B$2:$J$4, L$10, 0)) + INDEX($K$2:$K$4, L$10,1)</f>
        <v>7.968769431</v>
      </c>
      <c r="M636" s="1">
        <f t="shared" si="1884"/>
        <v>7.588037275</v>
      </c>
      <c r="N636" s="1">
        <f t="shared" si="1884"/>
        <v>7.716309919</v>
      </c>
      <c r="O636" s="1">
        <f t="shared" ref="O636:Q636" si="1885">(L636-L$7)/(L$6-L$7)</f>
        <v>0.001797777616</v>
      </c>
      <c r="P636" s="1">
        <f t="shared" si="1885"/>
        <v>0.001001860633</v>
      </c>
      <c r="Q636" s="1">
        <f t="shared" si="1885"/>
        <v>0.0005016888897</v>
      </c>
      <c r="R636" s="1">
        <f t="shared" ref="R636:T636" si="1886">1/(1+EXP(-O636))</f>
        <v>0.5004494443</v>
      </c>
      <c r="S636" s="1">
        <f t="shared" si="1886"/>
        <v>0.5002504651</v>
      </c>
      <c r="T636" s="1">
        <f t="shared" si="1886"/>
        <v>0.5001254222</v>
      </c>
      <c r="U636" s="1">
        <f t="shared" si="11"/>
        <v>2.475737126</v>
      </c>
      <c r="V636" s="1">
        <f t="shared" si="12"/>
        <v>0.2263258134</v>
      </c>
      <c r="W636" s="1">
        <f t="shared" si="13"/>
        <v>2</v>
      </c>
      <c r="X636" s="1">
        <f t="shared" si="14"/>
        <v>0</v>
      </c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</row>
    <row r="637" ht="15.75" customHeight="1">
      <c r="A637" s="1"/>
      <c r="B637" s="7">
        <v>3.0</v>
      </c>
      <c r="C637" s="7">
        <v>1.0</v>
      </c>
      <c r="D637" s="7">
        <v>4.0</v>
      </c>
      <c r="E637" s="7">
        <v>1.0</v>
      </c>
      <c r="F637" s="7">
        <v>2.0</v>
      </c>
      <c r="G637" s="8">
        <v>1.0</v>
      </c>
      <c r="H637" s="7">
        <v>1.0</v>
      </c>
      <c r="I637" s="7">
        <v>1.0</v>
      </c>
      <c r="J637" s="7">
        <v>1.0</v>
      </c>
      <c r="K637" s="7">
        <v>2.0</v>
      </c>
      <c r="L637" s="1">
        <f t="shared" ref="L637:N637" si="1887">SUMPRODUCT($B637:$J637, INDEX($B$2:$J$4, L$10, 0)) + INDEX($K$2:$K$4, L$10,1)</f>
        <v>12.59476488</v>
      </c>
      <c r="M637" s="1">
        <f t="shared" si="1887"/>
        <v>11.38247549</v>
      </c>
      <c r="N637" s="1">
        <f t="shared" si="1887"/>
        <v>12.25318081</v>
      </c>
      <c r="O637" s="1">
        <f t="shared" ref="O637:Q637" si="1888">(L637-L$7)/(L$6-L$7)</f>
        <v>0.0774435992</v>
      </c>
      <c r="P637" s="1">
        <f t="shared" si="1888"/>
        <v>0.06597766413</v>
      </c>
      <c r="Q637" s="1">
        <f t="shared" si="1888"/>
        <v>0.07722317314</v>
      </c>
      <c r="R637" s="1">
        <f t="shared" ref="R637:T637" si="1889">1/(1+EXP(-O637))</f>
        <v>0.5193512292</v>
      </c>
      <c r="S637" s="1">
        <f t="shared" si="1889"/>
        <v>0.5164884352</v>
      </c>
      <c r="T637" s="1">
        <f t="shared" si="1889"/>
        <v>0.519296205</v>
      </c>
      <c r="U637" s="1">
        <f t="shared" si="11"/>
        <v>2.565345325</v>
      </c>
      <c r="V637" s="1">
        <f t="shared" si="12"/>
        <v>0.3196153366</v>
      </c>
      <c r="W637" s="1">
        <f t="shared" si="13"/>
        <v>2</v>
      </c>
      <c r="X637" s="1">
        <f t="shared" si="14"/>
        <v>0</v>
      </c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</row>
    <row r="638" ht="15.75" customHeight="1">
      <c r="A638" s="1"/>
      <c r="B638" s="7">
        <v>1.0</v>
      </c>
      <c r="C638" s="7">
        <v>2.0</v>
      </c>
      <c r="D638" s="7">
        <v>2.0</v>
      </c>
      <c r="E638" s="7">
        <v>1.0</v>
      </c>
      <c r="F638" s="7">
        <v>2.0</v>
      </c>
      <c r="G638" s="8">
        <v>1.0</v>
      </c>
      <c r="H638" s="7">
        <v>1.0</v>
      </c>
      <c r="I638" s="7">
        <v>1.0</v>
      </c>
      <c r="J638" s="7">
        <v>1.0</v>
      </c>
      <c r="K638" s="7">
        <v>2.0</v>
      </c>
      <c r="L638" s="1">
        <f t="shared" ref="L638:N638" si="1890">SUMPRODUCT($B638:$J638, INDEX($B$2:$J$4, L$10, 0)) + INDEX($K$2:$K$4, L$10,1)</f>
        <v>11.06385405</v>
      </c>
      <c r="M638" s="1">
        <f t="shared" si="1890"/>
        <v>10.44981786</v>
      </c>
      <c r="N638" s="1">
        <f t="shared" si="1890"/>
        <v>10.60884082</v>
      </c>
      <c r="O638" s="1">
        <f t="shared" ref="O638:Q638" si="1891">(L638-L$7)/(L$6-L$7)</f>
        <v>0.05240963437</v>
      </c>
      <c r="P638" s="1">
        <f t="shared" si="1891"/>
        <v>0.05000687339</v>
      </c>
      <c r="Q638" s="1">
        <f t="shared" si="1891"/>
        <v>0.04941629754</v>
      </c>
      <c r="R638" s="1">
        <f t="shared" ref="R638:T638" si="1892">1/(1+EXP(-O638))</f>
        <v>0.5130994103</v>
      </c>
      <c r="S638" s="1">
        <f t="shared" si="1892"/>
        <v>0.5124991138</v>
      </c>
      <c r="T638" s="1">
        <f t="shared" si="1892"/>
        <v>0.512351561</v>
      </c>
      <c r="U638" s="1">
        <f t="shared" si="11"/>
        <v>2.536949763</v>
      </c>
      <c r="V638" s="1">
        <f t="shared" si="12"/>
        <v>0.288315048</v>
      </c>
      <c r="W638" s="1">
        <f t="shared" si="13"/>
        <v>2</v>
      </c>
      <c r="X638" s="1">
        <f t="shared" si="14"/>
        <v>0</v>
      </c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</row>
    <row r="639" ht="15.75" customHeight="1">
      <c r="A639" s="1"/>
      <c r="B639" s="7">
        <v>1.0</v>
      </c>
      <c r="C639" s="7">
        <v>1.0</v>
      </c>
      <c r="D639" s="7">
        <v>1.0</v>
      </c>
      <c r="E639" s="7">
        <v>1.0</v>
      </c>
      <c r="F639" s="7">
        <v>2.0</v>
      </c>
      <c r="G639" s="8">
        <v>1.0</v>
      </c>
      <c r="H639" s="7">
        <v>1.0</v>
      </c>
      <c r="I639" s="7">
        <v>1.0</v>
      </c>
      <c r="J639" s="7">
        <v>1.0</v>
      </c>
      <c r="K639" s="7">
        <v>2.0</v>
      </c>
      <c r="L639" s="1">
        <f t="shared" ref="L639:N639" si="1893">SUMPRODUCT($B639:$J639, INDEX($B$2:$J$4, L$10, 0)) + INDEX($K$2:$K$4, L$10,1)</f>
        <v>7.921139731</v>
      </c>
      <c r="M639" s="1">
        <f t="shared" si="1893"/>
        <v>7.529531272</v>
      </c>
      <c r="N639" s="1">
        <f t="shared" si="1893"/>
        <v>7.6866429</v>
      </c>
      <c r="O639" s="1">
        <f t="shared" ref="O639:Q639" si="1894">(L639-L$7)/(L$6-L$7)</f>
        <v>0.001018920854</v>
      </c>
      <c r="P639" s="1">
        <f t="shared" si="1894"/>
        <v>0.000000006234892308</v>
      </c>
      <c r="Q639" s="1">
        <f t="shared" si="1894"/>
        <v>0</v>
      </c>
      <c r="R639" s="1">
        <f t="shared" ref="R639:T639" si="1895">1/(1+EXP(-O639))</f>
        <v>0.5002547302</v>
      </c>
      <c r="S639" s="1">
        <f t="shared" si="1895"/>
        <v>0.5000000016</v>
      </c>
      <c r="T639" s="1">
        <f t="shared" si="1895"/>
        <v>0.5</v>
      </c>
      <c r="U639" s="1">
        <f t="shared" si="11"/>
        <v>2.474800478</v>
      </c>
      <c r="V639" s="1">
        <f t="shared" si="12"/>
        <v>0.2254354935</v>
      </c>
      <c r="W639" s="1">
        <f t="shared" si="13"/>
        <v>2</v>
      </c>
      <c r="X639" s="1">
        <f t="shared" si="14"/>
        <v>0</v>
      </c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</row>
    <row r="640" ht="15.75" customHeight="1">
      <c r="A640" s="1"/>
      <c r="B640" s="7">
        <v>5.0</v>
      </c>
      <c r="C640" s="7">
        <v>1.0</v>
      </c>
      <c r="D640" s="7">
        <v>1.0</v>
      </c>
      <c r="E640" s="7">
        <v>1.0</v>
      </c>
      <c r="F640" s="7">
        <v>2.0</v>
      </c>
      <c r="G640" s="8">
        <v>1.0</v>
      </c>
      <c r="H640" s="7">
        <v>3.0</v>
      </c>
      <c r="I640" s="7">
        <v>1.0</v>
      </c>
      <c r="J640" s="7">
        <v>1.0</v>
      </c>
      <c r="K640" s="7">
        <v>2.0</v>
      </c>
      <c r="L640" s="1">
        <f t="shared" ref="L640:N640" si="1896">SUMPRODUCT($B640:$J640, INDEX($B$2:$J$4, L$10, 0)) + INDEX($K$2:$K$4, L$10,1)</f>
        <v>8.049231444</v>
      </c>
      <c r="M640" s="1">
        <f t="shared" si="1896"/>
        <v>7.607539277</v>
      </c>
      <c r="N640" s="1">
        <f t="shared" si="1896"/>
        <v>7.726206983</v>
      </c>
      <c r="O640" s="1">
        <f t="shared" ref="O640:Q640" si="1897">(L640-L$7)/(L$6-L$7)</f>
        <v>0.003113519306</v>
      </c>
      <c r="P640" s="1">
        <f t="shared" si="1897"/>
        <v>0.001335812098</v>
      </c>
      <c r="Q640" s="1">
        <f t="shared" si="1897"/>
        <v>0.0006690547814</v>
      </c>
      <c r="R640" s="1">
        <f t="shared" ref="R640:T640" si="1898">1/(1+EXP(-O640))</f>
        <v>0.5007783792</v>
      </c>
      <c r="S640" s="1">
        <f t="shared" si="1898"/>
        <v>0.500333953</v>
      </c>
      <c r="T640" s="1">
        <f t="shared" si="1898"/>
        <v>0.5001672637</v>
      </c>
      <c r="U640" s="1">
        <f t="shared" si="11"/>
        <v>2.47646732</v>
      </c>
      <c r="V640" s="1">
        <f t="shared" si="12"/>
        <v>0.2270211071</v>
      </c>
      <c r="W640" s="1">
        <f t="shared" si="13"/>
        <v>2</v>
      </c>
      <c r="X640" s="1">
        <f t="shared" si="14"/>
        <v>0</v>
      </c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</row>
    <row r="641" ht="15.75" customHeight="1">
      <c r="A641" s="1"/>
      <c r="B641" s="7">
        <v>4.0</v>
      </c>
      <c r="C641" s="7">
        <v>1.0</v>
      </c>
      <c r="D641" s="7">
        <v>1.0</v>
      </c>
      <c r="E641" s="7">
        <v>1.0</v>
      </c>
      <c r="F641" s="7">
        <v>2.0</v>
      </c>
      <c r="G641" s="8">
        <v>3.0</v>
      </c>
      <c r="H641" s="7">
        <v>1.0</v>
      </c>
      <c r="I641" s="7">
        <v>1.0</v>
      </c>
      <c r="J641" s="7">
        <v>1.0</v>
      </c>
      <c r="K641" s="7">
        <v>2.0</v>
      </c>
      <c r="L641" s="1">
        <f t="shared" ref="L641:N641" si="1899">SUMPRODUCT($B641:$J641, INDEX($B$2:$J$4, L$10, 0)) + INDEX($K$2:$K$4, L$10,1)</f>
        <v>14.46045114</v>
      </c>
      <c r="M641" s="1">
        <f t="shared" si="1899"/>
        <v>14.10014444</v>
      </c>
      <c r="N641" s="1">
        <f t="shared" si="1899"/>
        <v>14.38667673</v>
      </c>
      <c r="O641" s="1">
        <f t="shared" ref="O641:Q641" si="1900">(L641-L$7)/(L$6-L$7)</f>
        <v>0.1079519236</v>
      </c>
      <c r="P641" s="1">
        <f t="shared" si="1900"/>
        <v>0.1125149153</v>
      </c>
      <c r="Q641" s="1">
        <f t="shared" si="1900"/>
        <v>0.1133019988</v>
      </c>
      <c r="R641" s="1">
        <f t="shared" ref="R641:T641" si="1901">1/(1+EXP(-O641))</f>
        <v>0.5269618024</v>
      </c>
      <c r="S641" s="1">
        <f t="shared" si="1901"/>
        <v>0.5280990915</v>
      </c>
      <c r="T641" s="1">
        <f t="shared" si="1901"/>
        <v>0.5282952365</v>
      </c>
      <c r="U641" s="1">
        <f t="shared" si="11"/>
        <v>2.611990387</v>
      </c>
      <c r="V641" s="1">
        <f t="shared" si="12"/>
        <v>0.3745322336</v>
      </c>
      <c r="W641" s="1">
        <f t="shared" si="13"/>
        <v>2</v>
      </c>
      <c r="X641" s="1">
        <f t="shared" si="14"/>
        <v>0</v>
      </c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</row>
    <row r="642" ht="15.75" customHeight="1">
      <c r="A642" s="1"/>
      <c r="B642" s="7">
        <v>10.0</v>
      </c>
      <c r="C642" s="7">
        <v>4.0</v>
      </c>
      <c r="D642" s="7">
        <v>4.0</v>
      </c>
      <c r="E642" s="7">
        <v>10.0</v>
      </c>
      <c r="F642" s="7">
        <v>2.0</v>
      </c>
      <c r="G642" s="8">
        <v>10.0</v>
      </c>
      <c r="H642" s="7">
        <v>5.0</v>
      </c>
      <c r="I642" s="7">
        <v>3.0</v>
      </c>
      <c r="J642" s="7">
        <v>3.0</v>
      </c>
      <c r="K642" s="7">
        <v>4.0</v>
      </c>
      <c r="L642" s="1">
        <f t="shared" ref="L642:N642" si="1902">SUMPRODUCT($B642:$J642, INDEX($B$2:$J$4, L$10, 0)) + INDEX($K$2:$K$4, L$10,1)</f>
        <v>47.69173927</v>
      </c>
      <c r="M642" s="1">
        <f t="shared" si="1902"/>
        <v>46.35597539</v>
      </c>
      <c r="N642" s="1">
        <f t="shared" si="1902"/>
        <v>47.18489806</v>
      </c>
      <c r="O642" s="1">
        <f t="shared" ref="O642:Q642" si="1903">(L642-L$7)/(L$6-L$7)</f>
        <v>0.6513610385</v>
      </c>
      <c r="P642" s="1">
        <f t="shared" si="1903"/>
        <v>0.6648624347</v>
      </c>
      <c r="Q642" s="1">
        <f t="shared" si="1903"/>
        <v>0.6679415914</v>
      </c>
      <c r="R642" s="1">
        <f t="shared" ref="R642:T642" si="1904">1/(1+EXP(-O642))</f>
        <v>0.657317104</v>
      </c>
      <c r="S642" s="1">
        <f t="shared" si="1904"/>
        <v>0.6603518196</v>
      </c>
      <c r="T642" s="1">
        <f t="shared" si="1904"/>
        <v>0.661042094</v>
      </c>
      <c r="U642" s="1">
        <f t="shared" si="11"/>
        <v>3.26432668</v>
      </c>
      <c r="V642" s="1">
        <f t="shared" si="12"/>
        <v>0.5412152342</v>
      </c>
      <c r="W642" s="1">
        <f t="shared" si="13"/>
        <v>4</v>
      </c>
      <c r="X642" s="1">
        <f t="shared" si="14"/>
        <v>0</v>
      </c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</row>
    <row r="643" ht="15.75" customHeight="1">
      <c r="A643" s="1"/>
      <c r="B643" s="7">
        <v>1.0</v>
      </c>
      <c r="C643" s="7">
        <v>1.0</v>
      </c>
      <c r="D643" s="7">
        <v>1.0</v>
      </c>
      <c r="E643" s="7">
        <v>1.0</v>
      </c>
      <c r="F643" s="7">
        <v>2.0</v>
      </c>
      <c r="G643" s="8">
        <v>1.0</v>
      </c>
      <c r="H643" s="7">
        <v>3.0</v>
      </c>
      <c r="I643" s="7">
        <v>1.0</v>
      </c>
      <c r="J643" s="7">
        <v>1.0</v>
      </c>
      <c r="K643" s="7">
        <v>2.0</v>
      </c>
      <c r="L643" s="1">
        <f t="shared" ref="L643:N643" si="1905">SUMPRODUCT($B643:$J643, INDEX($B$2:$J$4, L$10, 0)) + INDEX($K$2:$K$4, L$10,1)</f>
        <v>7.985725177</v>
      </c>
      <c r="M643" s="1">
        <f t="shared" si="1905"/>
        <v>7.529531272</v>
      </c>
      <c r="N643" s="1">
        <f t="shared" si="1905"/>
        <v>7.686650958</v>
      </c>
      <c r="O643" s="1">
        <f t="shared" ref="O643:Q643" si="1906">(L643-L$7)/(L$6-L$7)</f>
        <v>0.002075043622</v>
      </c>
      <c r="P643" s="1">
        <f t="shared" si="1906"/>
        <v>0.000000006234892308</v>
      </c>
      <c r="Q643" s="1">
        <f t="shared" si="1906"/>
        <v>0.0000001362617963</v>
      </c>
      <c r="R643" s="1">
        <f t="shared" ref="R643:T643" si="1907">1/(1+EXP(-O643))</f>
        <v>0.5005187607</v>
      </c>
      <c r="S643" s="1">
        <f t="shared" si="1907"/>
        <v>0.5000000016</v>
      </c>
      <c r="T643" s="1">
        <f t="shared" si="1907"/>
        <v>0.5000000341</v>
      </c>
      <c r="U643" s="1">
        <f t="shared" si="11"/>
        <v>2.475218456</v>
      </c>
      <c r="V643" s="1">
        <f t="shared" si="12"/>
        <v>0.2258325805</v>
      </c>
      <c r="W643" s="1">
        <f t="shared" si="13"/>
        <v>2</v>
      </c>
      <c r="X643" s="1">
        <f t="shared" si="14"/>
        <v>0</v>
      </c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</row>
    <row r="644" ht="15.75" customHeight="1">
      <c r="A644" s="1"/>
      <c r="B644" s="7">
        <v>8.0</v>
      </c>
      <c r="C644" s="7">
        <v>6.0</v>
      </c>
      <c r="D644" s="7">
        <v>4.0</v>
      </c>
      <c r="E644" s="7">
        <v>10.0</v>
      </c>
      <c r="F644" s="7">
        <v>10.0</v>
      </c>
      <c r="G644" s="8">
        <v>1.0</v>
      </c>
      <c r="H644" s="7">
        <v>3.0</v>
      </c>
      <c r="I644" s="7">
        <v>5.0</v>
      </c>
      <c r="J644" s="7">
        <v>1.0</v>
      </c>
      <c r="K644" s="7">
        <v>4.0</v>
      </c>
      <c r="L644" s="1">
        <f t="shared" ref="L644:N644" si="1908">SUMPRODUCT($B644:$J644, INDEX($B$2:$J$4, L$10, 0)) + INDEX($K$2:$K$4, L$10,1)</f>
        <v>22.64140222</v>
      </c>
      <c r="M644" s="1">
        <f t="shared" si="1908"/>
        <v>20.89602251</v>
      </c>
      <c r="N644" s="1">
        <f t="shared" si="1908"/>
        <v>20.56249314</v>
      </c>
      <c r="O644" s="1">
        <f t="shared" ref="O644:Q644" si="1909">(L644-L$7)/(L$6-L$7)</f>
        <v>0.2417295661</v>
      </c>
      <c r="P644" s="1">
        <f t="shared" si="1909"/>
        <v>0.2288872512</v>
      </c>
      <c r="Q644" s="1">
        <f t="shared" si="1909"/>
        <v>0.2177391347</v>
      </c>
      <c r="R644" s="1">
        <f t="shared" ref="R644:T644" si="1910">1/(1+EXP(-O644))</f>
        <v>0.5601398295</v>
      </c>
      <c r="S644" s="1">
        <f t="shared" si="1910"/>
        <v>0.5569732968</v>
      </c>
      <c r="T644" s="1">
        <f t="shared" si="1910"/>
        <v>0.5542207342</v>
      </c>
      <c r="U644" s="1">
        <f t="shared" si="11"/>
        <v>2.756634487</v>
      </c>
      <c r="V644" s="1">
        <f t="shared" si="12"/>
        <v>1.545957798</v>
      </c>
      <c r="W644" s="1">
        <f t="shared" si="13"/>
        <v>2</v>
      </c>
      <c r="X644" s="1">
        <f t="shared" si="14"/>
        <v>1</v>
      </c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</row>
    <row r="645" ht="15.75" customHeight="1">
      <c r="A645" s="1"/>
      <c r="B645" s="7">
        <v>3.0</v>
      </c>
      <c r="C645" s="7">
        <v>10.0</v>
      </c>
      <c r="D645" s="7">
        <v>8.0</v>
      </c>
      <c r="E645" s="7">
        <v>7.0</v>
      </c>
      <c r="F645" s="7">
        <v>6.0</v>
      </c>
      <c r="G645" s="8">
        <v>9.0</v>
      </c>
      <c r="H645" s="7">
        <v>9.0</v>
      </c>
      <c r="I645" s="7">
        <v>3.0</v>
      </c>
      <c r="J645" s="7">
        <v>8.0</v>
      </c>
      <c r="K645" s="7">
        <v>4.0</v>
      </c>
      <c r="L645" s="1">
        <f t="shared" ref="L645:N645" si="1911">SUMPRODUCT($B645:$J645, INDEX($B$2:$J$4, L$10, 0)) + INDEX($K$2:$K$4, L$10,1)</f>
        <v>60.37868284</v>
      </c>
      <c r="M645" s="1">
        <f t="shared" si="1911"/>
        <v>57.94250198</v>
      </c>
      <c r="N645" s="1">
        <f t="shared" si="1911"/>
        <v>58.2741272</v>
      </c>
      <c r="O645" s="1">
        <f t="shared" ref="O645:Q645" si="1912">(L645-L$7)/(L$6-L$7)</f>
        <v>0.8588221741</v>
      </c>
      <c r="P645" s="1">
        <f t="shared" si="1912"/>
        <v>0.8632696383</v>
      </c>
      <c r="Q645" s="1">
        <f t="shared" si="1912"/>
        <v>0.8554677828</v>
      </c>
      <c r="R645" s="1">
        <f t="shared" ref="R645:T645" si="1913">1/(1+EXP(-O645))</f>
        <v>0.702414514</v>
      </c>
      <c r="S645" s="1">
        <f t="shared" si="1913"/>
        <v>0.7033433225</v>
      </c>
      <c r="T645" s="1">
        <f t="shared" si="1913"/>
        <v>0.7017128754</v>
      </c>
      <c r="U645" s="1">
        <f t="shared" si="11"/>
        <v>3.476433203</v>
      </c>
      <c r="V645" s="1">
        <f t="shared" si="12"/>
        <v>0.2741221914</v>
      </c>
      <c r="W645" s="1">
        <f t="shared" si="13"/>
        <v>4</v>
      </c>
      <c r="X645" s="1">
        <f t="shared" si="14"/>
        <v>0</v>
      </c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</row>
    <row r="646" ht="15.75" customHeight="1">
      <c r="A646" s="1"/>
      <c r="B646" s="7">
        <v>5.0</v>
      </c>
      <c r="C646" s="7">
        <v>1.0</v>
      </c>
      <c r="D646" s="7">
        <v>1.0</v>
      </c>
      <c r="E646" s="7">
        <v>1.0</v>
      </c>
      <c r="F646" s="7">
        <v>2.0</v>
      </c>
      <c r="G646" s="8">
        <v>1.0</v>
      </c>
      <c r="H646" s="7">
        <v>2.0</v>
      </c>
      <c r="I646" s="7">
        <v>1.0</v>
      </c>
      <c r="J646" s="7">
        <v>1.0</v>
      </c>
      <c r="K646" s="7">
        <v>2.0</v>
      </c>
      <c r="L646" s="1">
        <f t="shared" ref="L646:N646" si="1914">SUMPRODUCT($B646:$J646, INDEX($B$2:$J$4, L$10, 0)) + INDEX($K$2:$K$4, L$10,1)</f>
        <v>8.016938721</v>
      </c>
      <c r="M646" s="1">
        <f t="shared" si="1914"/>
        <v>7.607539277</v>
      </c>
      <c r="N646" s="1">
        <f t="shared" si="1914"/>
        <v>7.726202954</v>
      </c>
      <c r="O646" s="1">
        <f t="shared" ref="O646:Q646" si="1915">(L646-L$7)/(L$6-L$7)</f>
        <v>0.002585457921</v>
      </c>
      <c r="P646" s="1">
        <f t="shared" si="1915"/>
        <v>0.001335812098</v>
      </c>
      <c r="Q646" s="1">
        <f t="shared" si="1915"/>
        <v>0.0006689866505</v>
      </c>
      <c r="R646" s="1">
        <f t="shared" ref="R646:T646" si="1916">1/(1+EXP(-O646))</f>
        <v>0.5006463641</v>
      </c>
      <c r="S646" s="1">
        <f t="shared" si="1916"/>
        <v>0.500333953</v>
      </c>
      <c r="T646" s="1">
        <f t="shared" si="1916"/>
        <v>0.5001672467</v>
      </c>
      <c r="U646" s="1">
        <f t="shared" si="11"/>
        <v>2.476258331</v>
      </c>
      <c r="V646" s="1">
        <f t="shared" si="12"/>
        <v>0.2268219982</v>
      </c>
      <c r="W646" s="1">
        <f t="shared" si="13"/>
        <v>2</v>
      </c>
      <c r="X646" s="1">
        <f t="shared" si="14"/>
        <v>0</v>
      </c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</row>
    <row r="647" ht="15.75" customHeight="1">
      <c r="A647" s="1"/>
      <c r="B647" s="7">
        <v>4.0</v>
      </c>
      <c r="C647" s="7">
        <v>1.0</v>
      </c>
      <c r="D647" s="7">
        <v>1.0</v>
      </c>
      <c r="E647" s="7">
        <v>1.0</v>
      </c>
      <c r="F647" s="7">
        <v>2.0</v>
      </c>
      <c r="G647" s="8">
        <v>1.0</v>
      </c>
      <c r="H647" s="7">
        <v>1.0</v>
      </c>
      <c r="I647" s="7">
        <v>1.0</v>
      </c>
      <c r="J647" s="7">
        <v>1.0</v>
      </c>
      <c r="K647" s="7">
        <v>2.0</v>
      </c>
      <c r="L647" s="1">
        <f t="shared" ref="L647:N647" si="1917">SUMPRODUCT($B647:$J647, INDEX($B$2:$J$4, L$10, 0)) + INDEX($K$2:$K$4, L$10,1)</f>
        <v>7.968769431</v>
      </c>
      <c r="M647" s="1">
        <f t="shared" si="1917"/>
        <v>7.588037275</v>
      </c>
      <c r="N647" s="1">
        <f t="shared" si="1917"/>
        <v>7.716309919</v>
      </c>
      <c r="O647" s="1">
        <f t="shared" ref="O647:Q647" si="1918">(L647-L$7)/(L$6-L$7)</f>
        <v>0.001797777616</v>
      </c>
      <c r="P647" s="1">
        <f t="shared" si="1918"/>
        <v>0.001001860633</v>
      </c>
      <c r="Q647" s="1">
        <f t="shared" si="1918"/>
        <v>0.0005016888897</v>
      </c>
      <c r="R647" s="1">
        <f t="shared" ref="R647:T647" si="1919">1/(1+EXP(-O647))</f>
        <v>0.5004494443</v>
      </c>
      <c r="S647" s="1">
        <f t="shared" si="1919"/>
        <v>0.5002504651</v>
      </c>
      <c r="T647" s="1">
        <f t="shared" si="1919"/>
        <v>0.5001254222</v>
      </c>
      <c r="U647" s="1">
        <f t="shared" si="11"/>
        <v>2.475737126</v>
      </c>
      <c r="V647" s="1">
        <f t="shared" si="12"/>
        <v>0.2263258134</v>
      </c>
      <c r="W647" s="1">
        <f t="shared" si="13"/>
        <v>2</v>
      </c>
      <c r="X647" s="1">
        <f t="shared" si="14"/>
        <v>0</v>
      </c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</row>
    <row r="648" ht="15.75" customHeight="1">
      <c r="A648" s="1"/>
      <c r="B648" s="7">
        <v>3.0</v>
      </c>
      <c r="C648" s="7">
        <v>1.0</v>
      </c>
      <c r="D648" s="7">
        <v>1.0</v>
      </c>
      <c r="E648" s="7">
        <v>1.0</v>
      </c>
      <c r="F648" s="7">
        <v>2.0</v>
      </c>
      <c r="G648" s="8">
        <v>1.0</v>
      </c>
      <c r="H648" s="7">
        <v>1.0</v>
      </c>
      <c r="I648" s="7">
        <v>1.0</v>
      </c>
      <c r="J648" s="7">
        <v>1.0</v>
      </c>
      <c r="K648" s="7">
        <v>2.0</v>
      </c>
      <c r="L648" s="1">
        <f t="shared" ref="L648:N648" si="1920">SUMPRODUCT($B648:$J648, INDEX($B$2:$J$4, L$10, 0)) + INDEX($K$2:$K$4, L$10,1)</f>
        <v>7.952892864</v>
      </c>
      <c r="M648" s="1">
        <f t="shared" si="1920"/>
        <v>7.568535274</v>
      </c>
      <c r="N648" s="1">
        <f t="shared" si="1920"/>
        <v>7.706420913</v>
      </c>
      <c r="O648" s="1">
        <f t="shared" ref="O648:Q648" si="1921">(L648-L$7)/(L$6-L$7)</f>
        <v>0.001538158696</v>
      </c>
      <c r="P648" s="1">
        <f t="shared" si="1921"/>
        <v>0.0006679091667</v>
      </c>
      <c r="Q648" s="1">
        <f t="shared" si="1921"/>
        <v>0.0003344592598</v>
      </c>
      <c r="R648" s="1">
        <f t="shared" ref="R648:T648" si="1922">1/(1+EXP(-O648))</f>
        <v>0.5003845396</v>
      </c>
      <c r="S648" s="1">
        <f t="shared" si="1922"/>
        <v>0.5001669773</v>
      </c>
      <c r="T648" s="1">
        <f t="shared" si="1922"/>
        <v>0.5000836148</v>
      </c>
      <c r="U648" s="1">
        <f t="shared" si="11"/>
        <v>2.47542491</v>
      </c>
      <c r="V648" s="1">
        <f t="shared" si="12"/>
        <v>0.2260288452</v>
      </c>
      <c r="W648" s="1">
        <f t="shared" si="13"/>
        <v>2</v>
      </c>
      <c r="X648" s="1">
        <f t="shared" si="14"/>
        <v>0</v>
      </c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</row>
    <row r="649" ht="15.75" customHeight="1">
      <c r="A649" s="1"/>
      <c r="B649" s="7">
        <v>4.0</v>
      </c>
      <c r="C649" s="7">
        <v>1.0</v>
      </c>
      <c r="D649" s="7">
        <v>1.0</v>
      </c>
      <c r="E649" s="7">
        <v>1.0</v>
      </c>
      <c r="F649" s="7">
        <v>2.0</v>
      </c>
      <c r="G649" s="8">
        <v>1.0</v>
      </c>
      <c r="H649" s="7">
        <v>2.0</v>
      </c>
      <c r="I649" s="7">
        <v>1.0</v>
      </c>
      <c r="J649" s="7">
        <v>1.0</v>
      </c>
      <c r="K649" s="7">
        <v>2.0</v>
      </c>
      <c r="L649" s="1">
        <f t="shared" ref="L649:N649" si="1923">SUMPRODUCT($B649:$J649, INDEX($B$2:$J$4, L$10, 0)) + INDEX($K$2:$K$4, L$10,1)</f>
        <v>8.001062154</v>
      </c>
      <c r="M649" s="1">
        <f t="shared" si="1923"/>
        <v>7.588037275</v>
      </c>
      <c r="N649" s="1">
        <f t="shared" si="1923"/>
        <v>7.716313948</v>
      </c>
      <c r="O649" s="1">
        <f t="shared" ref="O649:Q649" si="1924">(L649-L$7)/(L$6-L$7)</f>
        <v>0.002325839001</v>
      </c>
      <c r="P649" s="1">
        <f t="shared" si="1924"/>
        <v>0.001001860633</v>
      </c>
      <c r="Q649" s="1">
        <f t="shared" si="1924"/>
        <v>0.0005017570206</v>
      </c>
      <c r="R649" s="1">
        <f t="shared" ref="R649:T649" si="1925">1/(1+EXP(-O649))</f>
        <v>0.5005814595</v>
      </c>
      <c r="S649" s="1">
        <f t="shared" si="1925"/>
        <v>0.5002504651</v>
      </c>
      <c r="T649" s="1">
        <f t="shared" si="1925"/>
        <v>0.5001254393</v>
      </c>
      <c r="U649" s="1">
        <f t="shared" si="11"/>
        <v>2.475946115</v>
      </c>
      <c r="V649" s="1">
        <f t="shared" si="12"/>
        <v>0.2265247046</v>
      </c>
      <c r="W649" s="1">
        <f t="shared" si="13"/>
        <v>2</v>
      </c>
      <c r="X649" s="1">
        <f t="shared" si="14"/>
        <v>0</v>
      </c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</row>
    <row r="650" ht="15.75" customHeight="1">
      <c r="A650" s="1"/>
      <c r="B650" s="7">
        <v>4.0</v>
      </c>
      <c r="C650" s="7">
        <v>1.0</v>
      </c>
      <c r="D650" s="7">
        <v>1.0</v>
      </c>
      <c r="E650" s="7">
        <v>1.0</v>
      </c>
      <c r="F650" s="7">
        <v>2.0</v>
      </c>
      <c r="G650" s="8">
        <v>1.0</v>
      </c>
      <c r="H650" s="7">
        <v>1.0</v>
      </c>
      <c r="I650" s="7">
        <v>1.0</v>
      </c>
      <c r="J650" s="7">
        <v>1.0</v>
      </c>
      <c r="K650" s="7">
        <v>2.0</v>
      </c>
      <c r="L650" s="1">
        <f t="shared" ref="L650:N650" si="1926">SUMPRODUCT($B650:$J650, INDEX($B$2:$J$4, L$10, 0)) + INDEX($K$2:$K$4, L$10,1)</f>
        <v>7.968769431</v>
      </c>
      <c r="M650" s="1">
        <f t="shared" si="1926"/>
        <v>7.588037275</v>
      </c>
      <c r="N650" s="1">
        <f t="shared" si="1926"/>
        <v>7.716309919</v>
      </c>
      <c r="O650" s="1">
        <f t="shared" ref="O650:Q650" si="1927">(L650-L$7)/(L$6-L$7)</f>
        <v>0.001797777616</v>
      </c>
      <c r="P650" s="1">
        <f t="shared" si="1927"/>
        <v>0.001001860633</v>
      </c>
      <c r="Q650" s="1">
        <f t="shared" si="1927"/>
        <v>0.0005016888897</v>
      </c>
      <c r="R650" s="1">
        <f t="shared" ref="R650:T650" si="1928">1/(1+EXP(-O650))</f>
        <v>0.5004494443</v>
      </c>
      <c r="S650" s="1">
        <f t="shared" si="1928"/>
        <v>0.5002504651</v>
      </c>
      <c r="T650" s="1">
        <f t="shared" si="1928"/>
        <v>0.5001254222</v>
      </c>
      <c r="U650" s="1">
        <f t="shared" si="11"/>
        <v>2.475737126</v>
      </c>
      <c r="V650" s="1">
        <f t="shared" si="12"/>
        <v>0.2263258134</v>
      </c>
      <c r="W650" s="1">
        <f t="shared" si="13"/>
        <v>2</v>
      </c>
      <c r="X650" s="1">
        <f t="shared" si="14"/>
        <v>0</v>
      </c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</row>
    <row r="651" ht="15.75" customHeight="1">
      <c r="A651" s="1"/>
      <c r="B651" s="7">
        <v>1.0</v>
      </c>
      <c r="C651" s="7">
        <v>1.0</v>
      </c>
      <c r="D651" s="7">
        <v>1.0</v>
      </c>
      <c r="E651" s="7">
        <v>1.0</v>
      </c>
      <c r="F651" s="7">
        <v>2.0</v>
      </c>
      <c r="G651" s="8">
        <v>1.0</v>
      </c>
      <c r="H651" s="7">
        <v>1.0</v>
      </c>
      <c r="I651" s="7">
        <v>1.0</v>
      </c>
      <c r="J651" s="7">
        <v>1.0</v>
      </c>
      <c r="K651" s="7">
        <v>2.0</v>
      </c>
      <c r="L651" s="1">
        <f t="shared" ref="L651:N651" si="1929">SUMPRODUCT($B651:$J651, INDEX($B$2:$J$4, L$10, 0)) + INDEX($K$2:$K$4, L$10,1)</f>
        <v>7.921139731</v>
      </c>
      <c r="M651" s="1">
        <f t="shared" si="1929"/>
        <v>7.529531272</v>
      </c>
      <c r="N651" s="1">
        <f t="shared" si="1929"/>
        <v>7.6866429</v>
      </c>
      <c r="O651" s="1">
        <f t="shared" ref="O651:Q651" si="1930">(L651-L$7)/(L$6-L$7)</f>
        <v>0.001018920854</v>
      </c>
      <c r="P651" s="1">
        <f t="shared" si="1930"/>
        <v>0.000000006234892308</v>
      </c>
      <c r="Q651" s="1">
        <f t="shared" si="1930"/>
        <v>0</v>
      </c>
      <c r="R651" s="1">
        <f t="shared" ref="R651:T651" si="1931">1/(1+EXP(-O651))</f>
        <v>0.5002547302</v>
      </c>
      <c r="S651" s="1">
        <f t="shared" si="1931"/>
        <v>0.5000000016</v>
      </c>
      <c r="T651" s="1">
        <f t="shared" si="1931"/>
        <v>0.5</v>
      </c>
      <c r="U651" s="1">
        <f t="shared" si="11"/>
        <v>2.474800478</v>
      </c>
      <c r="V651" s="1">
        <f t="shared" si="12"/>
        <v>0.2254354935</v>
      </c>
      <c r="W651" s="1">
        <f t="shared" si="13"/>
        <v>2</v>
      </c>
      <c r="X651" s="1">
        <f t="shared" si="14"/>
        <v>0</v>
      </c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</row>
    <row r="652" ht="15.75" customHeight="1">
      <c r="A652" s="1"/>
      <c r="B652" s="7">
        <v>1.0</v>
      </c>
      <c r="C652" s="7">
        <v>1.0</v>
      </c>
      <c r="D652" s="7">
        <v>1.0</v>
      </c>
      <c r="E652" s="7">
        <v>1.0</v>
      </c>
      <c r="F652" s="7">
        <v>2.0</v>
      </c>
      <c r="G652" s="8">
        <v>1.0</v>
      </c>
      <c r="H652" s="7">
        <v>1.0</v>
      </c>
      <c r="I652" s="7">
        <v>1.0</v>
      </c>
      <c r="J652" s="7">
        <v>1.0</v>
      </c>
      <c r="K652" s="7">
        <v>2.0</v>
      </c>
      <c r="L652" s="1">
        <f t="shared" ref="L652:N652" si="1932">SUMPRODUCT($B652:$J652, INDEX($B$2:$J$4, L$10, 0)) + INDEX($K$2:$K$4, L$10,1)</f>
        <v>7.921139731</v>
      </c>
      <c r="M652" s="1">
        <f t="shared" si="1932"/>
        <v>7.529531272</v>
      </c>
      <c r="N652" s="1">
        <f t="shared" si="1932"/>
        <v>7.6866429</v>
      </c>
      <c r="O652" s="1">
        <f t="shared" ref="O652:Q652" si="1933">(L652-L$7)/(L$6-L$7)</f>
        <v>0.001018920854</v>
      </c>
      <c r="P652" s="1">
        <f t="shared" si="1933"/>
        <v>0.000000006234892308</v>
      </c>
      <c r="Q652" s="1">
        <f t="shared" si="1933"/>
        <v>0</v>
      </c>
      <c r="R652" s="1">
        <f t="shared" ref="R652:T652" si="1934">1/(1+EXP(-O652))</f>
        <v>0.5002547302</v>
      </c>
      <c r="S652" s="1">
        <f t="shared" si="1934"/>
        <v>0.5000000016</v>
      </c>
      <c r="T652" s="1">
        <f t="shared" si="1934"/>
        <v>0.5</v>
      </c>
      <c r="U652" s="1">
        <f t="shared" si="11"/>
        <v>2.474800478</v>
      </c>
      <c r="V652" s="1">
        <f t="shared" si="12"/>
        <v>0.2254354935</v>
      </c>
      <c r="W652" s="1">
        <f t="shared" si="13"/>
        <v>2</v>
      </c>
      <c r="X652" s="1">
        <f t="shared" si="14"/>
        <v>0</v>
      </c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</row>
    <row r="653" ht="15.75" customHeight="1">
      <c r="A653" s="1"/>
      <c r="B653" s="7">
        <v>4.0</v>
      </c>
      <c r="C653" s="7">
        <v>2.0</v>
      </c>
      <c r="D653" s="7">
        <v>1.0</v>
      </c>
      <c r="E653" s="7">
        <v>1.0</v>
      </c>
      <c r="F653" s="7">
        <v>2.0</v>
      </c>
      <c r="G653" s="8">
        <v>1.0</v>
      </c>
      <c r="H653" s="7">
        <v>2.0</v>
      </c>
      <c r="I653" s="7">
        <v>1.0</v>
      </c>
      <c r="J653" s="7">
        <v>1.0</v>
      </c>
      <c r="K653" s="7">
        <v>2.0</v>
      </c>
      <c r="L653" s="1">
        <f t="shared" ref="L653:N653" si="1935">SUMPRODUCT($B653:$J653, INDEX($B$2:$J$4, L$10, 0)) + INDEX($K$2:$K$4, L$10,1)</f>
        <v>9.596485804</v>
      </c>
      <c r="M653" s="1">
        <f t="shared" si="1935"/>
        <v>9.23701046</v>
      </c>
      <c r="N653" s="1">
        <f t="shared" si="1935"/>
        <v>9.122925237</v>
      </c>
      <c r="O653" s="1">
        <f t="shared" ref="O653:Q653" si="1936">(L653-L$7)/(L$6-L$7)</f>
        <v>0.02841473902</v>
      </c>
      <c r="P653" s="1">
        <f t="shared" si="1936"/>
        <v>0.02923880947</v>
      </c>
      <c r="Q653" s="1">
        <f t="shared" si="1936"/>
        <v>0.02428848327</v>
      </c>
      <c r="R653" s="1">
        <f t="shared" ref="R653:T653" si="1937">1/(1+EXP(-O653))</f>
        <v>0.5071032068</v>
      </c>
      <c r="S653" s="1">
        <f t="shared" si="1937"/>
        <v>0.5073091817</v>
      </c>
      <c r="T653" s="1">
        <f t="shared" si="1937"/>
        <v>0.5060718223</v>
      </c>
      <c r="U653" s="1">
        <f t="shared" si="11"/>
        <v>2.508119281</v>
      </c>
      <c r="V653" s="1">
        <f t="shared" si="12"/>
        <v>0.2581852042</v>
      </c>
      <c r="W653" s="1">
        <f t="shared" si="13"/>
        <v>2</v>
      </c>
      <c r="X653" s="1">
        <f t="shared" si="14"/>
        <v>0</v>
      </c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</row>
    <row r="654" ht="15.75" customHeight="1">
      <c r="A654" s="1"/>
      <c r="B654" s="7">
        <v>1.0</v>
      </c>
      <c r="C654" s="7">
        <v>1.0</v>
      </c>
      <c r="D654" s="7">
        <v>1.0</v>
      </c>
      <c r="E654" s="7">
        <v>1.0</v>
      </c>
      <c r="F654" s="7">
        <v>2.0</v>
      </c>
      <c r="G654" s="8">
        <v>1.0</v>
      </c>
      <c r="H654" s="7">
        <v>2.0</v>
      </c>
      <c r="I654" s="7">
        <v>1.0</v>
      </c>
      <c r="J654" s="7">
        <v>1.0</v>
      </c>
      <c r="K654" s="7">
        <v>2.0</v>
      </c>
      <c r="L654" s="1">
        <f t="shared" ref="L654:N654" si="1938">SUMPRODUCT($B654:$J654, INDEX($B$2:$J$4, L$10, 0)) + INDEX($K$2:$K$4, L$10,1)</f>
        <v>7.953432454</v>
      </c>
      <c r="M654" s="1">
        <f t="shared" si="1938"/>
        <v>7.529531272</v>
      </c>
      <c r="N654" s="1">
        <f t="shared" si="1938"/>
        <v>7.686646929</v>
      </c>
      <c r="O654" s="1">
        <f t="shared" ref="O654:Q654" si="1939">(L654-L$7)/(L$6-L$7)</f>
        <v>0.001546982238</v>
      </c>
      <c r="P654" s="1">
        <f t="shared" si="1939"/>
        <v>0.000000006234892308</v>
      </c>
      <c r="Q654" s="1">
        <f t="shared" si="1939"/>
        <v>0.00000006813089816</v>
      </c>
      <c r="R654" s="1">
        <f t="shared" ref="R654:T654" si="1940">1/(1+EXP(-O654))</f>
        <v>0.5003867455</v>
      </c>
      <c r="S654" s="1">
        <f t="shared" si="1940"/>
        <v>0.5000000016</v>
      </c>
      <c r="T654" s="1">
        <f t="shared" si="1940"/>
        <v>0.500000017</v>
      </c>
      <c r="U654" s="1">
        <f t="shared" si="11"/>
        <v>2.475009467</v>
      </c>
      <c r="V654" s="1">
        <f t="shared" si="12"/>
        <v>0.2256339933</v>
      </c>
      <c r="W654" s="1">
        <f t="shared" si="13"/>
        <v>2</v>
      </c>
      <c r="X654" s="1">
        <f t="shared" si="14"/>
        <v>0</v>
      </c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</row>
    <row r="655" ht="15.75" customHeight="1">
      <c r="A655" s="1"/>
      <c r="B655" s="7">
        <v>5.0</v>
      </c>
      <c r="C655" s="7">
        <v>5.0</v>
      </c>
      <c r="D655" s="7">
        <v>5.0</v>
      </c>
      <c r="E655" s="7">
        <v>8.0</v>
      </c>
      <c r="F655" s="7">
        <v>10.0</v>
      </c>
      <c r="G655" s="8">
        <v>8.0</v>
      </c>
      <c r="H655" s="7">
        <v>7.0</v>
      </c>
      <c r="I655" s="7">
        <v>3.0</v>
      </c>
      <c r="J655" s="7">
        <v>7.0</v>
      </c>
      <c r="K655" s="7">
        <v>4.0</v>
      </c>
      <c r="L655" s="1">
        <f t="shared" ref="L655:N655" si="1941">SUMPRODUCT($B655:$J655, INDEX($B$2:$J$4, L$10, 0)) + INDEX($K$2:$K$4, L$10,1)</f>
        <v>44.7623267</v>
      </c>
      <c r="M655" s="1">
        <f t="shared" si="1941"/>
        <v>42.66664772</v>
      </c>
      <c r="N655" s="1">
        <f t="shared" si="1941"/>
        <v>43.38169567</v>
      </c>
      <c r="O655" s="1">
        <f t="shared" ref="O655:Q655" si="1942">(L655-L$7)/(L$6-L$7)</f>
        <v>0.6034583063</v>
      </c>
      <c r="P655" s="1">
        <f t="shared" si="1942"/>
        <v>0.6016865397</v>
      </c>
      <c r="Q655" s="1">
        <f t="shared" si="1942"/>
        <v>0.6036269262</v>
      </c>
      <c r="R655" s="1">
        <f t="shared" ref="R655:T655" si="1943">1/(1+EXP(-O655))</f>
        <v>0.6464471131</v>
      </c>
      <c r="S655" s="1">
        <f t="shared" si="1943"/>
        <v>0.6460420651</v>
      </c>
      <c r="T655" s="1">
        <f t="shared" si="1943"/>
        <v>0.6464856507</v>
      </c>
      <c r="U655" s="1">
        <f t="shared" si="11"/>
        <v>3.198531881</v>
      </c>
      <c r="V655" s="1">
        <f t="shared" si="12"/>
        <v>0.6423511458</v>
      </c>
      <c r="W655" s="1">
        <f t="shared" si="13"/>
        <v>4</v>
      </c>
      <c r="X655" s="1">
        <f t="shared" si="14"/>
        <v>0</v>
      </c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</row>
    <row r="656" ht="15.75" customHeight="1">
      <c r="A656" s="1"/>
      <c r="B656" s="7">
        <v>3.0</v>
      </c>
      <c r="C656" s="7">
        <v>6.0</v>
      </c>
      <c r="D656" s="7">
        <v>6.0</v>
      </c>
      <c r="E656" s="7">
        <v>6.0</v>
      </c>
      <c r="F656" s="7">
        <v>5.0</v>
      </c>
      <c r="G656" s="8">
        <v>10.0</v>
      </c>
      <c r="H656" s="7">
        <v>6.0</v>
      </c>
      <c r="I656" s="7">
        <v>8.0</v>
      </c>
      <c r="J656" s="7">
        <v>3.0</v>
      </c>
      <c r="K656" s="7">
        <v>4.0</v>
      </c>
      <c r="L656" s="1">
        <f t="shared" ref="L656:N656" si="1944">SUMPRODUCT($B656:$J656, INDEX($B$2:$J$4, L$10, 0)) + INDEX($K$2:$K$4, L$10,1)</f>
        <v>55.38008986</v>
      </c>
      <c r="M656" s="1">
        <f t="shared" si="1944"/>
        <v>53.52399589</v>
      </c>
      <c r="N656" s="1">
        <f t="shared" si="1944"/>
        <v>54.45090487</v>
      </c>
      <c r="O656" s="1">
        <f t="shared" ref="O656:Q656" si="1945">(L656-L$7)/(L$6-L$7)</f>
        <v>0.7770835134</v>
      </c>
      <c r="P656" s="1">
        <f t="shared" si="1945"/>
        <v>0.7876073221</v>
      </c>
      <c r="Q656" s="1">
        <f t="shared" si="1945"/>
        <v>0.7908145672</v>
      </c>
      <c r="R656" s="1">
        <f t="shared" ref="R656:T656" si="1946">1/(1+EXP(-O656))</f>
        <v>0.6850512042</v>
      </c>
      <c r="S656" s="1">
        <f t="shared" si="1946"/>
        <v>0.6873173455</v>
      </c>
      <c r="T656" s="1">
        <f t="shared" si="1946"/>
        <v>0.6880062072</v>
      </c>
      <c r="U656" s="1">
        <f t="shared" si="11"/>
        <v>3.398987637</v>
      </c>
      <c r="V656" s="1">
        <f t="shared" si="12"/>
        <v>0.3612158603</v>
      </c>
      <c r="W656" s="1">
        <f t="shared" si="13"/>
        <v>4</v>
      </c>
      <c r="X656" s="1">
        <f t="shared" si="14"/>
        <v>0</v>
      </c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</row>
    <row r="657" ht="15.75" customHeight="1">
      <c r="A657" s="1"/>
      <c r="B657" s="7">
        <v>1.0</v>
      </c>
      <c r="C657" s="7">
        <v>1.0</v>
      </c>
      <c r="D657" s="7">
        <v>1.0</v>
      </c>
      <c r="E657" s="7">
        <v>1.0</v>
      </c>
      <c r="F657" s="7">
        <v>4.0</v>
      </c>
      <c r="G657" s="8">
        <v>3.0</v>
      </c>
      <c r="H657" s="7">
        <v>1.0</v>
      </c>
      <c r="I657" s="7">
        <v>1.0</v>
      </c>
      <c r="J657" s="7">
        <v>1.0</v>
      </c>
      <c r="K657" s="7">
        <v>2.0</v>
      </c>
      <c r="L657" s="1">
        <f t="shared" ref="L657:N657" si="1947">SUMPRODUCT($B657:$J657, INDEX($B$2:$J$4, L$10, 0)) + INDEX($K$2:$K$4, L$10,1)</f>
        <v>14.53744229</v>
      </c>
      <c r="M657" s="1">
        <f t="shared" si="1947"/>
        <v>14.04163917</v>
      </c>
      <c r="N657" s="1">
        <f t="shared" si="1947"/>
        <v>14.35700971</v>
      </c>
      <c r="O657" s="1">
        <f t="shared" ref="O657:Q657" si="1948">(L657-L$7)/(L$6-L$7)</f>
        <v>0.1092109085</v>
      </c>
      <c r="P657" s="1">
        <f t="shared" si="1948"/>
        <v>0.1115130734</v>
      </c>
      <c r="Q657" s="1">
        <f t="shared" si="1948"/>
        <v>0.1128003099</v>
      </c>
      <c r="R657" s="1">
        <f t="shared" ref="R657:T657" si="1949">1/(1+EXP(-O657))</f>
        <v>0.5272756228</v>
      </c>
      <c r="S657" s="1">
        <f t="shared" si="1949"/>
        <v>0.527849415</v>
      </c>
      <c r="T657" s="1">
        <f t="shared" si="1949"/>
        <v>0.5281702142</v>
      </c>
      <c r="U657" s="1">
        <f t="shared" si="11"/>
        <v>2.611860654</v>
      </c>
      <c r="V657" s="1">
        <f t="shared" si="12"/>
        <v>0.3743734601</v>
      </c>
      <c r="W657" s="1">
        <f t="shared" si="13"/>
        <v>2</v>
      </c>
      <c r="X657" s="1">
        <f t="shared" si="14"/>
        <v>0</v>
      </c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</row>
    <row r="658" ht="15.75" customHeight="1">
      <c r="A658" s="1"/>
      <c r="B658" s="7">
        <v>1.0</v>
      </c>
      <c r="C658" s="7">
        <v>1.0</v>
      </c>
      <c r="D658" s="7">
        <v>1.0</v>
      </c>
      <c r="E658" s="7">
        <v>2.0</v>
      </c>
      <c r="F658" s="7">
        <v>1.0</v>
      </c>
      <c r="G658" s="8">
        <v>1.0</v>
      </c>
      <c r="H658" s="7">
        <v>1.0</v>
      </c>
      <c r="I658" s="7">
        <v>1.0</v>
      </c>
      <c r="J658" s="7">
        <v>1.0</v>
      </c>
      <c r="K658" s="7">
        <v>2.0</v>
      </c>
      <c r="L658" s="1">
        <f t="shared" ref="L658:N658" si="1950">SUMPRODUCT($B658:$J658, INDEX($B$2:$J$4, L$10, 0)) + INDEX($K$2:$K$4, L$10,1)</f>
        <v>7.890894903</v>
      </c>
      <c r="M658" s="1">
        <f t="shared" si="1950"/>
        <v>7.529530907</v>
      </c>
      <c r="N658" s="1">
        <f t="shared" si="1950"/>
        <v>7.689441163</v>
      </c>
      <c r="O658" s="1">
        <f t="shared" ref="O658:Q658" si="1951">(L658-L$7)/(L$6-L$7)</f>
        <v>0.0005243473336</v>
      </c>
      <c r="P658" s="1">
        <f t="shared" si="1951"/>
        <v>0</v>
      </c>
      <c r="Q658" s="1">
        <f t="shared" si="1951"/>
        <v>0.00004732047969</v>
      </c>
      <c r="R658" s="1">
        <f t="shared" ref="R658:T658" si="1952">1/(1+EXP(-O658))</f>
        <v>0.5001310868</v>
      </c>
      <c r="S658" s="1">
        <f t="shared" si="1952"/>
        <v>0.5</v>
      </c>
      <c r="T658" s="1">
        <f t="shared" si="1952"/>
        <v>0.5000118301</v>
      </c>
      <c r="U658" s="1">
        <f t="shared" si="11"/>
        <v>2.47462507</v>
      </c>
      <c r="V658" s="1">
        <f t="shared" si="12"/>
        <v>0.2252689571</v>
      </c>
      <c r="W658" s="1">
        <f t="shared" si="13"/>
        <v>2</v>
      </c>
      <c r="X658" s="1">
        <f t="shared" si="14"/>
        <v>0</v>
      </c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</row>
    <row r="659" ht="15.75" customHeight="1">
      <c r="A659" s="1"/>
      <c r="B659" s="7">
        <v>5.0</v>
      </c>
      <c r="C659" s="7">
        <v>8.0</v>
      </c>
      <c r="D659" s="7">
        <v>7.0</v>
      </c>
      <c r="E659" s="7">
        <v>7.0</v>
      </c>
      <c r="F659" s="7">
        <v>10.0</v>
      </c>
      <c r="G659" s="8">
        <v>10.0</v>
      </c>
      <c r="H659" s="7">
        <v>5.0</v>
      </c>
      <c r="I659" s="7">
        <v>7.0</v>
      </c>
      <c r="J659" s="7">
        <v>1.0</v>
      </c>
      <c r="K659" s="7">
        <v>4.0</v>
      </c>
      <c r="L659" s="1">
        <f t="shared" ref="L659:N659" si="1953">SUMPRODUCT($B659:$J659, INDEX($B$2:$J$4, L$10, 0)) + INDEX($K$2:$K$4, L$10,1)</f>
        <v>60.1766867</v>
      </c>
      <c r="M659" s="1">
        <f t="shared" si="1953"/>
        <v>57.83946944</v>
      </c>
      <c r="N659" s="1">
        <f t="shared" si="1953"/>
        <v>58.50188172</v>
      </c>
      <c r="O659" s="1">
        <f t="shared" ref="O659:Q659" si="1954">(L659-L$7)/(L$6-L$7)</f>
        <v>0.8555190659</v>
      </c>
      <c r="P659" s="1">
        <f t="shared" si="1954"/>
        <v>0.8615053132</v>
      </c>
      <c r="Q659" s="1">
        <f t="shared" si="1954"/>
        <v>0.8593192622</v>
      </c>
      <c r="R659" s="1">
        <f t="shared" ref="R659:T659" si="1955">1/(1+EXP(-O659))</f>
        <v>0.7017236094</v>
      </c>
      <c r="S659" s="1">
        <f t="shared" si="1955"/>
        <v>0.7029750614</v>
      </c>
      <c r="T659" s="1">
        <f t="shared" si="1955"/>
        <v>0.7025184091</v>
      </c>
      <c r="U659" s="1">
        <f t="shared" si="11"/>
        <v>3.476114574</v>
      </c>
      <c r="V659" s="1">
        <f t="shared" si="12"/>
        <v>0.2744559392</v>
      </c>
      <c r="W659" s="1">
        <f t="shared" si="13"/>
        <v>4</v>
      </c>
      <c r="X659" s="1">
        <f t="shared" si="14"/>
        <v>0</v>
      </c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</row>
    <row r="660" ht="15.75" customHeight="1">
      <c r="A660" s="1"/>
      <c r="B660" s="7">
        <v>10.0</v>
      </c>
      <c r="C660" s="7">
        <v>4.0</v>
      </c>
      <c r="D660" s="7">
        <v>4.0</v>
      </c>
      <c r="E660" s="7">
        <v>6.0</v>
      </c>
      <c r="F660" s="7">
        <v>2.0</v>
      </c>
      <c r="G660" s="8">
        <v>10.0</v>
      </c>
      <c r="H660" s="7">
        <v>2.0</v>
      </c>
      <c r="I660" s="7">
        <v>3.0</v>
      </c>
      <c r="J660" s="7">
        <v>1.0</v>
      </c>
      <c r="K660" s="7">
        <v>4.0</v>
      </c>
      <c r="L660" s="1">
        <f t="shared" ref="L660:N660" si="1956">SUMPRODUCT($B660:$J660, INDEX($B$2:$J$4, L$10, 0)) + INDEX($K$2:$K$4, L$10,1)</f>
        <v>47.46659872</v>
      </c>
      <c r="M660" s="1">
        <f t="shared" si="1956"/>
        <v>46.35597539</v>
      </c>
      <c r="N660" s="1">
        <f t="shared" si="1956"/>
        <v>47.17369292</v>
      </c>
      <c r="O660" s="1">
        <f t="shared" ref="O660:Q660" si="1957">(L660-L$7)/(L$6-L$7)</f>
        <v>0.647679465</v>
      </c>
      <c r="P660" s="1">
        <f t="shared" si="1957"/>
        <v>0.6648624347</v>
      </c>
      <c r="Q660" s="1">
        <f t="shared" si="1957"/>
        <v>0.6677521051</v>
      </c>
      <c r="R660" s="1">
        <f t="shared" ref="R660:T660" si="1958">1/(1+EXP(-O660))</f>
        <v>0.6564873451</v>
      </c>
      <c r="S660" s="1">
        <f t="shared" si="1958"/>
        <v>0.6603518196</v>
      </c>
      <c r="T660" s="1">
        <f t="shared" si="1958"/>
        <v>0.6609996353</v>
      </c>
      <c r="U660" s="1">
        <f t="shared" si="11"/>
        <v>3.26294043</v>
      </c>
      <c r="V660" s="1">
        <f t="shared" si="12"/>
        <v>0.5432568092</v>
      </c>
      <c r="W660" s="1">
        <f t="shared" si="13"/>
        <v>4</v>
      </c>
      <c r="X660" s="1">
        <f t="shared" si="14"/>
        <v>0</v>
      </c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</row>
    <row r="661" ht="15.75" customHeight="1">
      <c r="A661" s="1"/>
      <c r="B661" s="7">
        <v>1.0</v>
      </c>
      <c r="C661" s="7">
        <v>2.0</v>
      </c>
      <c r="D661" s="7">
        <v>1.0</v>
      </c>
      <c r="E661" s="7">
        <v>3.0</v>
      </c>
      <c r="F661" s="7">
        <v>2.0</v>
      </c>
      <c r="G661" s="8">
        <v>1.0</v>
      </c>
      <c r="H661" s="7">
        <v>1.0</v>
      </c>
      <c r="I661" s="7">
        <v>2.0</v>
      </c>
      <c r="J661" s="7">
        <v>1.0</v>
      </c>
      <c r="K661" s="7">
        <v>2.0</v>
      </c>
      <c r="L661" s="1">
        <f t="shared" ref="L661:N661" si="1959">SUMPRODUCT($B661:$J661, INDEX($B$2:$J$4, L$10, 0)) + INDEX($K$2:$K$4, L$10,1)</f>
        <v>9.865313834</v>
      </c>
      <c r="M661" s="1">
        <f t="shared" si="1959"/>
        <v>9.471296503</v>
      </c>
      <c r="N661" s="1">
        <f t="shared" si="1959"/>
        <v>9.399255323</v>
      </c>
      <c r="O661" s="1">
        <f t="shared" ref="O661:Q661" si="1960">(L661-L$7)/(L$6-L$7)</f>
        <v>0.03281070469</v>
      </c>
      <c r="P661" s="1">
        <f t="shared" si="1960"/>
        <v>0.033250714</v>
      </c>
      <c r="Q661" s="1">
        <f t="shared" si="1960"/>
        <v>0.0289614076</v>
      </c>
      <c r="R661" s="1">
        <f t="shared" ref="R661:T661" si="1961">1/(1+EXP(-O661))</f>
        <v>0.5082019404</v>
      </c>
      <c r="S661" s="1">
        <f t="shared" si="1961"/>
        <v>0.5083119127</v>
      </c>
      <c r="T661" s="1">
        <f t="shared" si="1961"/>
        <v>0.5072398459</v>
      </c>
      <c r="U661" s="1">
        <f t="shared" si="11"/>
        <v>2.51351723</v>
      </c>
      <c r="V661" s="1">
        <f t="shared" si="12"/>
        <v>0.2636999458</v>
      </c>
      <c r="W661" s="1">
        <f t="shared" si="13"/>
        <v>2</v>
      </c>
      <c r="X661" s="1">
        <f t="shared" si="14"/>
        <v>0</v>
      </c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</row>
    <row r="662" ht="15.75" customHeight="1">
      <c r="A662" s="1"/>
      <c r="B662" s="7">
        <v>1.0</v>
      </c>
      <c r="C662" s="7">
        <v>1.0</v>
      </c>
      <c r="D662" s="7">
        <v>1.0</v>
      </c>
      <c r="E662" s="7">
        <v>1.0</v>
      </c>
      <c r="F662" s="7">
        <v>2.0</v>
      </c>
      <c r="G662" s="8">
        <v>1.0</v>
      </c>
      <c r="H662" s="7">
        <v>2.0</v>
      </c>
      <c r="I662" s="7">
        <v>1.0</v>
      </c>
      <c r="J662" s="7">
        <v>1.0</v>
      </c>
      <c r="K662" s="7">
        <v>2.0</v>
      </c>
      <c r="L662" s="1">
        <f t="shared" ref="L662:N662" si="1962">SUMPRODUCT($B662:$J662, INDEX($B$2:$J$4, L$10, 0)) + INDEX($K$2:$K$4, L$10,1)</f>
        <v>7.953432454</v>
      </c>
      <c r="M662" s="1">
        <f t="shared" si="1962"/>
        <v>7.529531272</v>
      </c>
      <c r="N662" s="1">
        <f t="shared" si="1962"/>
        <v>7.686646929</v>
      </c>
      <c r="O662" s="1">
        <f t="shared" ref="O662:Q662" si="1963">(L662-L$7)/(L$6-L$7)</f>
        <v>0.001546982238</v>
      </c>
      <c r="P662" s="1">
        <f t="shared" si="1963"/>
        <v>0.000000006234892308</v>
      </c>
      <c r="Q662" s="1">
        <f t="shared" si="1963"/>
        <v>0.00000006813089816</v>
      </c>
      <c r="R662" s="1">
        <f t="shared" ref="R662:T662" si="1964">1/(1+EXP(-O662))</f>
        <v>0.5003867455</v>
      </c>
      <c r="S662" s="1">
        <f t="shared" si="1964"/>
        <v>0.5000000016</v>
      </c>
      <c r="T662" s="1">
        <f t="shared" si="1964"/>
        <v>0.500000017</v>
      </c>
      <c r="U662" s="1">
        <f t="shared" si="11"/>
        <v>2.475009467</v>
      </c>
      <c r="V662" s="1">
        <f t="shared" si="12"/>
        <v>0.2256339933</v>
      </c>
      <c r="W662" s="1">
        <f t="shared" si="13"/>
        <v>2</v>
      </c>
      <c r="X662" s="1">
        <f t="shared" si="14"/>
        <v>0</v>
      </c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</row>
    <row r="663" ht="15.75" customHeight="1">
      <c r="A663" s="1"/>
      <c r="B663" s="7">
        <v>10.0</v>
      </c>
      <c r="C663" s="7">
        <v>10.0</v>
      </c>
      <c r="D663" s="7">
        <v>10.0</v>
      </c>
      <c r="E663" s="7">
        <v>1.0</v>
      </c>
      <c r="F663" s="7">
        <v>6.0</v>
      </c>
      <c r="G663" s="8">
        <v>1.0</v>
      </c>
      <c r="H663" s="7">
        <v>2.0</v>
      </c>
      <c r="I663" s="7">
        <v>8.0</v>
      </c>
      <c r="J663" s="7">
        <v>1.0</v>
      </c>
      <c r="K663" s="7">
        <v>4.0</v>
      </c>
      <c r="L663" s="1">
        <f t="shared" ref="L663:N663" si="1965">SUMPRODUCT($B663:$J663, INDEX($B$2:$J$4, L$10, 0)) + INDEX($K$2:$K$4, L$10,1)</f>
        <v>38.62232698</v>
      </c>
      <c r="M663" s="1">
        <f t="shared" si="1965"/>
        <v>36.03717436</v>
      </c>
      <c r="N663" s="1">
        <f t="shared" si="1965"/>
        <v>36.17826152</v>
      </c>
      <c r="O663" s="1">
        <f t="shared" ref="O663:Q663" si="1966">(L663-L$7)/(L$6-L$7)</f>
        <v>0.5030549817</v>
      </c>
      <c r="P663" s="1">
        <f t="shared" si="1966"/>
        <v>0.4881637113</v>
      </c>
      <c r="Q663" s="1">
        <f t="shared" si="1966"/>
        <v>0.4818120954</v>
      </c>
      <c r="R663" s="1">
        <f t="shared" ref="R663:T663" si="1967">1/(1+EXP(-O663))</f>
        <v>0.6231769942</v>
      </c>
      <c r="S663" s="1">
        <f t="shared" si="1967"/>
        <v>0.6196737543</v>
      </c>
      <c r="T663" s="1">
        <f t="shared" si="1967"/>
        <v>0.6181756833</v>
      </c>
      <c r="U663" s="1">
        <f t="shared" si="11"/>
        <v>3.069612136</v>
      </c>
      <c r="V663" s="1">
        <f t="shared" si="12"/>
        <v>0.8656215779</v>
      </c>
      <c r="W663" s="1">
        <f t="shared" si="13"/>
        <v>4</v>
      </c>
      <c r="X663" s="1">
        <f t="shared" si="14"/>
        <v>0</v>
      </c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</row>
    <row r="664" ht="15.75" customHeight="1">
      <c r="A664" s="1"/>
      <c r="B664" s="7">
        <v>4.0</v>
      </c>
      <c r="C664" s="7">
        <v>1.0</v>
      </c>
      <c r="D664" s="7">
        <v>1.0</v>
      </c>
      <c r="E664" s="7">
        <v>1.0</v>
      </c>
      <c r="F664" s="7">
        <v>2.0</v>
      </c>
      <c r="G664" s="8">
        <v>1.0</v>
      </c>
      <c r="H664" s="7">
        <v>1.0</v>
      </c>
      <c r="I664" s="7">
        <v>1.0</v>
      </c>
      <c r="J664" s="7">
        <v>1.0</v>
      </c>
      <c r="K664" s="7">
        <v>2.0</v>
      </c>
      <c r="L664" s="1">
        <f t="shared" ref="L664:N664" si="1968">SUMPRODUCT($B664:$J664, INDEX($B$2:$J$4, L$10, 0)) + INDEX($K$2:$K$4, L$10,1)</f>
        <v>7.968769431</v>
      </c>
      <c r="M664" s="1">
        <f t="shared" si="1968"/>
        <v>7.588037275</v>
      </c>
      <c r="N664" s="1">
        <f t="shared" si="1968"/>
        <v>7.716309919</v>
      </c>
      <c r="O664" s="1">
        <f t="shared" ref="O664:Q664" si="1969">(L664-L$7)/(L$6-L$7)</f>
        <v>0.001797777616</v>
      </c>
      <c r="P664" s="1">
        <f t="shared" si="1969"/>
        <v>0.001001860633</v>
      </c>
      <c r="Q664" s="1">
        <f t="shared" si="1969"/>
        <v>0.0005016888897</v>
      </c>
      <c r="R664" s="1">
        <f t="shared" ref="R664:T664" si="1970">1/(1+EXP(-O664))</f>
        <v>0.5004494443</v>
      </c>
      <c r="S664" s="1">
        <f t="shared" si="1970"/>
        <v>0.5002504651</v>
      </c>
      <c r="T664" s="1">
        <f t="shared" si="1970"/>
        <v>0.5001254222</v>
      </c>
      <c r="U664" s="1">
        <f t="shared" si="11"/>
        <v>2.475737126</v>
      </c>
      <c r="V664" s="1">
        <f t="shared" si="12"/>
        <v>0.2263258134</v>
      </c>
      <c r="W664" s="1">
        <f t="shared" si="13"/>
        <v>2</v>
      </c>
      <c r="X664" s="1">
        <f t="shared" si="14"/>
        <v>0</v>
      </c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</row>
    <row r="665" ht="15.75" customHeight="1">
      <c r="A665" s="1"/>
      <c r="B665" s="7">
        <v>6.0</v>
      </c>
      <c r="C665" s="7">
        <v>1.0</v>
      </c>
      <c r="D665" s="7">
        <v>1.0</v>
      </c>
      <c r="E665" s="7">
        <v>3.0</v>
      </c>
      <c r="F665" s="7">
        <v>2.0</v>
      </c>
      <c r="G665" s="8">
        <v>1.0</v>
      </c>
      <c r="H665" s="7">
        <v>1.0</v>
      </c>
      <c r="I665" s="7">
        <v>1.0</v>
      </c>
      <c r="J665" s="7">
        <v>1.0</v>
      </c>
      <c r="K665" s="7">
        <v>2.0</v>
      </c>
      <c r="L665" s="1">
        <f t="shared" ref="L665:N665" si="1971">SUMPRODUCT($B665:$J665, INDEX($B$2:$J$4, L$10, 0)) + INDEX($K$2:$K$4, L$10,1)</f>
        <v>8.064653758</v>
      </c>
      <c r="M665" s="1">
        <f t="shared" si="1971"/>
        <v>7.627041278</v>
      </c>
      <c r="N665" s="1">
        <f t="shared" si="1971"/>
        <v>7.741684458</v>
      </c>
      <c r="O665" s="1">
        <f t="shared" ref="O665:Q665" si="1972">(L665-L$7)/(L$6-L$7)</f>
        <v>0.003365710125</v>
      </c>
      <c r="P665" s="1">
        <f t="shared" si="1972"/>
        <v>0.001669763564</v>
      </c>
      <c r="Q665" s="1">
        <f t="shared" si="1972"/>
        <v>0.0009307891089</v>
      </c>
      <c r="R665" s="1">
        <f t="shared" ref="R665:T665" si="1973">1/(1+EXP(-O665))</f>
        <v>0.5008414267</v>
      </c>
      <c r="S665" s="1">
        <f t="shared" si="1973"/>
        <v>0.5004174408</v>
      </c>
      <c r="T665" s="1">
        <f t="shared" si="1973"/>
        <v>0.5002326973</v>
      </c>
      <c r="U665" s="1">
        <f t="shared" si="11"/>
        <v>2.476817145</v>
      </c>
      <c r="V665" s="1">
        <f t="shared" si="12"/>
        <v>0.2273545897</v>
      </c>
      <c r="W665" s="1">
        <f t="shared" si="13"/>
        <v>2</v>
      </c>
      <c r="X665" s="1">
        <f t="shared" si="14"/>
        <v>0</v>
      </c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</row>
    <row r="666" ht="15.75" customHeight="1">
      <c r="A666" s="1"/>
      <c r="B666" s="7">
        <v>4.0</v>
      </c>
      <c r="C666" s="7">
        <v>1.0</v>
      </c>
      <c r="D666" s="7">
        <v>1.0</v>
      </c>
      <c r="E666" s="7">
        <v>1.0</v>
      </c>
      <c r="F666" s="7">
        <v>2.0</v>
      </c>
      <c r="G666" s="8">
        <v>1.0</v>
      </c>
      <c r="H666" s="7">
        <v>1.0</v>
      </c>
      <c r="I666" s="7">
        <v>1.0</v>
      </c>
      <c r="J666" s="7">
        <v>1.0</v>
      </c>
      <c r="K666" s="7">
        <v>2.0</v>
      </c>
      <c r="L666" s="1">
        <f t="shared" ref="L666:N666" si="1974">SUMPRODUCT($B666:$J666, INDEX($B$2:$J$4, L$10, 0)) + INDEX($K$2:$K$4, L$10,1)</f>
        <v>7.968769431</v>
      </c>
      <c r="M666" s="1">
        <f t="shared" si="1974"/>
        <v>7.588037275</v>
      </c>
      <c r="N666" s="1">
        <f t="shared" si="1974"/>
        <v>7.716309919</v>
      </c>
      <c r="O666" s="1">
        <f t="shared" ref="O666:Q666" si="1975">(L666-L$7)/(L$6-L$7)</f>
        <v>0.001797777616</v>
      </c>
      <c r="P666" s="1">
        <f t="shared" si="1975"/>
        <v>0.001001860633</v>
      </c>
      <c r="Q666" s="1">
        <f t="shared" si="1975"/>
        <v>0.0005016888897</v>
      </c>
      <c r="R666" s="1">
        <f t="shared" ref="R666:T666" si="1976">1/(1+EXP(-O666))</f>
        <v>0.5004494443</v>
      </c>
      <c r="S666" s="1">
        <f t="shared" si="1976"/>
        <v>0.5002504651</v>
      </c>
      <c r="T666" s="1">
        <f t="shared" si="1976"/>
        <v>0.5001254222</v>
      </c>
      <c r="U666" s="1">
        <f t="shared" si="11"/>
        <v>2.475737126</v>
      </c>
      <c r="V666" s="1">
        <f t="shared" si="12"/>
        <v>0.2263258134</v>
      </c>
      <c r="W666" s="1">
        <f t="shared" si="13"/>
        <v>2</v>
      </c>
      <c r="X666" s="1">
        <f t="shared" si="14"/>
        <v>0</v>
      </c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</row>
    <row r="667" ht="15.75" customHeight="1">
      <c r="A667" s="1"/>
      <c r="B667" s="7">
        <v>3.0</v>
      </c>
      <c r="C667" s="7">
        <v>2.0</v>
      </c>
      <c r="D667" s="7">
        <v>2.0</v>
      </c>
      <c r="E667" s="7">
        <v>2.0</v>
      </c>
      <c r="F667" s="7">
        <v>2.0</v>
      </c>
      <c r="G667" s="8">
        <v>1.0</v>
      </c>
      <c r="H667" s="7">
        <v>4.0</v>
      </c>
      <c r="I667" s="7">
        <v>2.0</v>
      </c>
      <c r="J667" s="7">
        <v>1.0</v>
      </c>
      <c r="K667" s="7">
        <v>2.0</v>
      </c>
      <c r="L667" s="1">
        <f t="shared" ref="L667:N667" si="1977">SUMPRODUCT($B667:$J667, INDEX($B$2:$J$4, L$10, 0)) + INDEX($K$2:$K$4, L$10,1)</f>
        <v>11.50917021</v>
      </c>
      <c r="M667" s="1">
        <f t="shared" si="1977"/>
        <v>10.78161391</v>
      </c>
      <c r="N667" s="1">
        <f t="shared" si="1977"/>
        <v>10.93183379</v>
      </c>
      <c r="O667" s="1">
        <f t="shared" ref="O667:Q667" si="1978">(L667-L$7)/(L$6-L$7)</f>
        <v>0.05969159285</v>
      </c>
      <c r="P667" s="1">
        <f t="shared" si="1978"/>
        <v>0.05568853525</v>
      </c>
      <c r="Q667" s="1">
        <f t="shared" si="1978"/>
        <v>0.05487832206</v>
      </c>
      <c r="R667" s="1">
        <f t="shared" ref="R667:T667" si="1979">1/(1+EXP(-O667))</f>
        <v>0.5149184688</v>
      </c>
      <c r="S667" s="1">
        <f t="shared" si="1979"/>
        <v>0.513918537</v>
      </c>
      <c r="T667" s="1">
        <f t="shared" si="1979"/>
        <v>0.5137161384</v>
      </c>
      <c r="U667" s="1">
        <f t="shared" si="11"/>
        <v>2.544512629</v>
      </c>
      <c r="V667" s="1">
        <f t="shared" si="12"/>
        <v>0.2964940032</v>
      </c>
      <c r="W667" s="1">
        <f t="shared" si="13"/>
        <v>2</v>
      </c>
      <c r="X667" s="1">
        <f t="shared" si="14"/>
        <v>0</v>
      </c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</row>
    <row r="668" ht="15.75" customHeight="1">
      <c r="A668" s="1"/>
      <c r="B668" s="7">
        <v>1.0</v>
      </c>
      <c r="C668" s="7">
        <v>1.0</v>
      </c>
      <c r="D668" s="7">
        <v>1.0</v>
      </c>
      <c r="E668" s="7">
        <v>1.0</v>
      </c>
      <c r="F668" s="7">
        <v>2.0</v>
      </c>
      <c r="G668" s="8">
        <v>1.0</v>
      </c>
      <c r="H668" s="7">
        <v>2.0</v>
      </c>
      <c r="I668" s="7">
        <v>1.0</v>
      </c>
      <c r="J668" s="7">
        <v>1.0</v>
      </c>
      <c r="K668" s="7">
        <v>2.0</v>
      </c>
      <c r="L668" s="1">
        <f t="shared" ref="L668:N668" si="1980">SUMPRODUCT($B668:$J668, INDEX($B$2:$J$4, L$10, 0)) + INDEX($K$2:$K$4, L$10,1)</f>
        <v>7.953432454</v>
      </c>
      <c r="M668" s="1">
        <f t="shared" si="1980"/>
        <v>7.529531272</v>
      </c>
      <c r="N668" s="1">
        <f t="shared" si="1980"/>
        <v>7.686646929</v>
      </c>
      <c r="O668" s="1">
        <f t="shared" ref="O668:Q668" si="1981">(L668-L$7)/(L$6-L$7)</f>
        <v>0.001546982238</v>
      </c>
      <c r="P668" s="1">
        <f t="shared" si="1981"/>
        <v>0.000000006234892308</v>
      </c>
      <c r="Q668" s="1">
        <f t="shared" si="1981"/>
        <v>0.00000006813089816</v>
      </c>
      <c r="R668" s="1">
        <f t="shared" ref="R668:T668" si="1982">1/(1+EXP(-O668))</f>
        <v>0.5003867455</v>
      </c>
      <c r="S668" s="1">
        <f t="shared" si="1982"/>
        <v>0.5000000016</v>
      </c>
      <c r="T668" s="1">
        <f t="shared" si="1982"/>
        <v>0.500000017</v>
      </c>
      <c r="U668" s="1">
        <f t="shared" si="11"/>
        <v>2.475009467</v>
      </c>
      <c r="V668" s="1">
        <f t="shared" si="12"/>
        <v>0.2256339933</v>
      </c>
      <c r="W668" s="1">
        <f t="shared" si="13"/>
        <v>2</v>
      </c>
      <c r="X668" s="1">
        <f t="shared" si="14"/>
        <v>0</v>
      </c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</row>
    <row r="669" ht="15.75" customHeight="1">
      <c r="A669" s="1"/>
      <c r="B669" s="7">
        <v>5.0</v>
      </c>
      <c r="C669" s="7">
        <v>1.0</v>
      </c>
      <c r="D669" s="7">
        <v>1.0</v>
      </c>
      <c r="E669" s="7">
        <v>6.0</v>
      </c>
      <c r="F669" s="7">
        <v>3.0</v>
      </c>
      <c r="G669" s="8">
        <v>1.0</v>
      </c>
      <c r="H669" s="7">
        <v>1.0</v>
      </c>
      <c r="I669" s="7">
        <v>1.0</v>
      </c>
      <c r="J669" s="7">
        <v>1.0</v>
      </c>
      <c r="K669" s="7">
        <v>2.0</v>
      </c>
      <c r="L669" s="1">
        <f t="shared" ref="L669:N669" si="1983">SUMPRODUCT($B669:$J669, INDEX($B$2:$J$4, L$10, 0)) + INDEX($K$2:$K$4, L$10,1)</f>
        <v>8.207284404</v>
      </c>
      <c r="M669" s="1">
        <f t="shared" si="1983"/>
        <v>7.607539641</v>
      </c>
      <c r="N669" s="1">
        <f t="shared" si="1983"/>
        <v>7.740190241</v>
      </c>
      <c r="O669" s="1">
        <f t="shared" ref="O669:Q669" si="1984">(L669-L$7)/(L$6-L$7)</f>
        <v>0.005698054059</v>
      </c>
      <c r="P669" s="1">
        <f t="shared" si="1984"/>
        <v>0.001335818333</v>
      </c>
      <c r="Q669" s="1">
        <f t="shared" si="1984"/>
        <v>0.000905520918</v>
      </c>
      <c r="R669" s="1">
        <f t="shared" ref="R669:T669" si="1985">1/(1+EXP(-O669))</f>
        <v>0.5014245097</v>
      </c>
      <c r="S669" s="1">
        <f t="shared" si="1985"/>
        <v>0.5003339545</v>
      </c>
      <c r="T669" s="1">
        <f t="shared" si="1985"/>
        <v>0.5002263802</v>
      </c>
      <c r="U669" s="1">
        <f t="shared" si="11"/>
        <v>2.477591505</v>
      </c>
      <c r="V669" s="1">
        <f t="shared" si="12"/>
        <v>0.2280936461</v>
      </c>
      <c r="W669" s="1">
        <f t="shared" si="13"/>
        <v>2</v>
      </c>
      <c r="X669" s="1">
        <f t="shared" si="14"/>
        <v>0</v>
      </c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</row>
    <row r="670" ht="15.75" customHeight="1">
      <c r="A670" s="1"/>
      <c r="B670" s="7">
        <v>6.0</v>
      </c>
      <c r="C670" s="7">
        <v>2.0</v>
      </c>
      <c r="D670" s="7">
        <v>3.0</v>
      </c>
      <c r="E670" s="7">
        <v>1.0</v>
      </c>
      <c r="F670" s="7">
        <v>2.0</v>
      </c>
      <c r="G670" s="8">
        <v>1.0</v>
      </c>
      <c r="H670" s="7">
        <v>1.0</v>
      </c>
      <c r="I670" s="7">
        <v>1.0</v>
      </c>
      <c r="J670" s="7">
        <v>1.0</v>
      </c>
      <c r="K670" s="7">
        <v>2.0</v>
      </c>
      <c r="L670" s="1">
        <f t="shared" ref="L670:N670" si="1986">SUMPRODUCT($B670:$J670, INDEX($B$2:$J$4, L$10, 0)) + INDEX($K$2:$K$4, L$10,1)</f>
        <v>12.69052756</v>
      </c>
      <c r="M670" s="1">
        <f t="shared" si="1986"/>
        <v>11.81864127</v>
      </c>
      <c r="N670" s="1">
        <f t="shared" si="1986"/>
        <v>12.17387248</v>
      </c>
      <c r="O670" s="1">
        <f t="shared" ref="O670:Q670" si="1987">(L670-L$7)/(L$6-L$7)</f>
        <v>0.07900954248</v>
      </c>
      <c r="P670" s="1">
        <f t="shared" si="1987"/>
        <v>0.07344654904</v>
      </c>
      <c r="Q670" s="1">
        <f t="shared" si="1987"/>
        <v>0.07588201698</v>
      </c>
      <c r="R670" s="1">
        <f t="shared" ref="R670:T670" si="1988">1/(1+EXP(-O670))</f>
        <v>0.5197421167</v>
      </c>
      <c r="S670" s="1">
        <f t="shared" si="1988"/>
        <v>0.5183533875</v>
      </c>
      <c r="T670" s="1">
        <f t="shared" si="1988"/>
        <v>0.5189614067</v>
      </c>
      <c r="U670" s="1">
        <f t="shared" si="11"/>
        <v>2.568466072</v>
      </c>
      <c r="V670" s="1">
        <f t="shared" si="12"/>
        <v>0.3231536747</v>
      </c>
      <c r="W670" s="1">
        <f t="shared" si="13"/>
        <v>2</v>
      </c>
      <c r="X670" s="1">
        <f t="shared" si="14"/>
        <v>0</v>
      </c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</row>
    <row r="671" ht="15.75" customHeight="1">
      <c r="A671" s="1"/>
      <c r="B671" s="7">
        <v>7.0</v>
      </c>
      <c r="C671" s="7">
        <v>8.0</v>
      </c>
      <c r="D671" s="7">
        <v>8.0</v>
      </c>
      <c r="E671" s="7">
        <v>7.0</v>
      </c>
      <c r="F671" s="7">
        <v>3.0</v>
      </c>
      <c r="G671" s="8">
        <v>10.0</v>
      </c>
      <c r="H671" s="7">
        <v>7.0</v>
      </c>
      <c r="I671" s="7">
        <v>2.0</v>
      </c>
      <c r="J671" s="7">
        <v>3.0</v>
      </c>
      <c r="K671" s="7">
        <v>4.0</v>
      </c>
      <c r="L671" s="1">
        <f t="shared" ref="L671:N671" si="1989">SUMPRODUCT($B671:$J671, INDEX($B$2:$J$4, L$10, 0)) + INDEX($K$2:$K$4, L$10,1)</f>
        <v>59.96104668</v>
      </c>
      <c r="M671" s="1">
        <f t="shared" si="1989"/>
        <v>57.68582406</v>
      </c>
      <c r="N671" s="1">
        <f t="shared" si="1989"/>
        <v>58.53523139</v>
      </c>
      <c r="O671" s="1">
        <f t="shared" ref="O671:Q671" si="1990">(L671-L$7)/(L$6-L$7)</f>
        <v>0.8519928483</v>
      </c>
      <c r="P671" s="1">
        <f t="shared" si="1990"/>
        <v>0.8588742962</v>
      </c>
      <c r="Q671" s="1">
        <f t="shared" si="1990"/>
        <v>0.8598832271</v>
      </c>
      <c r="R671" s="1">
        <f t="shared" ref="R671:T671" si="1991">1/(1+EXP(-O671))</f>
        <v>0.7009850207</v>
      </c>
      <c r="S671" s="1">
        <f t="shared" si="1991"/>
        <v>0.7024254089</v>
      </c>
      <c r="T671" s="1">
        <f t="shared" si="1991"/>
        <v>0.7026362566</v>
      </c>
      <c r="U671" s="1">
        <f t="shared" si="11"/>
        <v>3.474240991</v>
      </c>
      <c r="V671" s="1">
        <f t="shared" si="12"/>
        <v>0.2764225354</v>
      </c>
      <c r="W671" s="1">
        <f t="shared" si="13"/>
        <v>4</v>
      </c>
      <c r="X671" s="1">
        <f t="shared" si="14"/>
        <v>0</v>
      </c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</row>
    <row r="672" ht="15.75" customHeight="1">
      <c r="A672" s="1"/>
      <c r="B672" s="7">
        <v>3.0</v>
      </c>
      <c r="C672" s="7">
        <v>2.0</v>
      </c>
      <c r="D672" s="7">
        <v>1.0</v>
      </c>
      <c r="E672" s="7">
        <v>2.0</v>
      </c>
      <c r="F672" s="7">
        <v>2.0</v>
      </c>
      <c r="G672" s="8">
        <v>1.0</v>
      </c>
      <c r="H672" s="7">
        <v>3.0</v>
      </c>
      <c r="I672" s="7">
        <v>1.0</v>
      </c>
      <c r="J672" s="7">
        <v>1.0</v>
      </c>
      <c r="K672" s="7">
        <v>2.0</v>
      </c>
      <c r="L672" s="1">
        <f t="shared" ref="L672:N672" si="1992">SUMPRODUCT($B672:$J672, INDEX($B$2:$J$4, L$10, 0)) + INDEX($K$2:$K$4, L$10,1)</f>
        <v>9.644967557</v>
      </c>
      <c r="M672" s="1">
        <f t="shared" si="1992"/>
        <v>9.217508459</v>
      </c>
      <c r="N672" s="1">
        <f t="shared" si="1992"/>
        <v>9.115838523</v>
      </c>
      <c r="O672" s="1">
        <f t="shared" ref="O672:Q672" si="1993">(L672-L$7)/(L$6-L$7)</f>
        <v>0.02920752882</v>
      </c>
      <c r="P672" s="1">
        <f t="shared" si="1993"/>
        <v>0.028904858</v>
      </c>
      <c r="Q672" s="1">
        <f t="shared" si="1993"/>
        <v>0.02416864225</v>
      </c>
      <c r="R672" s="1">
        <f t="shared" ref="R672:T672" si="1994">1/(1+EXP(-O672))</f>
        <v>0.5073013632</v>
      </c>
      <c r="S672" s="1">
        <f t="shared" si="1994"/>
        <v>0.5072257114</v>
      </c>
      <c r="T672" s="1">
        <f t="shared" si="1994"/>
        <v>0.5060418665</v>
      </c>
      <c r="U672" s="1">
        <f t="shared" si="11"/>
        <v>2.508243819</v>
      </c>
      <c r="V672" s="1">
        <f t="shared" si="12"/>
        <v>0.2583117798</v>
      </c>
      <c r="W672" s="1">
        <f t="shared" si="13"/>
        <v>2</v>
      </c>
      <c r="X672" s="1">
        <f t="shared" si="14"/>
        <v>0</v>
      </c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</row>
    <row r="673" ht="15.75" customHeight="1">
      <c r="A673" s="1"/>
      <c r="B673" s="7">
        <v>2.0</v>
      </c>
      <c r="C673" s="7">
        <v>1.0</v>
      </c>
      <c r="D673" s="7">
        <v>1.0</v>
      </c>
      <c r="E673" s="7">
        <v>1.0</v>
      </c>
      <c r="F673" s="7">
        <v>2.0</v>
      </c>
      <c r="G673" s="8">
        <v>1.0</v>
      </c>
      <c r="H673" s="7">
        <v>1.0</v>
      </c>
      <c r="I673" s="7">
        <v>1.0</v>
      </c>
      <c r="J673" s="7">
        <v>1.0</v>
      </c>
      <c r="K673" s="7">
        <v>2.0</v>
      </c>
      <c r="L673" s="1">
        <f t="shared" ref="L673:N673" si="1995">SUMPRODUCT($B673:$J673, INDEX($B$2:$J$4, L$10, 0)) + INDEX($K$2:$K$4, L$10,1)</f>
        <v>7.937016298</v>
      </c>
      <c r="M673" s="1">
        <f t="shared" si="1995"/>
        <v>7.549033273</v>
      </c>
      <c r="N673" s="1">
        <f t="shared" si="1995"/>
        <v>7.696531906</v>
      </c>
      <c r="O673" s="1">
        <f t="shared" ref="O673:Q673" si="1996">(L673-L$7)/(L$6-L$7)</f>
        <v>0.001278539775</v>
      </c>
      <c r="P673" s="1">
        <f t="shared" si="1996"/>
        <v>0.0003339577008</v>
      </c>
      <c r="Q673" s="1">
        <f t="shared" si="1996"/>
        <v>0.0001672296299</v>
      </c>
      <c r="R673" s="1">
        <f t="shared" ref="R673:T673" si="1997">1/(1+EXP(-O673))</f>
        <v>0.5003196349</v>
      </c>
      <c r="S673" s="1">
        <f t="shared" si="1997"/>
        <v>0.5000834894</v>
      </c>
      <c r="T673" s="1">
        <f t="shared" si="1997"/>
        <v>0.5000418074</v>
      </c>
      <c r="U673" s="1">
        <f t="shared" si="11"/>
        <v>2.475112694</v>
      </c>
      <c r="V673" s="1">
        <f t="shared" si="12"/>
        <v>0.2257320719</v>
      </c>
      <c r="W673" s="1">
        <f t="shared" si="13"/>
        <v>2</v>
      </c>
      <c r="X673" s="1">
        <f t="shared" si="14"/>
        <v>0</v>
      </c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</row>
    <row r="674" ht="15.75" customHeight="1">
      <c r="A674" s="1"/>
      <c r="B674" s="7">
        <v>10.0</v>
      </c>
      <c r="C674" s="7">
        <v>3.0</v>
      </c>
      <c r="D674" s="7">
        <v>3.0</v>
      </c>
      <c r="E674" s="7">
        <v>10.0</v>
      </c>
      <c r="F674" s="7">
        <v>2.0</v>
      </c>
      <c r="G674" s="8">
        <v>10.0</v>
      </c>
      <c r="H674" s="7">
        <v>7.0</v>
      </c>
      <c r="I674" s="7">
        <v>3.0</v>
      </c>
      <c r="J674" s="7">
        <v>3.0</v>
      </c>
      <c r="K674" s="7">
        <v>4.0</v>
      </c>
      <c r="L674" s="1">
        <f t="shared" ref="L674:N674" si="1998">SUMPRODUCT($B674:$J674, INDEX($B$2:$J$4, L$10, 0)) + INDEX($K$2:$K$4, L$10,1)</f>
        <v>44.6136104</v>
      </c>
      <c r="M674" s="1">
        <f t="shared" si="1998"/>
        <v>43.4356888</v>
      </c>
      <c r="N674" s="1">
        <f t="shared" si="1998"/>
        <v>44.2627082</v>
      </c>
      <c r="O674" s="1">
        <f t="shared" ref="O674:Q674" si="1999">(L674-L$7)/(L$6-L$7)</f>
        <v>0.6010264477</v>
      </c>
      <c r="P674" s="1">
        <f t="shared" si="1999"/>
        <v>0.6148555675</v>
      </c>
      <c r="Q674" s="1">
        <f t="shared" si="1999"/>
        <v>0.6185254301</v>
      </c>
      <c r="R674" s="1">
        <f t="shared" ref="R674:T674" si="2000">1/(1+EXP(-O674))</f>
        <v>0.6458911062</v>
      </c>
      <c r="S674" s="1">
        <f t="shared" si="2000"/>
        <v>0.6490476254</v>
      </c>
      <c r="T674" s="1">
        <f t="shared" si="2000"/>
        <v>0.6498831064</v>
      </c>
      <c r="U674" s="1">
        <f t="shared" si="11"/>
        <v>3.208440958</v>
      </c>
      <c r="V674" s="1">
        <f t="shared" si="12"/>
        <v>0.6265657163</v>
      </c>
      <c r="W674" s="1">
        <f t="shared" si="13"/>
        <v>4</v>
      </c>
      <c r="X674" s="1">
        <f t="shared" si="14"/>
        <v>0</v>
      </c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</row>
    <row r="675" ht="15.75" customHeight="1">
      <c r="A675" s="1"/>
      <c r="B675" s="7">
        <v>5.0</v>
      </c>
      <c r="C675" s="7">
        <v>3.0</v>
      </c>
      <c r="D675" s="7">
        <v>5.0</v>
      </c>
      <c r="E675" s="7">
        <v>1.0</v>
      </c>
      <c r="F675" s="7">
        <v>8.0</v>
      </c>
      <c r="G675" s="8">
        <v>10.0</v>
      </c>
      <c r="H675" s="7">
        <v>5.0</v>
      </c>
      <c r="I675" s="7">
        <v>3.0</v>
      </c>
      <c r="J675" s="7">
        <v>1.0</v>
      </c>
      <c r="K675" s="7">
        <v>4.0</v>
      </c>
      <c r="L675" s="1">
        <f t="shared" ref="L675:N675" si="2001">SUMPRODUCT($B675:$J675, INDEX($B$2:$J$4, L$10, 0)) + INDEX($K$2:$K$4, L$10,1)</f>
        <v>47.64949564</v>
      </c>
      <c r="M675" s="1">
        <f t="shared" si="2001"/>
        <v>45.88080779</v>
      </c>
      <c r="N675" s="1">
        <f t="shared" si="2001"/>
        <v>47.21924401</v>
      </c>
      <c r="O675" s="1">
        <f t="shared" ref="O675:Q675" si="2002">(L675-L$7)/(L$6-L$7)</f>
        <v>0.6506702565</v>
      </c>
      <c r="P675" s="1">
        <f t="shared" si="2002"/>
        <v>0.6567256843</v>
      </c>
      <c r="Q675" s="1">
        <f t="shared" si="2002"/>
        <v>0.668522404</v>
      </c>
      <c r="R675" s="1">
        <f t="shared" ref="R675:T675" si="2003">1/(1+EXP(-O675))</f>
        <v>0.6571614875</v>
      </c>
      <c r="S675" s="1">
        <f t="shared" si="2003"/>
        <v>0.6585244757</v>
      </c>
      <c r="T675" s="1">
        <f t="shared" si="2003"/>
        <v>0.6611722218</v>
      </c>
      <c r="U675" s="1">
        <f t="shared" si="11"/>
        <v>3.26128911</v>
      </c>
      <c r="V675" s="1">
        <f t="shared" si="12"/>
        <v>0.5456937791</v>
      </c>
      <c r="W675" s="1">
        <f t="shared" si="13"/>
        <v>4</v>
      </c>
      <c r="X675" s="1">
        <f t="shared" si="14"/>
        <v>0</v>
      </c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</row>
    <row r="676" ht="15.75" customHeight="1">
      <c r="A676" s="1"/>
      <c r="B676" s="7">
        <v>3.0</v>
      </c>
      <c r="C676" s="7">
        <v>1.0</v>
      </c>
      <c r="D676" s="7">
        <v>1.0</v>
      </c>
      <c r="E676" s="7">
        <v>1.0</v>
      </c>
      <c r="F676" s="7">
        <v>3.0</v>
      </c>
      <c r="G676" s="8">
        <v>1.0</v>
      </c>
      <c r="H676" s="7">
        <v>2.0</v>
      </c>
      <c r="I676" s="7">
        <v>1.0</v>
      </c>
      <c r="J676" s="7">
        <v>1.0</v>
      </c>
      <c r="K676" s="7">
        <v>2.0</v>
      </c>
      <c r="L676" s="1">
        <f t="shared" ref="L676:N676" si="2004">SUMPRODUCT($B676:$J676, INDEX($B$2:$J$4, L$10, 0)) + INDEX($K$2:$K$4, L$10,1)</f>
        <v>8.047496012</v>
      </c>
      <c r="M676" s="1">
        <f t="shared" si="2004"/>
        <v>7.568535638</v>
      </c>
      <c r="N676" s="1">
        <f t="shared" si="2004"/>
        <v>7.706424942</v>
      </c>
      <c r="O676" s="1">
        <f t="shared" ref="O676:Q676" si="2005">(L676-L$7)/(L$6-L$7)</f>
        <v>0.003085140934</v>
      </c>
      <c r="P676" s="1">
        <f t="shared" si="2005"/>
        <v>0.0006679154016</v>
      </c>
      <c r="Q676" s="1">
        <f t="shared" si="2005"/>
        <v>0.0003345273907</v>
      </c>
      <c r="R676" s="1">
        <f t="shared" ref="R676:T676" si="2006">1/(1+EXP(-O676))</f>
        <v>0.5007712846</v>
      </c>
      <c r="S676" s="1">
        <f t="shared" si="2006"/>
        <v>0.5001669788</v>
      </c>
      <c r="T676" s="1">
        <f t="shared" si="2006"/>
        <v>0.5000836318</v>
      </c>
      <c r="U676" s="1">
        <f t="shared" si="11"/>
        <v>2.4760371</v>
      </c>
      <c r="V676" s="1">
        <f t="shared" si="12"/>
        <v>0.2266113201</v>
      </c>
      <c r="W676" s="1">
        <f t="shared" si="13"/>
        <v>2</v>
      </c>
      <c r="X676" s="1">
        <f t="shared" si="14"/>
        <v>0</v>
      </c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</row>
    <row r="677" ht="15.75" customHeight="1">
      <c r="A677" s="1"/>
      <c r="B677" s="7">
        <v>2.0</v>
      </c>
      <c r="C677" s="7">
        <v>1.0</v>
      </c>
      <c r="D677" s="7">
        <v>1.0</v>
      </c>
      <c r="E677" s="7">
        <v>1.0</v>
      </c>
      <c r="F677" s="7">
        <v>1.0</v>
      </c>
      <c r="G677" s="8">
        <v>1.0</v>
      </c>
      <c r="H677" s="7">
        <v>3.0</v>
      </c>
      <c r="I677" s="7">
        <v>1.0</v>
      </c>
      <c r="J677" s="7">
        <v>1.0</v>
      </c>
      <c r="K677" s="7">
        <v>2.0</v>
      </c>
      <c r="L677" s="1">
        <f t="shared" ref="L677:N677" si="2007">SUMPRODUCT($B677:$J677, INDEX($B$2:$J$4, L$10, 0)) + INDEX($K$2:$K$4, L$10,1)</f>
        <v>7.939291319</v>
      </c>
      <c r="M677" s="1">
        <f t="shared" si="2007"/>
        <v>7.549032909</v>
      </c>
      <c r="N677" s="1">
        <f t="shared" si="2007"/>
        <v>7.696539964</v>
      </c>
      <c r="O677" s="1">
        <f t="shared" ref="O677:Q677" si="2008">(L677-L$7)/(L$6-L$7)</f>
        <v>0.001315741689</v>
      </c>
      <c r="P677" s="1">
        <f t="shared" si="2008"/>
        <v>0.0003339514659</v>
      </c>
      <c r="Q677" s="1">
        <f t="shared" si="2008"/>
        <v>0.0001673658917</v>
      </c>
      <c r="R677" s="1">
        <f t="shared" ref="R677:T677" si="2009">1/(1+EXP(-O677))</f>
        <v>0.5003289354</v>
      </c>
      <c r="S677" s="1">
        <f t="shared" si="2009"/>
        <v>0.5000834879</v>
      </c>
      <c r="T677" s="1">
        <f t="shared" si="2009"/>
        <v>0.5000418415</v>
      </c>
      <c r="U677" s="1">
        <f t="shared" si="11"/>
        <v>2.475127471</v>
      </c>
      <c r="V677" s="1">
        <f t="shared" si="12"/>
        <v>0.2257461137</v>
      </c>
      <c r="W677" s="1">
        <f t="shared" si="13"/>
        <v>2</v>
      </c>
      <c r="X677" s="1">
        <f t="shared" si="14"/>
        <v>0</v>
      </c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</row>
    <row r="678" ht="15.75" customHeight="1">
      <c r="A678" s="1"/>
      <c r="B678" s="7">
        <v>1.0</v>
      </c>
      <c r="C678" s="7">
        <v>2.0</v>
      </c>
      <c r="D678" s="7">
        <v>3.0</v>
      </c>
      <c r="E678" s="7">
        <v>1.0</v>
      </c>
      <c r="F678" s="7">
        <v>2.0</v>
      </c>
      <c r="G678" s="8">
        <v>1.0</v>
      </c>
      <c r="H678" s="7">
        <v>3.0</v>
      </c>
      <c r="I678" s="7">
        <v>1.0</v>
      </c>
      <c r="J678" s="7">
        <v>1.0</v>
      </c>
      <c r="K678" s="7">
        <v>2.0</v>
      </c>
      <c r="L678" s="1">
        <f t="shared" ref="L678:N678" si="2010">SUMPRODUCT($B678:$J678, INDEX($B$2:$J$4, L$10, 0)) + INDEX($K$2:$K$4, L$10,1)</f>
        <v>12.67573017</v>
      </c>
      <c r="M678" s="1">
        <f t="shared" si="2010"/>
        <v>11.72113126</v>
      </c>
      <c r="N678" s="1">
        <f t="shared" si="2010"/>
        <v>12.12443551</v>
      </c>
      <c r="O678" s="1">
        <f t="shared" ref="O678:Q678" si="2011">(L678-L$7)/(L$6-L$7)</f>
        <v>0.07876757064</v>
      </c>
      <c r="P678" s="1">
        <f t="shared" si="2011"/>
        <v>0.07177679171</v>
      </c>
      <c r="Q678" s="1">
        <f t="shared" si="2011"/>
        <v>0.0750460051</v>
      </c>
      <c r="R678" s="1">
        <f t="shared" ref="R678:T678" si="2012">1/(1+EXP(-O678))</f>
        <v>0.5196817177</v>
      </c>
      <c r="S678" s="1">
        <f t="shared" si="2012"/>
        <v>0.517936498</v>
      </c>
      <c r="T678" s="1">
        <f t="shared" si="2012"/>
        <v>0.518752701</v>
      </c>
      <c r="U678" s="1">
        <f t="shared" si="11"/>
        <v>2.567324534</v>
      </c>
      <c r="V678" s="1">
        <f t="shared" si="12"/>
        <v>0.3218571271</v>
      </c>
      <c r="W678" s="1">
        <f t="shared" si="13"/>
        <v>2</v>
      </c>
      <c r="X678" s="1">
        <f t="shared" si="14"/>
        <v>0</v>
      </c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</row>
    <row r="679" ht="15.75" customHeight="1">
      <c r="A679" s="1"/>
      <c r="B679" s="7">
        <v>8.0</v>
      </c>
      <c r="C679" s="7">
        <v>10.0</v>
      </c>
      <c r="D679" s="7">
        <v>10.0</v>
      </c>
      <c r="E679" s="7">
        <v>8.0</v>
      </c>
      <c r="F679" s="7">
        <v>5.0</v>
      </c>
      <c r="G679" s="8">
        <v>10.0</v>
      </c>
      <c r="H679" s="7">
        <v>7.0</v>
      </c>
      <c r="I679" s="7">
        <v>8.0</v>
      </c>
      <c r="J679" s="7">
        <v>1.0</v>
      </c>
      <c r="K679" s="7">
        <v>4.0</v>
      </c>
      <c r="L679" s="1">
        <f t="shared" ref="L679:N679" si="2013">SUMPRODUCT($B679:$J679, INDEX($B$2:$J$4, L$10, 0)) + INDEX($K$2:$K$4, L$10,1)</f>
        <v>68.1267539</v>
      </c>
      <c r="M679" s="1">
        <f t="shared" si="2013"/>
        <v>65.30265225</v>
      </c>
      <c r="N679" s="1">
        <f t="shared" si="2013"/>
        <v>66.19474214</v>
      </c>
      <c r="O679" s="1">
        <f t="shared" ref="O679:Q679" si="2014">(L679-L$7)/(L$6-L$7)</f>
        <v>0.9855212182</v>
      </c>
      <c r="P679" s="1">
        <f t="shared" si="2014"/>
        <v>0.989304548</v>
      </c>
      <c r="Q679" s="1">
        <f t="shared" si="2014"/>
        <v>0.9894106146</v>
      </c>
      <c r="R679" s="1">
        <f t="shared" ref="R679:T679" si="2015">1/(1+EXP(-O679))</f>
        <v>0.728202372</v>
      </c>
      <c r="S679" s="1">
        <f t="shared" si="2015"/>
        <v>0.7289505357</v>
      </c>
      <c r="T679" s="1">
        <f t="shared" si="2015"/>
        <v>0.728971492</v>
      </c>
      <c r="U679" s="1">
        <f t="shared" si="11"/>
        <v>3.606278179</v>
      </c>
      <c r="V679" s="1">
        <f t="shared" si="12"/>
        <v>0.1550168724</v>
      </c>
      <c r="W679" s="1">
        <f t="shared" si="13"/>
        <v>4</v>
      </c>
      <c r="X679" s="1">
        <f t="shared" si="14"/>
        <v>0</v>
      </c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</row>
    <row r="680" ht="15.75" customHeight="1">
      <c r="A680" s="1"/>
      <c r="B680" s="7">
        <v>1.0</v>
      </c>
      <c r="C680" s="7">
        <v>4.0</v>
      </c>
      <c r="D680" s="7">
        <v>3.0</v>
      </c>
      <c r="E680" s="7">
        <v>10.0</v>
      </c>
      <c r="F680" s="7">
        <v>4.0</v>
      </c>
      <c r="G680" s="8">
        <v>10.0</v>
      </c>
      <c r="H680" s="7">
        <v>5.0</v>
      </c>
      <c r="I680" s="7">
        <v>6.0</v>
      </c>
      <c r="J680" s="7">
        <v>1.0</v>
      </c>
      <c r="K680" s="7">
        <v>4.0</v>
      </c>
      <c r="L680" s="1">
        <f t="shared" ref="L680:N680" si="2016">SUMPRODUCT($B680:$J680, INDEX($B$2:$J$4, L$10, 0)) + INDEX($K$2:$K$4, L$10,1)</f>
        <v>46.98003813</v>
      </c>
      <c r="M680" s="1">
        <f t="shared" si="2016"/>
        <v>45.78752084</v>
      </c>
      <c r="N680" s="1">
        <f t="shared" si="2016"/>
        <v>46.4815242</v>
      </c>
      <c r="O680" s="1">
        <f t="shared" ref="O680:Q680" si="2017">(L680-L$7)/(L$6-L$7)</f>
        <v>0.6397230638</v>
      </c>
      <c r="P680" s="1">
        <f t="shared" si="2017"/>
        <v>0.6551282424</v>
      </c>
      <c r="Q680" s="1">
        <f t="shared" si="2017"/>
        <v>0.6560470746</v>
      </c>
      <c r="R680" s="1">
        <f t="shared" ref="R680:T680" si="2018">1/(1+EXP(-O680))</f>
        <v>0.6546908561</v>
      </c>
      <c r="S680" s="1">
        <f t="shared" si="2018"/>
        <v>0.6581651681</v>
      </c>
      <c r="T680" s="1">
        <f t="shared" si="2018"/>
        <v>0.6583718604</v>
      </c>
      <c r="U680" s="1">
        <f t="shared" si="11"/>
        <v>3.251979634</v>
      </c>
      <c r="V680" s="1">
        <f t="shared" si="12"/>
        <v>0.5595344678</v>
      </c>
      <c r="W680" s="1">
        <f t="shared" si="13"/>
        <v>4</v>
      </c>
      <c r="X680" s="1">
        <f t="shared" si="14"/>
        <v>0</v>
      </c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</row>
    <row r="681" ht="15.75" customHeight="1">
      <c r="A681" s="1"/>
      <c r="B681" s="7">
        <v>2.0</v>
      </c>
      <c r="C681" s="7">
        <v>1.0</v>
      </c>
      <c r="D681" s="7">
        <v>1.0</v>
      </c>
      <c r="E681" s="7">
        <v>1.0</v>
      </c>
      <c r="F681" s="7">
        <v>2.0</v>
      </c>
      <c r="G681" s="8">
        <v>1.0</v>
      </c>
      <c r="H681" s="7">
        <v>2.0</v>
      </c>
      <c r="I681" s="7">
        <v>2.0</v>
      </c>
      <c r="J681" s="7">
        <v>1.0</v>
      </c>
      <c r="K681" s="7">
        <v>2.0</v>
      </c>
      <c r="L681" s="1">
        <f t="shared" ref="L681:N681" si="2019">SUMPRODUCT($B681:$J681, INDEX($B$2:$J$4, L$10, 0)) + INDEX($K$2:$K$4, L$10,1)</f>
        <v>8.253928281</v>
      </c>
      <c r="M681" s="1">
        <f t="shared" si="2019"/>
        <v>7.841825319</v>
      </c>
      <c r="N681" s="1">
        <f t="shared" si="2019"/>
        <v>7.996940543</v>
      </c>
      <c r="O681" s="1">
        <f t="shared" ref="O681:Q681" si="2020">(L681-L$7)/(L$6-L$7)</f>
        <v>0.006460790306</v>
      </c>
      <c r="P681" s="1">
        <f t="shared" si="2020"/>
        <v>0.005347716631</v>
      </c>
      <c r="Q681" s="1">
        <f t="shared" si="2020"/>
        <v>0.005247338147</v>
      </c>
      <c r="R681" s="1">
        <f t="shared" ref="R681:T681" si="2021">1/(1+EXP(-O681))</f>
        <v>0.501615192</v>
      </c>
      <c r="S681" s="1">
        <f t="shared" si="2021"/>
        <v>0.501336926</v>
      </c>
      <c r="T681" s="1">
        <f t="shared" si="2021"/>
        <v>0.5013118315</v>
      </c>
      <c r="U681" s="1">
        <f t="shared" si="11"/>
        <v>2.481410832</v>
      </c>
      <c r="V681" s="1">
        <f t="shared" si="12"/>
        <v>0.2317563895</v>
      </c>
      <c r="W681" s="1">
        <f t="shared" si="13"/>
        <v>2</v>
      </c>
      <c r="X681" s="1">
        <f t="shared" si="14"/>
        <v>0</v>
      </c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</row>
    <row r="682" ht="15.75" customHeight="1">
      <c r="A682" s="1"/>
      <c r="B682" s="7">
        <v>9.0</v>
      </c>
      <c r="C682" s="7">
        <v>10.0</v>
      </c>
      <c r="D682" s="7">
        <v>10.0</v>
      </c>
      <c r="E682" s="7">
        <v>10.0</v>
      </c>
      <c r="F682" s="7">
        <v>10.0</v>
      </c>
      <c r="G682" s="8">
        <v>10.0</v>
      </c>
      <c r="H682" s="7">
        <v>10.0</v>
      </c>
      <c r="I682" s="7">
        <v>10.0</v>
      </c>
      <c r="J682" s="7">
        <v>1.0</v>
      </c>
      <c r="K682" s="7">
        <v>4.0</v>
      </c>
      <c r="L682" s="1">
        <f t="shared" ref="L682:N682" si="2022">SUMPRODUCT($B682:$J682, INDEX($B$2:$J$4, L$10, 0)) + INDEX($K$2:$K$4, L$10,1)</f>
        <v>69.18443047</v>
      </c>
      <c r="M682" s="1">
        <f t="shared" si="2022"/>
        <v>65.90774016</v>
      </c>
      <c r="N682" s="1">
        <f t="shared" si="2022"/>
        <v>66.81104898</v>
      </c>
      <c r="O682" s="1">
        <f t="shared" ref="O682:Q682" si="2023">(L682-L$7)/(L$6-L$7)</f>
        <v>1.002816698</v>
      </c>
      <c r="P682" s="1">
        <f t="shared" si="2023"/>
        <v>0.9996660485</v>
      </c>
      <c r="Q682" s="1">
        <f t="shared" si="2023"/>
        <v>0.9998327704</v>
      </c>
      <c r="R682" s="1">
        <f t="shared" ref="R682:T682" si="2024">1/(1+EXP(-O682))</f>
        <v>0.7316120146</v>
      </c>
      <c r="S682" s="1">
        <f t="shared" si="2024"/>
        <v>0.7309929147</v>
      </c>
      <c r="T682" s="1">
        <f t="shared" si="2024"/>
        <v>0.731025698</v>
      </c>
      <c r="U682" s="1">
        <f t="shared" si="11"/>
        <v>3.618569958</v>
      </c>
      <c r="V682" s="1">
        <f t="shared" si="12"/>
        <v>0.1454888769</v>
      </c>
      <c r="W682" s="1">
        <f t="shared" si="13"/>
        <v>4</v>
      </c>
      <c r="X682" s="1">
        <f t="shared" si="14"/>
        <v>0</v>
      </c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</row>
    <row r="683" ht="15.75" customHeight="1">
      <c r="A683" s="1"/>
      <c r="B683" s="7">
        <v>3.0</v>
      </c>
      <c r="C683" s="7">
        <v>1.0</v>
      </c>
      <c r="D683" s="7">
        <v>2.0</v>
      </c>
      <c r="E683" s="7">
        <v>2.0</v>
      </c>
      <c r="F683" s="7">
        <v>2.0</v>
      </c>
      <c r="G683" s="8">
        <v>1.0</v>
      </c>
      <c r="H683" s="7">
        <v>1.0</v>
      </c>
      <c r="I683" s="7">
        <v>1.0</v>
      </c>
      <c r="J683" s="7">
        <v>1.0</v>
      </c>
      <c r="K683" s="7">
        <v>2.0</v>
      </c>
      <c r="L683" s="1">
        <f t="shared" ref="L683:N683" si="2025">SUMPRODUCT($B683:$J683, INDEX($B$2:$J$4, L$10, 0)) + INDEX($K$2:$K$4, L$10,1)</f>
        <v>9.532249133</v>
      </c>
      <c r="M683" s="1">
        <f t="shared" si="2025"/>
        <v>8.839848678</v>
      </c>
      <c r="N683" s="1">
        <f t="shared" si="2025"/>
        <v>9.224805808</v>
      </c>
      <c r="O683" s="1">
        <f t="shared" ref="O683:Q683" si="2026">(L683-L$7)/(L$6-L$7)</f>
        <v>0.02736431953</v>
      </c>
      <c r="P683" s="1">
        <f t="shared" si="2026"/>
        <v>0.02243782749</v>
      </c>
      <c r="Q683" s="1">
        <f t="shared" si="2026"/>
        <v>0.02601135103</v>
      </c>
      <c r="R683" s="1">
        <f t="shared" ref="R683:T683" si="2027">1/(1+EXP(-O683))</f>
        <v>0.506840653</v>
      </c>
      <c r="S683" s="1">
        <f t="shared" si="2027"/>
        <v>0.5056092215</v>
      </c>
      <c r="T683" s="1">
        <f t="shared" si="2027"/>
        <v>0.5065024711</v>
      </c>
      <c r="U683" s="1">
        <f t="shared" si="11"/>
        <v>2.505638359</v>
      </c>
      <c r="V683" s="1">
        <f t="shared" si="12"/>
        <v>0.25567015</v>
      </c>
      <c r="W683" s="1">
        <f t="shared" si="13"/>
        <v>2</v>
      </c>
      <c r="X683" s="1">
        <f t="shared" si="14"/>
        <v>0</v>
      </c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</row>
    <row r="684" ht="15.75" customHeight="1">
      <c r="A684" s="1"/>
      <c r="B684" s="7">
        <v>7.0</v>
      </c>
      <c r="C684" s="7">
        <v>5.0</v>
      </c>
      <c r="D684" s="7">
        <v>6.0</v>
      </c>
      <c r="E684" s="7">
        <v>10.0</v>
      </c>
      <c r="F684" s="7">
        <v>4.0</v>
      </c>
      <c r="G684" s="8">
        <v>10.0</v>
      </c>
      <c r="H684" s="7">
        <v>5.0</v>
      </c>
      <c r="I684" s="7">
        <v>3.0</v>
      </c>
      <c r="J684" s="7">
        <v>1.0</v>
      </c>
      <c r="K684" s="7">
        <v>4.0</v>
      </c>
      <c r="L684" s="1">
        <f t="shared" ref="L684:N684" si="2028">SUMPRODUCT($B684:$J684, INDEX($B$2:$J$4, L$10, 0)) + INDEX($K$2:$K$4, L$10,1)</f>
        <v>52.45873541</v>
      </c>
      <c r="M684" s="1">
        <f t="shared" si="2028"/>
        <v>50.48907011</v>
      </c>
      <c r="N684" s="1">
        <f t="shared" si="2028"/>
        <v>51.5930156</v>
      </c>
      <c r="O684" s="1">
        <f t="shared" ref="O684:Q684" si="2029">(L684-L$7)/(L$6-L$7)</f>
        <v>0.7293125505</v>
      </c>
      <c r="P684" s="1">
        <f t="shared" si="2029"/>
        <v>0.7356373782</v>
      </c>
      <c r="Q684" s="1">
        <f t="shared" si="2029"/>
        <v>0.7424857713</v>
      </c>
      <c r="R684" s="1">
        <f t="shared" ref="R684:T684" si="2030">1/(1+EXP(-O684))</f>
        <v>0.6746543984</v>
      </c>
      <c r="S684" s="1">
        <f t="shared" si="2030"/>
        <v>0.6760411353</v>
      </c>
      <c r="T684" s="1">
        <f t="shared" si="2030"/>
        <v>0.6775391867</v>
      </c>
      <c r="U684" s="1">
        <f t="shared" si="11"/>
        <v>3.345964715</v>
      </c>
      <c r="V684" s="1">
        <f t="shared" si="12"/>
        <v>0.4277621536</v>
      </c>
      <c r="W684" s="1">
        <f t="shared" si="13"/>
        <v>4</v>
      </c>
      <c r="X684" s="1">
        <f t="shared" si="14"/>
        <v>0</v>
      </c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</row>
    <row r="685" ht="15.75" customHeight="1">
      <c r="A685" s="1"/>
      <c r="B685" s="7">
        <v>3.0</v>
      </c>
      <c r="C685" s="7">
        <v>3.0</v>
      </c>
      <c r="D685" s="7">
        <v>2.0</v>
      </c>
      <c r="E685" s="7">
        <v>1.0</v>
      </c>
      <c r="F685" s="7">
        <v>2.0</v>
      </c>
      <c r="G685" s="8">
        <v>3.0</v>
      </c>
      <c r="H685" s="7">
        <v>3.0</v>
      </c>
      <c r="I685" s="7">
        <v>1.0</v>
      </c>
      <c r="J685" s="7">
        <v>1.0</v>
      </c>
      <c r="K685" s="7">
        <v>2.0</v>
      </c>
      <c r="L685" s="1">
        <f t="shared" ref="L685:N685" si="2031">SUMPRODUCT($B685:$J685, INDEX($B$2:$J$4, L$10, 0)) + INDEX($K$2:$K$4, L$10,1)</f>
        <v>19.24729799</v>
      </c>
      <c r="M685" s="1">
        <f t="shared" si="2031"/>
        <v>18.64990221</v>
      </c>
      <c r="N685" s="1">
        <f t="shared" si="2031"/>
        <v>18.70560499</v>
      </c>
      <c r="O685" s="1">
        <f t="shared" ref="O685:Q685" si="2032">(L685-L$7)/(L$6-L$7)</f>
        <v>0.186228041</v>
      </c>
      <c r="P685" s="1">
        <f t="shared" si="2032"/>
        <v>0.1904247798</v>
      </c>
      <c r="Q685" s="1">
        <f t="shared" si="2032"/>
        <v>0.1863379292</v>
      </c>
      <c r="R685" s="1">
        <f t="shared" ref="R685:T685" si="2033">1/(1+EXP(-O685))</f>
        <v>0.5464229221</v>
      </c>
      <c r="S685" s="1">
        <f t="shared" si="2033"/>
        <v>0.5474628583</v>
      </c>
      <c r="T685" s="1">
        <f t="shared" si="2033"/>
        <v>0.5464501572</v>
      </c>
      <c r="U685" s="1">
        <f t="shared" si="11"/>
        <v>2.705897113</v>
      </c>
      <c r="V685" s="1">
        <f t="shared" si="12"/>
        <v>0.4982907348</v>
      </c>
      <c r="W685" s="1">
        <f t="shared" si="13"/>
        <v>2</v>
      </c>
      <c r="X685" s="1">
        <f t="shared" si="14"/>
        <v>0</v>
      </c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</row>
    <row r="686" ht="15.75" customHeight="1">
      <c r="A686" s="1"/>
      <c r="B686" s="7">
        <v>1.0</v>
      </c>
      <c r="C686" s="7">
        <v>1.0</v>
      </c>
      <c r="D686" s="7">
        <v>1.0</v>
      </c>
      <c r="E686" s="7">
        <v>1.0</v>
      </c>
      <c r="F686" s="7">
        <v>2.0</v>
      </c>
      <c r="G686" s="8">
        <v>1.0</v>
      </c>
      <c r="H686" s="7">
        <v>3.0</v>
      </c>
      <c r="I686" s="7">
        <v>1.0</v>
      </c>
      <c r="J686" s="7">
        <v>1.0</v>
      </c>
      <c r="K686" s="7">
        <v>2.0</v>
      </c>
      <c r="L686" s="1">
        <f t="shared" ref="L686:N686" si="2034">SUMPRODUCT($B686:$J686, INDEX($B$2:$J$4, L$10, 0)) + INDEX($K$2:$K$4, L$10,1)</f>
        <v>7.985725177</v>
      </c>
      <c r="M686" s="1">
        <f t="shared" si="2034"/>
        <v>7.529531272</v>
      </c>
      <c r="N686" s="1">
        <f t="shared" si="2034"/>
        <v>7.686650958</v>
      </c>
      <c r="O686" s="1">
        <f t="shared" ref="O686:Q686" si="2035">(L686-L$7)/(L$6-L$7)</f>
        <v>0.002075043622</v>
      </c>
      <c r="P686" s="1">
        <f t="shared" si="2035"/>
        <v>0.000000006234892308</v>
      </c>
      <c r="Q686" s="1">
        <f t="shared" si="2035"/>
        <v>0.0000001362617963</v>
      </c>
      <c r="R686" s="1">
        <f t="shared" ref="R686:T686" si="2036">1/(1+EXP(-O686))</f>
        <v>0.5005187607</v>
      </c>
      <c r="S686" s="1">
        <f t="shared" si="2036"/>
        <v>0.5000000016</v>
      </c>
      <c r="T686" s="1">
        <f t="shared" si="2036"/>
        <v>0.5000000341</v>
      </c>
      <c r="U686" s="1">
        <f t="shared" si="11"/>
        <v>2.475218456</v>
      </c>
      <c r="V686" s="1">
        <f t="shared" si="12"/>
        <v>0.2258325805</v>
      </c>
      <c r="W686" s="1">
        <f t="shared" si="13"/>
        <v>2</v>
      </c>
      <c r="X686" s="1">
        <f t="shared" si="14"/>
        <v>0</v>
      </c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</row>
    <row r="687" ht="15.75" customHeight="1">
      <c r="A687" s="1"/>
      <c r="B687" s="7">
        <v>5.0</v>
      </c>
      <c r="C687" s="7">
        <v>1.0</v>
      </c>
      <c r="D687" s="7">
        <v>4.0</v>
      </c>
      <c r="E687" s="7">
        <v>1.0</v>
      </c>
      <c r="F687" s="7">
        <v>2.0</v>
      </c>
      <c r="G687" s="8">
        <v>1.0</v>
      </c>
      <c r="H687" s="7">
        <v>3.0</v>
      </c>
      <c r="I687" s="7">
        <v>2.0</v>
      </c>
      <c r="J687" s="7">
        <v>1.0</v>
      </c>
      <c r="K687" s="7">
        <v>2.0</v>
      </c>
      <c r="L687" s="1">
        <f t="shared" ref="L687:N687" si="2037">SUMPRODUCT($B687:$J687, INDEX($B$2:$J$4, L$10, 0)) + INDEX($K$2:$K$4, L$10,1)</f>
        <v>12.97572272</v>
      </c>
      <c r="M687" s="1">
        <f t="shared" si="2037"/>
        <v>11.71427154</v>
      </c>
      <c r="N687" s="1">
        <f t="shared" si="2037"/>
        <v>12.57337149</v>
      </c>
      <c r="O687" s="1">
        <f t="shared" ref="O687:Q687" si="2038">(L687-L$7)/(L$6-L$7)</f>
        <v>0.08367314896</v>
      </c>
      <c r="P687" s="1">
        <f t="shared" si="2038"/>
        <v>0.07165932599</v>
      </c>
      <c r="Q687" s="1">
        <f t="shared" si="2038"/>
        <v>0.08263780905</v>
      </c>
      <c r="R687" s="1">
        <f t="shared" ref="R687:T687" si="2039">1/(1+EXP(-O687))</f>
        <v>0.5209060914</v>
      </c>
      <c r="S687" s="1">
        <f t="shared" si="2039"/>
        <v>0.5179071693</v>
      </c>
      <c r="T687" s="1">
        <f t="shared" si="2039"/>
        <v>0.5206477033</v>
      </c>
      <c r="U687" s="1">
        <f t="shared" si="11"/>
        <v>2.572466426</v>
      </c>
      <c r="V687" s="1">
        <f t="shared" si="12"/>
        <v>0.3277178085</v>
      </c>
      <c r="W687" s="1">
        <f t="shared" si="13"/>
        <v>2</v>
      </c>
      <c r="X687" s="1">
        <f t="shared" si="14"/>
        <v>0</v>
      </c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</row>
    <row r="688" ht="15.75" customHeight="1">
      <c r="A688" s="1"/>
      <c r="B688" s="7">
        <v>3.0</v>
      </c>
      <c r="C688" s="7">
        <v>1.0</v>
      </c>
      <c r="D688" s="7">
        <v>1.0</v>
      </c>
      <c r="E688" s="7">
        <v>1.0</v>
      </c>
      <c r="F688" s="7">
        <v>3.0</v>
      </c>
      <c r="G688" s="8">
        <v>1.0</v>
      </c>
      <c r="H688" s="7">
        <v>2.0</v>
      </c>
      <c r="I688" s="7">
        <v>1.0</v>
      </c>
      <c r="J688" s="7">
        <v>1.0</v>
      </c>
      <c r="K688" s="7">
        <v>2.0</v>
      </c>
      <c r="L688" s="1">
        <f t="shared" ref="L688:N688" si="2040">SUMPRODUCT($B688:$J688, INDEX($B$2:$J$4, L$10, 0)) + INDEX($K$2:$K$4, L$10,1)</f>
        <v>8.047496012</v>
      </c>
      <c r="M688" s="1">
        <f t="shared" si="2040"/>
        <v>7.568535638</v>
      </c>
      <c r="N688" s="1">
        <f t="shared" si="2040"/>
        <v>7.706424942</v>
      </c>
      <c r="O688" s="1">
        <f t="shared" ref="O688:Q688" si="2041">(L688-L$7)/(L$6-L$7)</f>
        <v>0.003085140934</v>
      </c>
      <c r="P688" s="1">
        <f t="shared" si="2041"/>
        <v>0.0006679154016</v>
      </c>
      <c r="Q688" s="1">
        <f t="shared" si="2041"/>
        <v>0.0003345273907</v>
      </c>
      <c r="R688" s="1">
        <f t="shared" ref="R688:T688" si="2042">1/(1+EXP(-O688))</f>
        <v>0.5007712846</v>
      </c>
      <c r="S688" s="1">
        <f t="shared" si="2042"/>
        <v>0.5001669788</v>
      </c>
      <c r="T688" s="1">
        <f t="shared" si="2042"/>
        <v>0.5000836318</v>
      </c>
      <c r="U688" s="1">
        <f t="shared" si="11"/>
        <v>2.4760371</v>
      </c>
      <c r="V688" s="1">
        <f t="shared" si="12"/>
        <v>0.2266113201</v>
      </c>
      <c r="W688" s="1">
        <f t="shared" si="13"/>
        <v>2</v>
      </c>
      <c r="X688" s="1">
        <f t="shared" si="14"/>
        <v>0</v>
      </c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</row>
    <row r="689" ht="15.75" customHeight="1">
      <c r="A689" s="1"/>
      <c r="B689" s="7">
        <v>6.0</v>
      </c>
      <c r="C689" s="7">
        <v>10.0</v>
      </c>
      <c r="D689" s="7">
        <v>10.0</v>
      </c>
      <c r="E689" s="7">
        <v>10.0</v>
      </c>
      <c r="F689" s="7">
        <v>10.0</v>
      </c>
      <c r="G689" s="8">
        <v>10.0</v>
      </c>
      <c r="H689" s="7">
        <v>8.0</v>
      </c>
      <c r="I689" s="7">
        <v>10.0</v>
      </c>
      <c r="J689" s="7">
        <v>10.0</v>
      </c>
      <c r="K689" s="7">
        <v>4.0</v>
      </c>
      <c r="L689" s="1">
        <f t="shared" ref="L689:N689" si="2043">SUMPRODUCT($B689:$J689, INDEX($B$2:$J$4, L$10, 0)) + INDEX($K$2:$K$4, L$10,1)</f>
        <v>69.07221533</v>
      </c>
      <c r="M689" s="1">
        <f t="shared" si="2043"/>
        <v>65.84923416</v>
      </c>
      <c r="N689" s="1">
        <f t="shared" si="2043"/>
        <v>66.7813739</v>
      </c>
      <c r="O689" s="1">
        <f t="shared" ref="O689:Q689" si="2044">(L689-L$7)/(L$6-L$7)</f>
        <v>1.000981719</v>
      </c>
      <c r="P689" s="1">
        <f t="shared" si="2044"/>
        <v>0.9986641941</v>
      </c>
      <c r="Q689" s="1">
        <f t="shared" si="2044"/>
        <v>0.9993309452</v>
      </c>
      <c r="R689" s="1">
        <f t="shared" ref="R689:T689" si="2045">1/(1+EXP(-O689))</f>
        <v>0.7312515525</v>
      </c>
      <c r="S689" s="1">
        <f t="shared" si="2045"/>
        <v>0.7307958622</v>
      </c>
      <c r="T689" s="1">
        <f t="shared" si="2045"/>
        <v>0.7309270141</v>
      </c>
      <c r="U689" s="1">
        <f t="shared" si="11"/>
        <v>3.617504958</v>
      </c>
      <c r="V689" s="1">
        <f t="shared" si="12"/>
        <v>0.1463024573</v>
      </c>
      <c r="W689" s="1">
        <f t="shared" si="13"/>
        <v>4</v>
      </c>
      <c r="X689" s="1">
        <f t="shared" si="14"/>
        <v>0</v>
      </c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</row>
    <row r="690" ht="15.75" customHeight="1">
      <c r="A690" s="1"/>
      <c r="B690" s="7">
        <v>4.0</v>
      </c>
      <c r="C690" s="7">
        <v>1.0</v>
      </c>
      <c r="D690" s="7">
        <v>1.0</v>
      </c>
      <c r="E690" s="7">
        <v>1.0</v>
      </c>
      <c r="F690" s="7">
        <v>2.0</v>
      </c>
      <c r="G690" s="8">
        <v>1.0</v>
      </c>
      <c r="H690" s="7">
        <v>1.0</v>
      </c>
      <c r="I690" s="7">
        <v>1.0</v>
      </c>
      <c r="J690" s="7">
        <v>1.0</v>
      </c>
      <c r="K690" s="7">
        <v>2.0</v>
      </c>
      <c r="L690" s="1">
        <f t="shared" ref="L690:N690" si="2046">SUMPRODUCT($B690:$J690, INDEX($B$2:$J$4, L$10, 0)) + INDEX($K$2:$K$4, L$10,1)</f>
        <v>7.968769431</v>
      </c>
      <c r="M690" s="1">
        <f t="shared" si="2046"/>
        <v>7.588037275</v>
      </c>
      <c r="N690" s="1">
        <f t="shared" si="2046"/>
        <v>7.716309919</v>
      </c>
      <c r="O690" s="1">
        <f t="shared" ref="O690:Q690" si="2047">(L690-L$7)/(L$6-L$7)</f>
        <v>0.001797777616</v>
      </c>
      <c r="P690" s="1">
        <f t="shared" si="2047"/>
        <v>0.001001860633</v>
      </c>
      <c r="Q690" s="1">
        <f t="shared" si="2047"/>
        <v>0.0005016888897</v>
      </c>
      <c r="R690" s="1">
        <f t="shared" ref="R690:T690" si="2048">1/(1+EXP(-O690))</f>
        <v>0.5004494443</v>
      </c>
      <c r="S690" s="1">
        <f t="shared" si="2048"/>
        <v>0.5002504651</v>
      </c>
      <c r="T690" s="1">
        <f t="shared" si="2048"/>
        <v>0.5001254222</v>
      </c>
      <c r="U690" s="1">
        <f t="shared" si="11"/>
        <v>2.475737126</v>
      </c>
      <c r="V690" s="1">
        <f t="shared" si="12"/>
        <v>0.2263258134</v>
      </c>
      <c r="W690" s="1">
        <f t="shared" si="13"/>
        <v>2</v>
      </c>
      <c r="X690" s="1">
        <f t="shared" si="14"/>
        <v>0</v>
      </c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</row>
    <row r="691" ht="15.75" customHeight="1">
      <c r="A691" s="1"/>
      <c r="B691" s="7">
        <v>3.0</v>
      </c>
      <c r="C691" s="7">
        <v>1.0</v>
      </c>
      <c r="D691" s="7">
        <v>1.0</v>
      </c>
      <c r="E691" s="7">
        <v>1.0</v>
      </c>
      <c r="F691" s="7">
        <v>2.0</v>
      </c>
      <c r="G691" s="8">
        <v>1.0</v>
      </c>
      <c r="H691" s="7">
        <v>1.0</v>
      </c>
      <c r="I691" s="7">
        <v>1.0</v>
      </c>
      <c r="J691" s="7">
        <v>1.0</v>
      </c>
      <c r="K691" s="7">
        <v>2.0</v>
      </c>
      <c r="L691" s="1">
        <f t="shared" ref="L691:N691" si="2049">SUMPRODUCT($B691:$J691, INDEX($B$2:$J$4, L$10, 0)) + INDEX($K$2:$K$4, L$10,1)</f>
        <v>7.952892864</v>
      </c>
      <c r="M691" s="1">
        <f t="shared" si="2049"/>
        <v>7.568535274</v>
      </c>
      <c r="N691" s="1">
        <f t="shared" si="2049"/>
        <v>7.706420913</v>
      </c>
      <c r="O691" s="1">
        <f t="shared" ref="O691:Q691" si="2050">(L691-L$7)/(L$6-L$7)</f>
        <v>0.001538158696</v>
      </c>
      <c r="P691" s="1">
        <f t="shared" si="2050"/>
        <v>0.0006679091667</v>
      </c>
      <c r="Q691" s="1">
        <f t="shared" si="2050"/>
        <v>0.0003344592598</v>
      </c>
      <c r="R691" s="1">
        <f t="shared" ref="R691:T691" si="2051">1/(1+EXP(-O691))</f>
        <v>0.5003845396</v>
      </c>
      <c r="S691" s="1">
        <f t="shared" si="2051"/>
        <v>0.5001669773</v>
      </c>
      <c r="T691" s="1">
        <f t="shared" si="2051"/>
        <v>0.5000836148</v>
      </c>
      <c r="U691" s="1">
        <f t="shared" si="11"/>
        <v>2.47542491</v>
      </c>
      <c r="V691" s="1">
        <f t="shared" si="12"/>
        <v>0.2260288452</v>
      </c>
      <c r="W691" s="1">
        <f t="shared" si="13"/>
        <v>2</v>
      </c>
      <c r="X691" s="1">
        <f t="shared" si="14"/>
        <v>0</v>
      </c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</row>
    <row r="692" ht="15.75" customHeight="1">
      <c r="A692" s="1"/>
      <c r="B692" s="7">
        <v>5.0</v>
      </c>
      <c r="C692" s="7">
        <v>1.0</v>
      </c>
      <c r="D692" s="7">
        <v>3.0</v>
      </c>
      <c r="E692" s="7">
        <v>1.0</v>
      </c>
      <c r="F692" s="7">
        <v>2.0</v>
      </c>
      <c r="G692" s="8">
        <v>1.0</v>
      </c>
      <c r="H692" s="7">
        <v>3.0</v>
      </c>
      <c r="I692" s="7">
        <v>1.0</v>
      </c>
      <c r="J692" s="7">
        <v>1.0</v>
      </c>
      <c r="K692" s="7">
        <v>2.0</v>
      </c>
      <c r="L692" s="1">
        <f t="shared" ref="L692:N692" si="2052">SUMPRODUCT($B692:$J692, INDEX($B$2:$J$4, L$10, 0)) + INDEX($K$2:$K$4, L$10,1)</f>
        <v>11.14381279</v>
      </c>
      <c r="M692" s="1">
        <f t="shared" si="2052"/>
        <v>10.15016609</v>
      </c>
      <c r="N692" s="1">
        <f t="shared" si="2052"/>
        <v>10.75738025</v>
      </c>
      <c r="O692" s="1">
        <f t="shared" ref="O692:Q692" si="2053">(L692-L$7)/(L$6-L$7)</f>
        <v>0.05371714631</v>
      </c>
      <c r="P692" s="1">
        <f t="shared" si="2053"/>
        <v>0.04487564874</v>
      </c>
      <c r="Q692" s="1">
        <f t="shared" si="2053"/>
        <v>0.05192819737</v>
      </c>
      <c r="R692" s="1">
        <f t="shared" ref="R692:T692" si="2054">1/(1+EXP(-O692))</f>
        <v>0.5134260583</v>
      </c>
      <c r="S692" s="1">
        <f t="shared" si="2054"/>
        <v>0.5112170298</v>
      </c>
      <c r="T692" s="1">
        <f t="shared" si="2054"/>
        <v>0.5129791329</v>
      </c>
      <c r="U692" s="1">
        <f t="shared" si="11"/>
        <v>2.536428797</v>
      </c>
      <c r="V692" s="1">
        <f t="shared" si="12"/>
        <v>0.2877558542</v>
      </c>
      <c r="W692" s="1">
        <f t="shared" si="13"/>
        <v>2</v>
      </c>
      <c r="X692" s="1">
        <f t="shared" si="14"/>
        <v>0</v>
      </c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</row>
    <row r="693" ht="15.75" customHeight="1">
      <c r="A693" s="1"/>
      <c r="B693" s="7">
        <v>10.0</v>
      </c>
      <c r="C693" s="7">
        <v>10.0</v>
      </c>
      <c r="D693" s="7">
        <v>7.0</v>
      </c>
      <c r="E693" s="7">
        <v>8.0</v>
      </c>
      <c r="F693" s="7">
        <v>7.0</v>
      </c>
      <c r="G693" s="8">
        <v>1.0</v>
      </c>
      <c r="H693" s="7">
        <v>10.0</v>
      </c>
      <c r="I693" s="7">
        <v>10.0</v>
      </c>
      <c r="J693" s="7">
        <v>3.0</v>
      </c>
      <c r="K693" s="7">
        <v>4.0</v>
      </c>
      <c r="L693" s="1">
        <f t="shared" ref="L693:N693" si="2055">SUMPRODUCT($B693:$J693, INDEX($B$2:$J$4, L$10, 0)) + INDEX($K$2:$K$4, L$10,1)</f>
        <v>35.09480487</v>
      </c>
      <c r="M693" s="1">
        <f t="shared" si="2055"/>
        <v>32.80881861</v>
      </c>
      <c r="N693" s="1">
        <f t="shared" si="2055"/>
        <v>32.25193092</v>
      </c>
      <c r="O693" s="1">
        <f t="shared" ref="O693:Q693" si="2056">(L693-L$7)/(L$6-L$7)</f>
        <v>0.4453717627</v>
      </c>
      <c r="P693" s="1">
        <f t="shared" si="2056"/>
        <v>0.4328814804</v>
      </c>
      <c r="Q693" s="1">
        <f t="shared" si="2056"/>
        <v>0.4154152507</v>
      </c>
      <c r="R693" s="1">
        <f t="shared" ref="R693:T693" si="2057">1/(1+EXP(-O693))</f>
        <v>0.6095382673</v>
      </c>
      <c r="S693" s="1">
        <f t="shared" si="2057"/>
        <v>0.606561529</v>
      </c>
      <c r="T693" s="1">
        <f t="shared" si="2057"/>
        <v>0.6023856408</v>
      </c>
      <c r="U693" s="1">
        <f t="shared" si="11"/>
        <v>2.999293276</v>
      </c>
      <c r="V693" s="1">
        <f t="shared" si="12"/>
        <v>1.001413948</v>
      </c>
      <c r="W693" s="1">
        <f t="shared" si="13"/>
        <v>4</v>
      </c>
      <c r="X693" s="1">
        <f t="shared" si="14"/>
        <v>0</v>
      </c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</row>
  </sheetData>
  <mergeCells count="3">
    <mergeCell ref="L9:N9"/>
    <mergeCell ref="O9:Q9"/>
    <mergeCell ref="R9:T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</cp:coreProperties>
</file>